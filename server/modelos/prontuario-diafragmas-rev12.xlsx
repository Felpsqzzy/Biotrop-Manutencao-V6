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bioaqua-my.sharepoint.com/personal/felipe_vieira_biotrop_com_br/Documents/Área de Trabalho/"/>
    </mc:Choice>
  </mc:AlternateContent>
  <xr:revisionPtr revIDLastSave="0" documentId="8_{3E9BAC46-88E3-470A-A32A-8B1DA7DEDF02}" xr6:coauthVersionLast="47" xr6:coauthVersionMax="47" xr10:uidLastSave="{00000000-0000-0000-0000-000000000000}"/>
  <bookViews>
    <workbookView xWindow="-120" yWindow="-120" windowWidth="29040" windowHeight="15720" tabRatio="882" firstSheet="15" activeTab="26" xr2:uid="{F69704B8-0FDC-486C-A487-F41F345DCD04}"/>
  </bookViews>
  <sheets>
    <sheet name="Resumo_Analise" sheetId="94" state="hidden" r:id="rId1"/>
    <sheet name="Lista REV PGD" sheetId="95" state="hidden" r:id="rId2"/>
    <sheet name="Lista rev FER" sheetId="92" state="hidden" r:id="rId3"/>
    <sheet name="FTD01" sheetId="35" r:id="rId4"/>
    <sheet name="FTD02" sheetId="66" r:id="rId5"/>
    <sheet name="FTD03" sheetId="67" r:id="rId6"/>
    <sheet name="FTD04" sheetId="68" r:id="rId7"/>
    <sheet name="FTD05" sheetId="69" r:id="rId8"/>
    <sheet name="FTD06" sheetId="70" r:id="rId9"/>
    <sheet name="FTD07" sheetId="71" r:id="rId10"/>
    <sheet name="FTD08" sheetId="72" r:id="rId11"/>
    <sheet name="FTD09" sheetId="73" r:id="rId12"/>
    <sheet name="FTD10" sheetId="74" r:id="rId13"/>
    <sheet name="FTD11" sheetId="75" r:id="rId14"/>
    <sheet name="FTD12" sheetId="76" r:id="rId15"/>
    <sheet name="FTD13" sheetId="119" r:id="rId16"/>
    <sheet name="FTD14" sheetId="118" r:id="rId17"/>
    <sheet name="FTD15" sheetId="117" r:id="rId18"/>
    <sheet name="PGD01" sheetId="77" r:id="rId19"/>
    <sheet name="PGD02" sheetId="78" r:id="rId20"/>
    <sheet name="PGD03" sheetId="79" r:id="rId21"/>
    <sheet name="PGD04" sheetId="80" r:id="rId22"/>
    <sheet name="PGD05" sheetId="81" r:id="rId23"/>
    <sheet name="PGD06" sheetId="82" r:id="rId24"/>
    <sheet name="PGD07" sheetId="83" r:id="rId25"/>
    <sheet name="PGD08" sheetId="84" r:id="rId26"/>
    <sheet name="PGD09" sheetId="85" r:id="rId27"/>
    <sheet name="PGD10" sheetId="86" r:id="rId28"/>
    <sheet name="PGD11" sheetId="87" r:id="rId29"/>
    <sheet name="PGD12" sheetId="88" r:id="rId30"/>
    <sheet name="PGD13" sheetId="116" r:id="rId31"/>
    <sheet name="PGD14" sheetId="115" r:id="rId32"/>
    <sheet name="PGD15" sheetId="114" r:id="rId33"/>
    <sheet name="BLD02" sheetId="89" r:id="rId34"/>
    <sheet name="BLD03" sheetId="90" r:id="rId35"/>
    <sheet name="BLD04" sheetId="112" r:id="rId36"/>
    <sheet name="BLD05" sheetId="113" r:id="rId37"/>
    <sheet name="TLP01" sheetId="97" state="hidden" r:id="rId38"/>
    <sheet name="TLP02" sheetId="98" state="hidden" r:id="rId39"/>
    <sheet name="TLP03" sheetId="99" state="hidden" r:id="rId40"/>
    <sheet name="TLP04" sheetId="100" state="hidden" r:id="rId41"/>
    <sheet name="TLF01" sheetId="101" state="hidden" r:id="rId42"/>
    <sheet name="TLF02" sheetId="102" state="hidden" r:id="rId43"/>
    <sheet name="TLF03" sheetId="103" state="hidden" r:id="rId44"/>
    <sheet name="TLF04" sheetId="104" state="hidden" r:id="rId45"/>
  </sheets>
  <definedNames>
    <definedName name="_xlnm._FilterDatabase" localSheetId="33" hidden="1">'BLD02'!$A$6:$O$36</definedName>
    <definedName name="_xlnm._FilterDatabase" localSheetId="34" hidden="1">'BLD03'!$A$6:$O$36</definedName>
    <definedName name="_xlnm._FilterDatabase" localSheetId="35" hidden="1">'BLD04'!$A$6:$O$36</definedName>
    <definedName name="_xlnm._FilterDatabase" localSheetId="36" hidden="1">'BLD05'!$A$6:$O$36</definedName>
    <definedName name="_xlnm._FilterDatabase" localSheetId="3" hidden="1">'FTD01'!$A$6:$O$48</definedName>
    <definedName name="_xlnm._FilterDatabase" localSheetId="4" hidden="1">'FTD02'!$A$6:$O$48</definedName>
    <definedName name="_xlnm._FilterDatabase" localSheetId="5" hidden="1">'FTD03'!$A$6:$O$48</definedName>
    <definedName name="_xlnm._FilterDatabase" localSheetId="6" hidden="1">'FTD04'!$A$6:$O$48</definedName>
    <definedName name="_xlnm._FilterDatabase" localSheetId="7" hidden="1">'FTD05'!$A$6:$O$48</definedName>
    <definedName name="_xlnm._FilterDatabase" localSheetId="8" hidden="1">'FTD06'!$A$6:$O$48</definedName>
    <definedName name="_xlnm._FilterDatabase" localSheetId="9" hidden="1">'FTD07'!$A$6:$O$49</definedName>
    <definedName name="_xlnm._FilterDatabase" localSheetId="10" hidden="1">'FTD08'!$A$6:$O$48</definedName>
    <definedName name="_xlnm._FilterDatabase" localSheetId="11" hidden="1">'FTD09'!$A$6:$O$49</definedName>
    <definedName name="_xlnm._FilterDatabase" localSheetId="12" hidden="1">'FTD10'!$A$6:$O$49</definedName>
    <definedName name="_xlnm._FilterDatabase" localSheetId="13" hidden="1">'FTD11'!$A$6:$O$48</definedName>
    <definedName name="_xlnm._FilterDatabase" localSheetId="14" hidden="1">'FTD12'!$A$6:$O$48</definedName>
    <definedName name="_xlnm._FilterDatabase" localSheetId="15" hidden="1">'FTD13'!$A$6:$O$48</definedName>
    <definedName name="_xlnm._FilterDatabase" localSheetId="16" hidden="1">'FTD14'!$A$6:$O$48</definedName>
    <definedName name="_xlnm._FilterDatabase" localSheetId="17" hidden="1">'FTD15'!$A$6:$O$48</definedName>
    <definedName name="_xlnm._FilterDatabase" localSheetId="2" hidden="1">'Lista rev FER'!$B$3:$AV$45</definedName>
    <definedName name="_xlnm._FilterDatabase" localSheetId="1" hidden="1">'Lista REV PGD'!$B$3:$AJ$43</definedName>
    <definedName name="_xlnm._FilterDatabase" localSheetId="18" hidden="1">'PGD01'!$A$6:$O$44</definedName>
    <definedName name="_xlnm._FilterDatabase" localSheetId="19" hidden="1">'PGD02'!$A$6:$O$44</definedName>
    <definedName name="_xlnm._FilterDatabase" localSheetId="20" hidden="1">'PGD03'!$A$6:$O$44</definedName>
    <definedName name="_xlnm._FilterDatabase" localSheetId="21" hidden="1">'PGD04'!$A$6:$O$6</definedName>
    <definedName name="_xlnm._FilterDatabase" localSheetId="22" hidden="1">'PGD05'!$A$6:$O$44</definedName>
    <definedName name="_xlnm._FilterDatabase" localSheetId="23" hidden="1">'PGD06'!$A$6:$O$44</definedName>
    <definedName name="_xlnm._FilterDatabase" localSheetId="24" hidden="1">'PGD07'!$A$6:$O$44</definedName>
    <definedName name="_xlnm._FilterDatabase" localSheetId="25" hidden="1">'PGD08'!$A$6:$O$6</definedName>
    <definedName name="_xlnm._FilterDatabase" localSheetId="26" hidden="1">'PGD09'!$A$6:$O$44</definedName>
    <definedName name="_xlnm._FilterDatabase" localSheetId="27" hidden="1">'PGD10'!$A$6:$O$44</definedName>
    <definedName name="_xlnm._FilterDatabase" localSheetId="28" hidden="1">'PGD11'!$A$6:$O$6</definedName>
    <definedName name="_xlnm._FilterDatabase" localSheetId="29" hidden="1">'PGD12'!$A$6:$O$6</definedName>
    <definedName name="_xlnm._FilterDatabase" localSheetId="30" hidden="1">'PGD13'!$A$6:$O$6</definedName>
    <definedName name="_xlnm._FilterDatabase" localSheetId="31" hidden="1">'PGD14'!$A$6:$O$6</definedName>
    <definedName name="_xlnm._FilterDatabase" localSheetId="32" hidden="1">'PGD15'!$A$6:$O$6</definedName>
    <definedName name="_xlnm._FilterDatabase" localSheetId="41" hidden="1">'TLF01'!$A$6:$O$36</definedName>
    <definedName name="_xlnm._FilterDatabase" localSheetId="42" hidden="1">'TLF02'!$A$6:$O$36</definedName>
    <definedName name="_xlnm._FilterDatabase" localSheetId="43" hidden="1">'TLF03'!$A$6:$O$36</definedName>
    <definedName name="_xlnm._FilterDatabase" localSheetId="44" hidden="1">'TLF04'!$A$6:$O$36</definedName>
    <definedName name="_xlnm._FilterDatabase" localSheetId="37" hidden="1">'TLP01'!$A$6:$O$36</definedName>
    <definedName name="_xlnm._FilterDatabase" localSheetId="38" hidden="1">'TLP02'!$A$6:$O$36</definedName>
    <definedName name="_xlnm._FilterDatabase" localSheetId="39" hidden="1">'TLP03'!$A$6:$O$36</definedName>
    <definedName name="_xlnm._FilterDatabase" localSheetId="40" hidden="1">'TLP04'!$A$6:$O$36</definedName>
    <definedName name="_xlnm.Print_Area" localSheetId="33">'BLD02'!$A$1:$O$109</definedName>
    <definedName name="_xlnm.Print_Area" localSheetId="34">'BLD03'!$A$1:$O$109</definedName>
    <definedName name="_xlnm.Print_Area" localSheetId="35">'BLD04'!$A$1:$O$109</definedName>
    <definedName name="_xlnm.Print_Area" localSheetId="36">'BLD05'!$A$1:$O$109</definedName>
    <definedName name="_xlnm.Print_Area" localSheetId="3">'FTD01'!$A$1:$O$109</definedName>
    <definedName name="_xlnm.Print_Area" localSheetId="4">'FTD02'!$A$1:$O$109</definedName>
    <definedName name="_xlnm.Print_Area" localSheetId="5">'FTD03'!$A$1:$O$109</definedName>
    <definedName name="_xlnm.Print_Area" localSheetId="6">'FTD04'!$A$1:$O$109</definedName>
    <definedName name="_xlnm.Print_Area" localSheetId="7">'FTD05'!$A$1:$O$109</definedName>
    <definedName name="_xlnm.Print_Area" localSheetId="8">'FTD06'!$A$1:$O$109</definedName>
    <definedName name="_xlnm.Print_Area" localSheetId="9">'FTD07'!$A$1:$O$109</definedName>
    <definedName name="_xlnm.Print_Area" localSheetId="10">'FTD08'!$A$1:$O$109</definedName>
    <definedName name="_xlnm.Print_Area" localSheetId="11">'FTD09'!$A$1:$O$109</definedName>
    <definedName name="_xlnm.Print_Area" localSheetId="12">'FTD10'!$A$1:$O$109</definedName>
    <definedName name="_xlnm.Print_Area" localSheetId="13">'FTD11'!$A$1:$O$109</definedName>
    <definedName name="_xlnm.Print_Area" localSheetId="14">'FTD12'!$A$1:$O$109</definedName>
    <definedName name="_xlnm.Print_Area" localSheetId="15">'FTD13'!$A$1:$O$109</definedName>
    <definedName name="_xlnm.Print_Area" localSheetId="16">'FTD14'!$A$1:$O$109</definedName>
    <definedName name="_xlnm.Print_Area" localSheetId="17">'FTD15'!$A$1:$O$109</definedName>
    <definedName name="_xlnm.Print_Area" localSheetId="18">'PGD01'!$A$1:$O$109</definedName>
    <definedName name="_xlnm.Print_Area" localSheetId="19">'PGD02'!$A$1:$O$110</definedName>
    <definedName name="_xlnm.Print_Area" localSheetId="20">'PGD03'!$A$1:$O$110</definedName>
    <definedName name="_xlnm.Print_Area" localSheetId="21">'PGD04'!$A$1:$O$110</definedName>
    <definedName name="_xlnm.Print_Area" localSheetId="22">'PGD05'!$A$1:$O$110</definedName>
    <definedName name="_xlnm.Print_Area" localSheetId="23">'PGD06'!$A$1:$O$110</definedName>
    <definedName name="_xlnm.Print_Area" localSheetId="24">'PGD07'!$A$1:$O$110</definedName>
    <definedName name="_xlnm.Print_Area" localSheetId="25">'PGD08'!$A$1:$O$110</definedName>
    <definedName name="_xlnm.Print_Area" localSheetId="26">'PGD09'!$A$1:$O$110</definedName>
    <definedName name="_xlnm.Print_Area" localSheetId="27">'PGD10'!$A$1:$O$110</definedName>
    <definedName name="_xlnm.Print_Area" localSheetId="28">'PGD11'!$A$1:$O$110</definedName>
    <definedName name="_xlnm.Print_Area" localSheetId="29">'PGD12'!$A$1:$O$111</definedName>
    <definedName name="_xlnm.Print_Area" localSheetId="30">'PGD13'!$A$1:$O$111</definedName>
    <definedName name="_xlnm.Print_Area" localSheetId="31">'PGD14'!$A$1:$O$111</definedName>
    <definedName name="_xlnm.Print_Area" localSheetId="32">'PGD15'!$A$1:$O$111</definedName>
    <definedName name="_xlnm.Print_Area" localSheetId="41">'TLF01'!$A$1:$O$109</definedName>
    <definedName name="_xlnm.Print_Area" localSheetId="42">'TLF02'!$A$1:$O$109</definedName>
    <definedName name="_xlnm.Print_Area" localSheetId="43">'TLF03'!$A$1:$O$109</definedName>
    <definedName name="_xlnm.Print_Area" localSheetId="44">'TLF04'!$A$1:$O$109</definedName>
    <definedName name="_xlnm.Print_Area" localSheetId="37">'TLP01'!$A$1:$O$109</definedName>
    <definedName name="_xlnm.Print_Area" localSheetId="38">'TLP02'!$A$1:$O$109</definedName>
    <definedName name="_xlnm.Print_Area" localSheetId="39">'TLP03'!$A$1:$O$109</definedName>
    <definedName name="_xlnm.Print_Area" localSheetId="40">'TLP04'!$A$1:$O$109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119" l="1"/>
  <c r="C128" i="119"/>
  <c r="C127" i="119"/>
  <c r="C126" i="119"/>
  <c r="C125" i="119"/>
  <c r="C124" i="119"/>
  <c r="C120" i="119"/>
  <c r="C119" i="119"/>
  <c r="C118" i="119"/>
  <c r="C117" i="119"/>
  <c r="C116" i="119"/>
  <c r="C115" i="119"/>
  <c r="C129" i="118"/>
  <c r="C128" i="118"/>
  <c r="C127" i="118"/>
  <c r="C126" i="118"/>
  <c r="C125" i="118"/>
  <c r="C124" i="118"/>
  <c r="C120" i="118"/>
  <c r="C119" i="118"/>
  <c r="C118" i="118"/>
  <c r="C117" i="118"/>
  <c r="C116" i="118"/>
  <c r="C115" i="118"/>
  <c r="C129" i="117"/>
  <c r="C128" i="117"/>
  <c r="C127" i="117"/>
  <c r="C126" i="117"/>
  <c r="C125" i="117"/>
  <c r="C124" i="117"/>
  <c r="C120" i="117"/>
  <c r="C119" i="117"/>
  <c r="C118" i="117"/>
  <c r="C117" i="117"/>
  <c r="C116" i="117"/>
  <c r="C115" i="117"/>
  <c r="C127" i="116"/>
  <c r="C126" i="116"/>
  <c r="C125" i="116"/>
  <c r="C124" i="116"/>
  <c r="C120" i="116"/>
  <c r="C119" i="116"/>
  <c r="C118" i="116"/>
  <c r="C117" i="116"/>
  <c r="C127" i="115"/>
  <c r="C126" i="115"/>
  <c r="C125" i="115"/>
  <c r="C124" i="115"/>
  <c r="C120" i="115"/>
  <c r="C119" i="115"/>
  <c r="C118" i="115"/>
  <c r="C117" i="115"/>
  <c r="C127" i="114"/>
  <c r="C126" i="114"/>
  <c r="C125" i="114"/>
  <c r="C124" i="114"/>
  <c r="C120" i="114"/>
  <c r="C119" i="114"/>
  <c r="C118" i="114"/>
  <c r="C117" i="114"/>
  <c r="C130" i="113"/>
  <c r="C129" i="113"/>
  <c r="C128" i="113"/>
  <c r="C127" i="113"/>
  <c r="C126" i="113"/>
  <c r="C125" i="113"/>
  <c r="C121" i="113"/>
  <c r="C120" i="113"/>
  <c r="C119" i="113"/>
  <c r="C118" i="113"/>
  <c r="C117" i="113"/>
  <c r="C116" i="113"/>
  <c r="C115" i="113"/>
  <c r="C130" i="112"/>
  <c r="C129" i="112"/>
  <c r="C128" i="112"/>
  <c r="C127" i="112"/>
  <c r="C126" i="112"/>
  <c r="C125" i="112"/>
  <c r="C121" i="112"/>
  <c r="C120" i="112"/>
  <c r="C119" i="112"/>
  <c r="C118" i="112"/>
  <c r="C117" i="112"/>
  <c r="C116" i="112"/>
  <c r="C115" i="112"/>
  <c r="C120" i="90"/>
  <c r="C118" i="90"/>
  <c r="C117" i="90"/>
  <c r="C116" i="90"/>
  <c r="C115" i="90"/>
  <c r="D35" i="67"/>
  <c r="D37" i="67"/>
  <c r="D43" i="67"/>
  <c r="AU45" i="92"/>
  <c r="AU44" i="92"/>
  <c r="AQ45" i="92"/>
  <c r="AQ44" i="92"/>
  <c r="AM45" i="92"/>
  <c r="AM44" i="92"/>
  <c r="AI45" i="92"/>
  <c r="AI44" i="92"/>
  <c r="AE45" i="92"/>
  <c r="AE44" i="92"/>
  <c r="AA45" i="92"/>
  <c r="AA44" i="92"/>
  <c r="W45" i="92"/>
  <c r="W44" i="92"/>
  <c r="S45" i="92"/>
  <c r="S44" i="92"/>
  <c r="O45" i="92"/>
  <c r="O44" i="92"/>
  <c r="K45" i="92"/>
  <c r="K44" i="92"/>
  <c r="G45" i="92"/>
  <c r="G44" i="92"/>
  <c r="AU5" i="92"/>
  <c r="AU6" i="92"/>
  <c r="AU7" i="92"/>
  <c r="AU8" i="92"/>
  <c r="AU9" i="92"/>
  <c r="AU10" i="92"/>
  <c r="AU11" i="92"/>
  <c r="AU12" i="92"/>
  <c r="AU13" i="92"/>
  <c r="AU14" i="92"/>
  <c r="AU15" i="92"/>
  <c r="AU16" i="92"/>
  <c r="AU17" i="92"/>
  <c r="AU18" i="92"/>
  <c r="AU19" i="92"/>
  <c r="AU20" i="92"/>
  <c r="AU21" i="92"/>
  <c r="AU22" i="92"/>
  <c r="AU23" i="92"/>
  <c r="AU24" i="92"/>
  <c r="AU25" i="92"/>
  <c r="AU26" i="92"/>
  <c r="AU27" i="92"/>
  <c r="AU28" i="92"/>
  <c r="AU29" i="92"/>
  <c r="AU30" i="92"/>
  <c r="AU31" i="92"/>
  <c r="AU32" i="92"/>
  <c r="AU33" i="92"/>
  <c r="AU34" i="92"/>
  <c r="AU35" i="92"/>
  <c r="AU36" i="92"/>
  <c r="AU37" i="92"/>
  <c r="AU38" i="92"/>
  <c r="AU39" i="92"/>
  <c r="AU40" i="92"/>
  <c r="AU41" i="92"/>
  <c r="AU42" i="92"/>
  <c r="AU43" i="92"/>
  <c r="AU4" i="92"/>
  <c r="AQ5" i="92"/>
  <c r="AQ6" i="92"/>
  <c r="AQ7" i="92"/>
  <c r="AQ8" i="92"/>
  <c r="AQ9" i="92"/>
  <c r="AQ10" i="92"/>
  <c r="AQ11" i="92"/>
  <c r="AQ12" i="92"/>
  <c r="AQ13" i="92"/>
  <c r="AQ14" i="92"/>
  <c r="AQ15" i="92"/>
  <c r="AQ16" i="92"/>
  <c r="AQ17" i="92"/>
  <c r="AQ18" i="92"/>
  <c r="AQ19" i="92"/>
  <c r="AQ20" i="92"/>
  <c r="AQ21" i="92"/>
  <c r="AQ22" i="92"/>
  <c r="AQ23" i="92"/>
  <c r="AQ24" i="92"/>
  <c r="AQ25" i="92"/>
  <c r="AQ26" i="92"/>
  <c r="AQ27" i="92"/>
  <c r="AQ28" i="92"/>
  <c r="AQ29" i="92"/>
  <c r="AQ30" i="92"/>
  <c r="AQ31" i="92"/>
  <c r="AQ32" i="92"/>
  <c r="AQ33" i="92"/>
  <c r="AQ34" i="92"/>
  <c r="AQ35" i="92"/>
  <c r="AQ36" i="92"/>
  <c r="AQ37" i="92"/>
  <c r="AQ38" i="92"/>
  <c r="AQ39" i="92"/>
  <c r="AQ40" i="92"/>
  <c r="AQ41" i="92"/>
  <c r="AQ42" i="92"/>
  <c r="AQ43" i="92"/>
  <c r="AQ4" i="92"/>
  <c r="AM5" i="92"/>
  <c r="AM6" i="92"/>
  <c r="AM7" i="92"/>
  <c r="AM8" i="92"/>
  <c r="AM9" i="92"/>
  <c r="AM10" i="92"/>
  <c r="AM11" i="92"/>
  <c r="AM12" i="92"/>
  <c r="AM13" i="92"/>
  <c r="AM14" i="92"/>
  <c r="AM15" i="92"/>
  <c r="AM16" i="92"/>
  <c r="AM17" i="92"/>
  <c r="AM18" i="92"/>
  <c r="AM19" i="92"/>
  <c r="AM20" i="92"/>
  <c r="AM21" i="92"/>
  <c r="AM22" i="92"/>
  <c r="AM23" i="92"/>
  <c r="AM24" i="92"/>
  <c r="AM25" i="92"/>
  <c r="AM26" i="92"/>
  <c r="AM27" i="92"/>
  <c r="AM28" i="92"/>
  <c r="AM29" i="92"/>
  <c r="AM30" i="92"/>
  <c r="AM31" i="92"/>
  <c r="AM32" i="92"/>
  <c r="AM33" i="92"/>
  <c r="AM34" i="92"/>
  <c r="AM35" i="92"/>
  <c r="AM36" i="92"/>
  <c r="AM37" i="92"/>
  <c r="AM38" i="92"/>
  <c r="AM39" i="92"/>
  <c r="AM40" i="92"/>
  <c r="AM41" i="92"/>
  <c r="AM42" i="92"/>
  <c r="AM43" i="92"/>
  <c r="AM4" i="92"/>
  <c r="AI5" i="92"/>
  <c r="AI6" i="92"/>
  <c r="AI7" i="92"/>
  <c r="AI8" i="92"/>
  <c r="AI9" i="92"/>
  <c r="AI10" i="92"/>
  <c r="AI11" i="92"/>
  <c r="AI12" i="92"/>
  <c r="AI13" i="92"/>
  <c r="AI14" i="92"/>
  <c r="AI15" i="92"/>
  <c r="AI16" i="92"/>
  <c r="AI17" i="92"/>
  <c r="AI18" i="92"/>
  <c r="AI19" i="92"/>
  <c r="AI20" i="92"/>
  <c r="AI21" i="92"/>
  <c r="AI22" i="92"/>
  <c r="AI23" i="92"/>
  <c r="AI24" i="92"/>
  <c r="AI25" i="92"/>
  <c r="AI26" i="92"/>
  <c r="AI27" i="92"/>
  <c r="AI28" i="92"/>
  <c r="AI29" i="92"/>
  <c r="AI30" i="92"/>
  <c r="AI31" i="92"/>
  <c r="AI32" i="92"/>
  <c r="AI33" i="92"/>
  <c r="AI34" i="92"/>
  <c r="AI35" i="92"/>
  <c r="AI36" i="92"/>
  <c r="AI37" i="92"/>
  <c r="AI38" i="92"/>
  <c r="AI39" i="92"/>
  <c r="AI40" i="92"/>
  <c r="AI41" i="92"/>
  <c r="AI42" i="92"/>
  <c r="AI43" i="92"/>
  <c r="AI4" i="92"/>
  <c r="AE5" i="92"/>
  <c r="AE6" i="92"/>
  <c r="AE7" i="92"/>
  <c r="AE8" i="92"/>
  <c r="AE9" i="92"/>
  <c r="AE10" i="92"/>
  <c r="AE11" i="92"/>
  <c r="AE12" i="92"/>
  <c r="AE13" i="92"/>
  <c r="AE14" i="92"/>
  <c r="AE15" i="92"/>
  <c r="AE16" i="92"/>
  <c r="AE17" i="92"/>
  <c r="AE18" i="92"/>
  <c r="AE19" i="92"/>
  <c r="AE20" i="92"/>
  <c r="AE21" i="92"/>
  <c r="AE22" i="92"/>
  <c r="AE23" i="92"/>
  <c r="AE24" i="92"/>
  <c r="AE25" i="92"/>
  <c r="AE26" i="92"/>
  <c r="AE27" i="92"/>
  <c r="AE28" i="92"/>
  <c r="AE29" i="92"/>
  <c r="AE30" i="92"/>
  <c r="AE31" i="92"/>
  <c r="AE32" i="92"/>
  <c r="AE33" i="92"/>
  <c r="AE34" i="92"/>
  <c r="AE35" i="92"/>
  <c r="AE36" i="92"/>
  <c r="AE37" i="92"/>
  <c r="AE38" i="92"/>
  <c r="AE39" i="92"/>
  <c r="AE40" i="92"/>
  <c r="AE41" i="92"/>
  <c r="AE42" i="92"/>
  <c r="AE43" i="92"/>
  <c r="AE4" i="92"/>
  <c r="AA5" i="92"/>
  <c r="AA6" i="92"/>
  <c r="AA7" i="92"/>
  <c r="AA8" i="92"/>
  <c r="AA9" i="92"/>
  <c r="AA10" i="92"/>
  <c r="AA11" i="92"/>
  <c r="AA12" i="92"/>
  <c r="AA13" i="92"/>
  <c r="AA14" i="92"/>
  <c r="AA15" i="92"/>
  <c r="AA16" i="92"/>
  <c r="AA17" i="92"/>
  <c r="AA18" i="92"/>
  <c r="AA19" i="92"/>
  <c r="AA20" i="92"/>
  <c r="AA21" i="92"/>
  <c r="AA22" i="92"/>
  <c r="AA23" i="92"/>
  <c r="AA24" i="92"/>
  <c r="AA25" i="92"/>
  <c r="AA26" i="92"/>
  <c r="AA27" i="92"/>
  <c r="AA28" i="92"/>
  <c r="AA29" i="92"/>
  <c r="AA30" i="92"/>
  <c r="AA31" i="92"/>
  <c r="AA32" i="92"/>
  <c r="AA33" i="92"/>
  <c r="AA34" i="92"/>
  <c r="AA35" i="92"/>
  <c r="AA36" i="92"/>
  <c r="AA37" i="92"/>
  <c r="AA38" i="92"/>
  <c r="AA39" i="92"/>
  <c r="AA40" i="92"/>
  <c r="AA41" i="92"/>
  <c r="AA42" i="92"/>
  <c r="AA43" i="92"/>
  <c r="AA4" i="92"/>
  <c r="W5" i="92"/>
  <c r="W6" i="92"/>
  <c r="W7" i="92"/>
  <c r="W8" i="92"/>
  <c r="W9" i="92"/>
  <c r="W10" i="92"/>
  <c r="W11" i="92"/>
  <c r="W12" i="92"/>
  <c r="W13" i="92"/>
  <c r="W14" i="92"/>
  <c r="W15" i="92"/>
  <c r="W16" i="92"/>
  <c r="W17" i="92"/>
  <c r="W18" i="92"/>
  <c r="W19" i="92"/>
  <c r="W20" i="92"/>
  <c r="W21" i="92"/>
  <c r="W22" i="92"/>
  <c r="W23" i="92"/>
  <c r="W24" i="92"/>
  <c r="W25" i="92"/>
  <c r="W26" i="92"/>
  <c r="W27" i="92"/>
  <c r="W28" i="92"/>
  <c r="W29" i="92"/>
  <c r="W30" i="92"/>
  <c r="W31" i="92"/>
  <c r="W32" i="92"/>
  <c r="W33" i="92"/>
  <c r="W34" i="92"/>
  <c r="W35" i="92"/>
  <c r="W36" i="92"/>
  <c r="W37" i="92"/>
  <c r="W38" i="92"/>
  <c r="W39" i="92"/>
  <c r="W40" i="92"/>
  <c r="W41" i="92"/>
  <c r="W42" i="92"/>
  <c r="W43" i="92"/>
  <c r="W4" i="92"/>
  <c r="S5" i="92"/>
  <c r="S6" i="92"/>
  <c r="S7" i="92"/>
  <c r="S8" i="92"/>
  <c r="S9" i="92"/>
  <c r="S10" i="92"/>
  <c r="S11" i="92"/>
  <c r="S12" i="92"/>
  <c r="S13" i="92"/>
  <c r="S14" i="92"/>
  <c r="S15" i="92"/>
  <c r="S16" i="92"/>
  <c r="S17" i="92"/>
  <c r="S18" i="92"/>
  <c r="S19" i="92"/>
  <c r="S20" i="92"/>
  <c r="S21" i="92"/>
  <c r="S22" i="92"/>
  <c r="S23" i="92"/>
  <c r="S24" i="92"/>
  <c r="S25" i="92"/>
  <c r="S26" i="92"/>
  <c r="S27" i="92"/>
  <c r="S28" i="92"/>
  <c r="S29" i="92"/>
  <c r="S30" i="92"/>
  <c r="S31" i="92"/>
  <c r="S32" i="92"/>
  <c r="S33" i="92"/>
  <c r="S34" i="92"/>
  <c r="S35" i="92"/>
  <c r="S36" i="92"/>
  <c r="S37" i="92"/>
  <c r="S38" i="92"/>
  <c r="S39" i="92"/>
  <c r="S40" i="92"/>
  <c r="S41" i="92"/>
  <c r="S42" i="92"/>
  <c r="S43" i="92"/>
  <c r="S4" i="92"/>
  <c r="O43" i="92"/>
  <c r="O5" i="92"/>
  <c r="O6" i="92"/>
  <c r="O7" i="92"/>
  <c r="O8" i="92"/>
  <c r="O9" i="92"/>
  <c r="O10" i="92"/>
  <c r="O11" i="92"/>
  <c r="O12" i="92"/>
  <c r="O13" i="92"/>
  <c r="O14" i="92"/>
  <c r="O15" i="92"/>
  <c r="O16" i="92"/>
  <c r="O17" i="92"/>
  <c r="O18" i="92"/>
  <c r="O19" i="92"/>
  <c r="O20" i="92"/>
  <c r="O21" i="92"/>
  <c r="O22" i="92"/>
  <c r="O23" i="92"/>
  <c r="O24" i="92"/>
  <c r="O25" i="92"/>
  <c r="O26" i="92"/>
  <c r="O27" i="92"/>
  <c r="O28" i="92"/>
  <c r="O29" i="92"/>
  <c r="O30" i="92"/>
  <c r="O31" i="92"/>
  <c r="O32" i="92"/>
  <c r="O33" i="92"/>
  <c r="O34" i="92"/>
  <c r="O35" i="92"/>
  <c r="O36" i="92"/>
  <c r="O37" i="92"/>
  <c r="O38" i="92"/>
  <c r="O39" i="92"/>
  <c r="O40" i="92"/>
  <c r="O41" i="92"/>
  <c r="O42" i="92"/>
  <c r="O4" i="92"/>
  <c r="K5" i="92"/>
  <c r="K6" i="92"/>
  <c r="K7" i="92"/>
  <c r="K8" i="92"/>
  <c r="K9" i="92"/>
  <c r="K10" i="92"/>
  <c r="K11" i="92"/>
  <c r="K12" i="92"/>
  <c r="K13" i="92"/>
  <c r="K14" i="92"/>
  <c r="K15" i="92"/>
  <c r="K16" i="92"/>
  <c r="K17" i="92"/>
  <c r="K18" i="92"/>
  <c r="K19" i="92"/>
  <c r="K20" i="92"/>
  <c r="K21" i="92"/>
  <c r="K22" i="92"/>
  <c r="K23" i="92"/>
  <c r="K24" i="92"/>
  <c r="K25" i="92"/>
  <c r="K26" i="92"/>
  <c r="K27" i="92"/>
  <c r="K28" i="92"/>
  <c r="K29" i="92"/>
  <c r="K30" i="92"/>
  <c r="K31" i="92"/>
  <c r="K32" i="92"/>
  <c r="K33" i="92"/>
  <c r="K34" i="92"/>
  <c r="K35" i="92"/>
  <c r="K36" i="92"/>
  <c r="K37" i="92"/>
  <c r="K38" i="92"/>
  <c r="K39" i="92"/>
  <c r="K40" i="92"/>
  <c r="K41" i="92"/>
  <c r="K42" i="92"/>
  <c r="K43" i="92"/>
  <c r="K4" i="92"/>
  <c r="G6" i="92"/>
  <c r="G7" i="92"/>
  <c r="G8" i="92"/>
  <c r="G9" i="92"/>
  <c r="G10" i="92"/>
  <c r="G11" i="92"/>
  <c r="G12" i="92"/>
  <c r="G13" i="92"/>
  <c r="G14" i="92"/>
  <c r="G15" i="92"/>
  <c r="G16" i="92"/>
  <c r="G17" i="92"/>
  <c r="G18" i="92"/>
  <c r="G19" i="92"/>
  <c r="G20" i="92"/>
  <c r="G21" i="92"/>
  <c r="G22" i="92"/>
  <c r="G23" i="92"/>
  <c r="G24" i="92"/>
  <c r="G25" i="92"/>
  <c r="G26" i="92"/>
  <c r="G27" i="92"/>
  <c r="G28" i="92"/>
  <c r="G29" i="92"/>
  <c r="G30" i="92"/>
  <c r="G31" i="92"/>
  <c r="G32" i="92"/>
  <c r="G33" i="92"/>
  <c r="G34" i="92"/>
  <c r="G35" i="92"/>
  <c r="G36" i="92"/>
  <c r="G37" i="92"/>
  <c r="G38" i="92"/>
  <c r="G39" i="92"/>
  <c r="G40" i="92"/>
  <c r="G41" i="92"/>
  <c r="G42" i="92"/>
  <c r="G43" i="92"/>
  <c r="G5" i="92"/>
  <c r="G4" i="92"/>
  <c r="AR4" i="95"/>
  <c r="F4" i="92"/>
  <c r="C129" i="104"/>
  <c r="C128" i="104"/>
  <c r="C127" i="104"/>
  <c r="C126" i="104"/>
  <c r="C125" i="104"/>
  <c r="C124" i="104"/>
  <c r="C120" i="104"/>
  <c r="C119" i="104"/>
  <c r="C118" i="104"/>
  <c r="C117" i="104"/>
  <c r="C116" i="104"/>
  <c r="C115" i="104"/>
  <c r="C129" i="103"/>
  <c r="C128" i="103"/>
  <c r="C127" i="103"/>
  <c r="C126" i="103"/>
  <c r="C125" i="103"/>
  <c r="C124" i="103"/>
  <c r="C120" i="103"/>
  <c r="C119" i="103"/>
  <c r="C118" i="103"/>
  <c r="C117" i="103"/>
  <c r="C116" i="103"/>
  <c r="C115" i="103"/>
  <c r="C129" i="102"/>
  <c r="C128" i="102"/>
  <c r="C127" i="102"/>
  <c r="C126" i="102"/>
  <c r="C125" i="102"/>
  <c r="C124" i="102"/>
  <c r="C120" i="102"/>
  <c r="C119" i="102"/>
  <c r="C118" i="102"/>
  <c r="C117" i="102"/>
  <c r="C116" i="102"/>
  <c r="C115" i="102"/>
  <c r="C129" i="101"/>
  <c r="C128" i="101"/>
  <c r="C127" i="101"/>
  <c r="C126" i="101"/>
  <c r="C125" i="101"/>
  <c r="C124" i="101"/>
  <c r="C120" i="101"/>
  <c r="C119" i="101"/>
  <c r="C118" i="101"/>
  <c r="C117" i="101"/>
  <c r="C116" i="101"/>
  <c r="C115" i="101"/>
  <c r="C129" i="100"/>
  <c r="C128" i="100"/>
  <c r="C127" i="100"/>
  <c r="C126" i="100"/>
  <c r="C125" i="100"/>
  <c r="C124" i="100"/>
  <c r="C120" i="100"/>
  <c r="C119" i="100"/>
  <c r="C118" i="100"/>
  <c r="C117" i="100"/>
  <c r="C116" i="100"/>
  <c r="C115" i="100"/>
  <c r="C129" i="99"/>
  <c r="C128" i="99"/>
  <c r="C127" i="99"/>
  <c r="C126" i="99"/>
  <c r="C125" i="99"/>
  <c r="C124" i="99"/>
  <c r="C120" i="99"/>
  <c r="C119" i="99"/>
  <c r="C118" i="99"/>
  <c r="C117" i="99"/>
  <c r="C116" i="99"/>
  <c r="C115" i="99"/>
  <c r="C129" i="98"/>
  <c r="C128" i="98"/>
  <c r="C127" i="98"/>
  <c r="C126" i="98"/>
  <c r="C125" i="98"/>
  <c r="C124" i="98"/>
  <c r="C120" i="98"/>
  <c r="C119" i="98"/>
  <c r="C118" i="98"/>
  <c r="C117" i="98"/>
  <c r="C116" i="98"/>
  <c r="C115" i="98"/>
  <c r="C129" i="97"/>
  <c r="C128" i="97"/>
  <c r="C127" i="97"/>
  <c r="C126" i="97"/>
  <c r="C125" i="97"/>
  <c r="C124" i="97"/>
  <c r="C120" i="97"/>
  <c r="C119" i="97"/>
  <c r="C118" i="97"/>
  <c r="C117" i="97"/>
  <c r="C116" i="97"/>
  <c r="C115" i="97"/>
  <c r="C130" i="90"/>
  <c r="C129" i="90"/>
  <c r="C128" i="90"/>
  <c r="C127" i="90"/>
  <c r="C126" i="90"/>
  <c r="C125" i="90"/>
  <c r="C121" i="90"/>
  <c r="C119" i="90"/>
  <c r="C125" i="89"/>
  <c r="C126" i="89"/>
  <c r="C127" i="89"/>
  <c r="C128" i="89"/>
  <c r="C129" i="89"/>
  <c r="C124" i="89"/>
  <c r="C116" i="89"/>
  <c r="C117" i="89"/>
  <c r="C118" i="89"/>
  <c r="C119" i="89"/>
  <c r="C120" i="89"/>
  <c r="C115" i="89"/>
  <c r="C127" i="88"/>
  <c r="C126" i="88"/>
  <c r="C125" i="88"/>
  <c r="C124" i="88"/>
  <c r="C120" i="88"/>
  <c r="C119" i="88"/>
  <c r="C118" i="88"/>
  <c r="C117" i="88"/>
  <c r="C126" i="87"/>
  <c r="C125" i="87"/>
  <c r="C124" i="87"/>
  <c r="C123" i="87"/>
  <c r="C119" i="87"/>
  <c r="C118" i="87"/>
  <c r="C117" i="87"/>
  <c r="C116" i="87"/>
  <c r="C126" i="86"/>
  <c r="C125" i="86"/>
  <c r="C124" i="86"/>
  <c r="C123" i="86"/>
  <c r="C119" i="86"/>
  <c r="C118" i="86"/>
  <c r="C117" i="86"/>
  <c r="C116" i="86"/>
  <c r="C126" i="85"/>
  <c r="C125" i="85"/>
  <c r="C124" i="85"/>
  <c r="C123" i="85"/>
  <c r="C119" i="85"/>
  <c r="C118" i="85"/>
  <c r="C117" i="85"/>
  <c r="C116" i="85"/>
  <c r="C126" i="84"/>
  <c r="C125" i="84"/>
  <c r="C124" i="84"/>
  <c r="C123" i="84"/>
  <c r="C119" i="84"/>
  <c r="C118" i="84"/>
  <c r="C117" i="84"/>
  <c r="C116" i="84"/>
  <c r="C126" i="83"/>
  <c r="C125" i="83"/>
  <c r="C124" i="83"/>
  <c r="C123" i="83"/>
  <c r="C119" i="83"/>
  <c r="C118" i="83"/>
  <c r="C117" i="83"/>
  <c r="C116" i="83"/>
  <c r="C126" i="82"/>
  <c r="C125" i="82"/>
  <c r="C124" i="82"/>
  <c r="C123" i="82"/>
  <c r="C119" i="82"/>
  <c r="C118" i="82"/>
  <c r="C117" i="82"/>
  <c r="C116" i="82"/>
  <c r="C126" i="81"/>
  <c r="C125" i="81"/>
  <c r="C124" i="81"/>
  <c r="C123" i="81"/>
  <c r="C119" i="81"/>
  <c r="C118" i="81"/>
  <c r="C117" i="81"/>
  <c r="C116" i="81"/>
  <c r="C126" i="80"/>
  <c r="C125" i="80"/>
  <c r="C124" i="80"/>
  <c r="C123" i="80"/>
  <c r="C119" i="80"/>
  <c r="C118" i="80"/>
  <c r="C117" i="80"/>
  <c r="C116" i="80"/>
  <c r="C126" i="79"/>
  <c r="C125" i="79"/>
  <c r="C124" i="79"/>
  <c r="C123" i="79"/>
  <c r="C119" i="79"/>
  <c r="C118" i="79"/>
  <c r="C117" i="79"/>
  <c r="C116" i="79"/>
  <c r="C126" i="78"/>
  <c r="C125" i="78"/>
  <c r="C124" i="78"/>
  <c r="C123" i="78"/>
  <c r="C119" i="78"/>
  <c r="C118" i="78"/>
  <c r="C117" i="78"/>
  <c r="C116" i="78"/>
  <c r="C123" i="77"/>
  <c r="C124" i="77"/>
  <c r="C125" i="77"/>
  <c r="C122" i="77"/>
  <c r="C116" i="77"/>
  <c r="C117" i="77"/>
  <c r="C118" i="77"/>
  <c r="C115" i="77"/>
  <c r="C129" i="76"/>
  <c r="C128" i="76"/>
  <c r="C127" i="76"/>
  <c r="C126" i="76"/>
  <c r="C125" i="76"/>
  <c r="C124" i="76"/>
  <c r="C120" i="76"/>
  <c r="C119" i="76"/>
  <c r="C118" i="76"/>
  <c r="C117" i="76"/>
  <c r="C116" i="76"/>
  <c r="C115" i="76"/>
  <c r="C129" i="75"/>
  <c r="C128" i="75"/>
  <c r="C127" i="75"/>
  <c r="C126" i="75"/>
  <c r="C125" i="75"/>
  <c r="C124" i="75"/>
  <c r="C120" i="75"/>
  <c r="C119" i="75"/>
  <c r="C118" i="75"/>
  <c r="C117" i="75"/>
  <c r="C116" i="75"/>
  <c r="C115" i="75"/>
  <c r="C129" i="74"/>
  <c r="C128" i="74"/>
  <c r="C127" i="74"/>
  <c r="C126" i="74"/>
  <c r="C125" i="74"/>
  <c r="C124" i="74"/>
  <c r="C120" i="74"/>
  <c r="C119" i="74"/>
  <c r="C118" i="74"/>
  <c r="C117" i="74"/>
  <c r="C116" i="74"/>
  <c r="C115" i="74"/>
  <c r="C129" i="72"/>
  <c r="C128" i="72"/>
  <c r="C127" i="72"/>
  <c r="C126" i="72"/>
  <c r="C125" i="72"/>
  <c r="C124" i="72"/>
  <c r="C129" i="73"/>
  <c r="C128" i="73"/>
  <c r="C127" i="73"/>
  <c r="C126" i="73"/>
  <c r="C125" i="73"/>
  <c r="C124" i="73"/>
  <c r="C120" i="73"/>
  <c r="C119" i="73"/>
  <c r="C118" i="73"/>
  <c r="C117" i="73"/>
  <c r="C116" i="73"/>
  <c r="C115" i="73"/>
  <c r="C120" i="72"/>
  <c r="C119" i="72"/>
  <c r="C118" i="72"/>
  <c r="C117" i="72"/>
  <c r="C116" i="72"/>
  <c r="C115" i="72"/>
  <c r="C129" i="71"/>
  <c r="C128" i="71"/>
  <c r="C127" i="71"/>
  <c r="C126" i="71"/>
  <c r="C125" i="71"/>
  <c r="C124" i="71"/>
  <c r="C120" i="71"/>
  <c r="C119" i="71"/>
  <c r="C118" i="71"/>
  <c r="C117" i="71"/>
  <c r="C116" i="71"/>
  <c r="C115" i="71"/>
  <c r="C129" i="70"/>
  <c r="C128" i="70"/>
  <c r="C127" i="70"/>
  <c r="C126" i="70"/>
  <c r="C125" i="70"/>
  <c r="C124" i="70"/>
  <c r="C120" i="70"/>
  <c r="C119" i="70"/>
  <c r="C118" i="70"/>
  <c r="C117" i="70"/>
  <c r="C116" i="70"/>
  <c r="C115" i="70"/>
  <c r="C129" i="69"/>
  <c r="C128" i="69"/>
  <c r="C127" i="69"/>
  <c r="C126" i="69"/>
  <c r="C125" i="69"/>
  <c r="C124" i="69"/>
  <c r="C120" i="69"/>
  <c r="C119" i="69"/>
  <c r="C118" i="69"/>
  <c r="C117" i="69"/>
  <c r="C116" i="69"/>
  <c r="C115" i="69"/>
  <c r="C129" i="68"/>
  <c r="C128" i="68"/>
  <c r="C127" i="68"/>
  <c r="C126" i="68"/>
  <c r="C125" i="68"/>
  <c r="C124" i="68"/>
  <c r="C120" i="68"/>
  <c r="C119" i="68"/>
  <c r="C118" i="68"/>
  <c r="C117" i="68"/>
  <c r="C116" i="68"/>
  <c r="C115" i="68"/>
  <c r="M40" i="95" s="1"/>
  <c r="C129" i="67"/>
  <c r="C128" i="67"/>
  <c r="C127" i="67"/>
  <c r="C126" i="67"/>
  <c r="C125" i="67"/>
  <c r="C124" i="67"/>
  <c r="C120" i="67"/>
  <c r="C119" i="67"/>
  <c r="C118" i="67"/>
  <c r="C117" i="67"/>
  <c r="C116" i="67"/>
  <c r="C115" i="67"/>
  <c r="C129" i="66"/>
  <c r="C128" i="66"/>
  <c r="C127" i="66"/>
  <c r="C126" i="66"/>
  <c r="C125" i="66"/>
  <c r="C124" i="66"/>
  <c r="C120" i="66"/>
  <c r="C119" i="66"/>
  <c r="C118" i="66"/>
  <c r="C117" i="66"/>
  <c r="C116" i="66"/>
  <c r="C115" i="66"/>
  <c r="E31" i="95" s="1"/>
  <c r="C116" i="35"/>
  <c r="C117" i="35"/>
  <c r="C118" i="35"/>
  <c r="C119" i="35"/>
  <c r="C120" i="35"/>
  <c r="C115" i="35"/>
  <c r="C125" i="35"/>
  <c r="C126" i="35"/>
  <c r="C127" i="35"/>
  <c r="C128" i="35"/>
  <c r="C129" i="35"/>
  <c r="C124" i="35"/>
  <c r="AT22" i="95"/>
  <c r="CF41" i="95"/>
  <c r="CB41" i="95"/>
  <c r="BX41" i="95"/>
  <c r="BT41" i="95"/>
  <c r="BP41" i="95"/>
  <c r="BL41" i="95"/>
  <c r="BH41" i="95"/>
  <c r="BD41" i="95"/>
  <c r="AZ41" i="95"/>
  <c r="AV41" i="95"/>
  <c r="AR41" i="95"/>
  <c r="AV5" i="95"/>
  <c r="AV6" i="95"/>
  <c r="AV7" i="95"/>
  <c r="AV8" i="95"/>
  <c r="AV9" i="95"/>
  <c r="AV10" i="95"/>
  <c r="AV11" i="95"/>
  <c r="AV12" i="95"/>
  <c r="AV13" i="95"/>
  <c r="AV14" i="95"/>
  <c r="AV15" i="95"/>
  <c r="AV16" i="95"/>
  <c r="AV17" i="95"/>
  <c r="AV18" i="95"/>
  <c r="AV19" i="95"/>
  <c r="AV20" i="95"/>
  <c r="AV21" i="95"/>
  <c r="AV22" i="95"/>
  <c r="AV23" i="95"/>
  <c r="AV24" i="95"/>
  <c r="AV25" i="95"/>
  <c r="AV26" i="95"/>
  <c r="AV27" i="95"/>
  <c r="AV28" i="95"/>
  <c r="AV29" i="95"/>
  <c r="AV30" i="95"/>
  <c r="AV31" i="95"/>
  <c r="AV32" i="95"/>
  <c r="AV33" i="95"/>
  <c r="AV34" i="95"/>
  <c r="AV35" i="95"/>
  <c r="AV36" i="95"/>
  <c r="AV37" i="95"/>
  <c r="AV38" i="95"/>
  <c r="AV39" i="95"/>
  <c r="AV40" i="95"/>
  <c r="AZ5" i="95"/>
  <c r="AZ6" i="95"/>
  <c r="AZ7" i="95"/>
  <c r="AZ8" i="95"/>
  <c r="AZ9" i="95"/>
  <c r="AZ10" i="95"/>
  <c r="AZ11" i="95"/>
  <c r="AZ12" i="95"/>
  <c r="AZ13" i="95"/>
  <c r="AZ14" i="95"/>
  <c r="AZ15" i="95"/>
  <c r="AZ16" i="95"/>
  <c r="AZ17" i="95"/>
  <c r="AZ18" i="95"/>
  <c r="AZ19" i="95"/>
  <c r="AZ20" i="95"/>
  <c r="AZ21" i="95"/>
  <c r="AZ22" i="95"/>
  <c r="AZ23" i="95"/>
  <c r="AZ24" i="95"/>
  <c r="AZ25" i="95"/>
  <c r="AZ26" i="95"/>
  <c r="AZ27" i="95"/>
  <c r="AZ28" i="95"/>
  <c r="AZ29" i="95"/>
  <c r="AZ30" i="95"/>
  <c r="AZ31" i="95"/>
  <c r="AZ32" i="95"/>
  <c r="AZ33" i="95"/>
  <c r="AZ34" i="95"/>
  <c r="AZ35" i="95"/>
  <c r="AZ36" i="95"/>
  <c r="AZ37" i="95"/>
  <c r="AZ38" i="95"/>
  <c r="AZ39" i="95"/>
  <c r="AZ40" i="95"/>
  <c r="BD5" i="95"/>
  <c r="BD6" i="95"/>
  <c r="BD7" i="95"/>
  <c r="BD8" i="95"/>
  <c r="BD9" i="95"/>
  <c r="BD10" i="95"/>
  <c r="BD11" i="95"/>
  <c r="BD12" i="95"/>
  <c r="BD13" i="95"/>
  <c r="BD14" i="95"/>
  <c r="BD15" i="95"/>
  <c r="BD16" i="95"/>
  <c r="BD17" i="95"/>
  <c r="BD18" i="95"/>
  <c r="BD19" i="95"/>
  <c r="BD20" i="95"/>
  <c r="BD21" i="95"/>
  <c r="BD22" i="95"/>
  <c r="BD23" i="95"/>
  <c r="BD24" i="95"/>
  <c r="BD25" i="95"/>
  <c r="BD26" i="95"/>
  <c r="BD27" i="95"/>
  <c r="BD28" i="95"/>
  <c r="BD29" i="95"/>
  <c r="BD30" i="95"/>
  <c r="BD31" i="95"/>
  <c r="BD32" i="95"/>
  <c r="BD33" i="95"/>
  <c r="BD34" i="95"/>
  <c r="BD35" i="95"/>
  <c r="BD36" i="95"/>
  <c r="BD37" i="95"/>
  <c r="BD38" i="95"/>
  <c r="BD39" i="95"/>
  <c r="BD40" i="95"/>
  <c r="BH5" i="95"/>
  <c r="BH6" i="95"/>
  <c r="BH7" i="95"/>
  <c r="BH8" i="95"/>
  <c r="BH9" i="95"/>
  <c r="BH10" i="95"/>
  <c r="BH11" i="95"/>
  <c r="BH12" i="95"/>
  <c r="BH13" i="95"/>
  <c r="BH14" i="95"/>
  <c r="BH15" i="95"/>
  <c r="BH16" i="95"/>
  <c r="BH17" i="95"/>
  <c r="BH18" i="95"/>
  <c r="BH19" i="95"/>
  <c r="BH20" i="95"/>
  <c r="BH21" i="95"/>
  <c r="BH22" i="95"/>
  <c r="BH23" i="95"/>
  <c r="BH24" i="95"/>
  <c r="BH25" i="95"/>
  <c r="BH26" i="95"/>
  <c r="BH27" i="95"/>
  <c r="BH28" i="95"/>
  <c r="BH29" i="95"/>
  <c r="BH30" i="95"/>
  <c r="BH31" i="95"/>
  <c r="BH32" i="95"/>
  <c r="BH33" i="95"/>
  <c r="BH34" i="95"/>
  <c r="BH35" i="95"/>
  <c r="BH36" i="95"/>
  <c r="BH37" i="95"/>
  <c r="BH38" i="95"/>
  <c r="BH39" i="95"/>
  <c r="BH40" i="95"/>
  <c r="BL5" i="95"/>
  <c r="BL6" i="95"/>
  <c r="BL7" i="95"/>
  <c r="BL8" i="95"/>
  <c r="BL9" i="95"/>
  <c r="BL10" i="95"/>
  <c r="BL11" i="95"/>
  <c r="BL12" i="95"/>
  <c r="BL13" i="95"/>
  <c r="BL14" i="95"/>
  <c r="BL15" i="95"/>
  <c r="BL16" i="95"/>
  <c r="BL17" i="95"/>
  <c r="BL18" i="95"/>
  <c r="BL19" i="95"/>
  <c r="BL20" i="95"/>
  <c r="BL21" i="95"/>
  <c r="BL22" i="95"/>
  <c r="BL23" i="95"/>
  <c r="BL24" i="95"/>
  <c r="BL25" i="95"/>
  <c r="BL26" i="95"/>
  <c r="BL27" i="95"/>
  <c r="BL28" i="95"/>
  <c r="BL29" i="95"/>
  <c r="BL30" i="95"/>
  <c r="BL31" i="95"/>
  <c r="BL32" i="95"/>
  <c r="BL33" i="95"/>
  <c r="BL34" i="95"/>
  <c r="BL35" i="95"/>
  <c r="BL36" i="95"/>
  <c r="BL37" i="95"/>
  <c r="BL38" i="95"/>
  <c r="BL39" i="95"/>
  <c r="BL40" i="95"/>
  <c r="BP5" i="95"/>
  <c r="BP6" i="95"/>
  <c r="BP7" i="95"/>
  <c r="BP8" i="95"/>
  <c r="BP9" i="95"/>
  <c r="BP10" i="95"/>
  <c r="BP11" i="95"/>
  <c r="BP12" i="95"/>
  <c r="BP13" i="95"/>
  <c r="BP14" i="95"/>
  <c r="BP15" i="95"/>
  <c r="BP16" i="95"/>
  <c r="BP17" i="95"/>
  <c r="BP18" i="95"/>
  <c r="BP19" i="95"/>
  <c r="BP20" i="95"/>
  <c r="BP21" i="95"/>
  <c r="BP22" i="95"/>
  <c r="BP23" i="95"/>
  <c r="BP24" i="95"/>
  <c r="BP25" i="95"/>
  <c r="BP26" i="95"/>
  <c r="BP27" i="95"/>
  <c r="BP28" i="95"/>
  <c r="BP29" i="95"/>
  <c r="BP30" i="95"/>
  <c r="BP31" i="95"/>
  <c r="BP32" i="95"/>
  <c r="BP33" i="95"/>
  <c r="BP34" i="95"/>
  <c r="BP35" i="95"/>
  <c r="BP36" i="95"/>
  <c r="BP37" i="95"/>
  <c r="BP38" i="95"/>
  <c r="BP39" i="95"/>
  <c r="BP40" i="95"/>
  <c r="BT5" i="95"/>
  <c r="BT6" i="95"/>
  <c r="BT7" i="95"/>
  <c r="BT8" i="95"/>
  <c r="BT9" i="95"/>
  <c r="BT10" i="95"/>
  <c r="BT11" i="95"/>
  <c r="BT12" i="95"/>
  <c r="BT13" i="95"/>
  <c r="BT14" i="95"/>
  <c r="BT15" i="95"/>
  <c r="BT16" i="95"/>
  <c r="BT17" i="95"/>
  <c r="BT18" i="95"/>
  <c r="BT19" i="95"/>
  <c r="BT20" i="95"/>
  <c r="BT21" i="95"/>
  <c r="BT22" i="95"/>
  <c r="BT23" i="95"/>
  <c r="BT24" i="95"/>
  <c r="BT25" i="95"/>
  <c r="BT26" i="95"/>
  <c r="BT27" i="95"/>
  <c r="BT28" i="95"/>
  <c r="BT29" i="95"/>
  <c r="BT30" i="95"/>
  <c r="BT31" i="95"/>
  <c r="BT32" i="95"/>
  <c r="BT33" i="95"/>
  <c r="BT34" i="95"/>
  <c r="BT35" i="95"/>
  <c r="BT36" i="95"/>
  <c r="BT37" i="95"/>
  <c r="BT38" i="95"/>
  <c r="BT39" i="95"/>
  <c r="BT40" i="95"/>
  <c r="BX5" i="95"/>
  <c r="BX6" i="95"/>
  <c r="BX7" i="95"/>
  <c r="BX8" i="95"/>
  <c r="BX9" i="95"/>
  <c r="BX10" i="95"/>
  <c r="BX11" i="95"/>
  <c r="BX12" i="95"/>
  <c r="BX13" i="95"/>
  <c r="BX14" i="95"/>
  <c r="BX15" i="95"/>
  <c r="BX16" i="95"/>
  <c r="BX17" i="95"/>
  <c r="BX18" i="95"/>
  <c r="BX19" i="95"/>
  <c r="BX20" i="95"/>
  <c r="BX21" i="95"/>
  <c r="BX22" i="95"/>
  <c r="BX23" i="95"/>
  <c r="BX24" i="95"/>
  <c r="BX25" i="95"/>
  <c r="BX26" i="95"/>
  <c r="BX27" i="95"/>
  <c r="BX28" i="95"/>
  <c r="BX29" i="95"/>
  <c r="BX30" i="95"/>
  <c r="BX31" i="95"/>
  <c r="BX32" i="95"/>
  <c r="BX33" i="95"/>
  <c r="BX34" i="95"/>
  <c r="BX35" i="95"/>
  <c r="BX36" i="95"/>
  <c r="BX37" i="95"/>
  <c r="BX38" i="95"/>
  <c r="BX39" i="95"/>
  <c r="BX40" i="95"/>
  <c r="CB5" i="95"/>
  <c r="CB6" i="95"/>
  <c r="CB7" i="95"/>
  <c r="CB8" i="95"/>
  <c r="CB9" i="95"/>
  <c r="CB10" i="95"/>
  <c r="CB11" i="95"/>
  <c r="CB12" i="95"/>
  <c r="CB13" i="95"/>
  <c r="CB14" i="95"/>
  <c r="CB15" i="95"/>
  <c r="CB16" i="95"/>
  <c r="CB17" i="95"/>
  <c r="CB18" i="95"/>
  <c r="CB19" i="95"/>
  <c r="CB20" i="95"/>
  <c r="CB21" i="95"/>
  <c r="CB22" i="95"/>
  <c r="CB23" i="95"/>
  <c r="CB24" i="95"/>
  <c r="CB25" i="95"/>
  <c r="CB26" i="95"/>
  <c r="CB27" i="95"/>
  <c r="CB28" i="95"/>
  <c r="CB29" i="95"/>
  <c r="CB30" i="95"/>
  <c r="CB31" i="95"/>
  <c r="CB32" i="95"/>
  <c r="CB33" i="95"/>
  <c r="CB34" i="95"/>
  <c r="CB35" i="95"/>
  <c r="CB36" i="95"/>
  <c r="CB37" i="95"/>
  <c r="CB38" i="95"/>
  <c r="CB39" i="95"/>
  <c r="CB40" i="95"/>
  <c r="CF5" i="95"/>
  <c r="CF6" i="95"/>
  <c r="CF7" i="95"/>
  <c r="CF8" i="95"/>
  <c r="CF9" i="95"/>
  <c r="CF10" i="95"/>
  <c r="CF11" i="95"/>
  <c r="CF12" i="95"/>
  <c r="CF13" i="95"/>
  <c r="CF14" i="95"/>
  <c r="CF15" i="95"/>
  <c r="CF16" i="95"/>
  <c r="CF17" i="95"/>
  <c r="CF18" i="95"/>
  <c r="CF19" i="95"/>
  <c r="CF20" i="95"/>
  <c r="CF21" i="95"/>
  <c r="CF22" i="95"/>
  <c r="CF23" i="95"/>
  <c r="CF24" i="95"/>
  <c r="CF25" i="95"/>
  <c r="CF26" i="95"/>
  <c r="CF27" i="95"/>
  <c r="CF28" i="95"/>
  <c r="CF29" i="95"/>
  <c r="CF30" i="95"/>
  <c r="CF31" i="95"/>
  <c r="CF32" i="95"/>
  <c r="CF33" i="95"/>
  <c r="CF34" i="95"/>
  <c r="CF35" i="95"/>
  <c r="CF36" i="95"/>
  <c r="CF37" i="95"/>
  <c r="CF38" i="95"/>
  <c r="CF39" i="95"/>
  <c r="CF40" i="95"/>
  <c r="CF4" i="95"/>
  <c r="CB4" i="95"/>
  <c r="BX4" i="95"/>
  <c r="BT4" i="95"/>
  <c r="BP4" i="95"/>
  <c r="BL4" i="95"/>
  <c r="BH4" i="95"/>
  <c r="BD4" i="95"/>
  <c r="AZ4" i="95"/>
  <c r="AV4" i="95"/>
  <c r="AR5" i="95"/>
  <c r="AR6" i="95"/>
  <c r="AR7" i="95"/>
  <c r="AR8" i="95"/>
  <c r="AR9" i="95"/>
  <c r="AR10" i="95"/>
  <c r="AR11" i="95"/>
  <c r="AR12" i="95"/>
  <c r="AR13" i="95"/>
  <c r="AR14" i="95"/>
  <c r="AR15" i="95"/>
  <c r="AR16" i="95"/>
  <c r="AR17" i="95"/>
  <c r="AR18" i="95"/>
  <c r="AR19" i="95"/>
  <c r="AR20" i="95"/>
  <c r="AR21" i="95"/>
  <c r="AR22" i="95"/>
  <c r="AR23" i="95"/>
  <c r="AR24" i="95"/>
  <c r="AR25" i="95"/>
  <c r="AR26" i="95"/>
  <c r="AR27" i="95"/>
  <c r="AR28" i="95"/>
  <c r="AR29" i="95"/>
  <c r="AR30" i="95"/>
  <c r="AR31" i="95"/>
  <c r="AR32" i="95"/>
  <c r="AR33" i="95"/>
  <c r="AR34" i="95"/>
  <c r="AR35" i="95"/>
  <c r="AR36" i="95"/>
  <c r="AR37" i="95"/>
  <c r="AR38" i="95"/>
  <c r="AR39" i="95"/>
  <c r="AR40" i="95"/>
  <c r="D45" i="95"/>
  <c r="D44" i="95"/>
  <c r="AK43" i="95"/>
  <c r="AJ43" i="95"/>
  <c r="AI43" i="95"/>
  <c r="AH43" i="95"/>
  <c r="AG43" i="95"/>
  <c r="AF43" i="95"/>
  <c r="AE43" i="95"/>
  <c r="AD43" i="95"/>
  <c r="AC43" i="95"/>
  <c r="AB43" i="95"/>
  <c r="AA43" i="95"/>
  <c r="Z43" i="95"/>
  <c r="Y43" i="95"/>
  <c r="X43" i="95"/>
  <c r="W43" i="95"/>
  <c r="V43" i="95"/>
  <c r="U43" i="95"/>
  <c r="T43" i="95"/>
  <c r="S43" i="95"/>
  <c r="R43" i="95"/>
  <c r="Q43" i="95"/>
  <c r="P43" i="95"/>
  <c r="O43" i="95"/>
  <c r="N43" i="95"/>
  <c r="M43" i="95"/>
  <c r="L43" i="95"/>
  <c r="K43" i="95"/>
  <c r="J43" i="95"/>
  <c r="I43" i="95"/>
  <c r="H43" i="95"/>
  <c r="G43" i="95"/>
  <c r="F43" i="95"/>
  <c r="E43" i="95"/>
  <c r="AQ42" i="95"/>
  <c r="AK42" i="95"/>
  <c r="AJ42" i="95"/>
  <c r="AI42" i="95"/>
  <c r="AH42" i="95"/>
  <c r="AG42" i="95"/>
  <c r="AF42" i="95"/>
  <c r="AE42" i="95"/>
  <c r="AD42" i="95"/>
  <c r="AC42" i="95"/>
  <c r="AB42" i="95"/>
  <c r="AA42" i="95"/>
  <c r="Z42" i="95"/>
  <c r="Y42" i="95"/>
  <c r="X42" i="95"/>
  <c r="W42" i="95"/>
  <c r="V42" i="95"/>
  <c r="U42" i="95"/>
  <c r="T42" i="95"/>
  <c r="S42" i="95"/>
  <c r="R42" i="95"/>
  <c r="Q42" i="95"/>
  <c r="P42" i="95"/>
  <c r="O42" i="95"/>
  <c r="N42" i="95"/>
  <c r="M42" i="95"/>
  <c r="L42" i="95"/>
  <c r="K42" i="95"/>
  <c r="J42" i="95"/>
  <c r="I42" i="95"/>
  <c r="H42" i="95"/>
  <c r="G42" i="95"/>
  <c r="F42" i="95"/>
  <c r="E42" i="95"/>
  <c r="AE41" i="95"/>
  <c r="AD41" i="95"/>
  <c r="AC41" i="95"/>
  <c r="AB41" i="95"/>
  <c r="AA41" i="95"/>
  <c r="Z41" i="95"/>
  <c r="Y41" i="95"/>
  <c r="X41" i="95"/>
  <c r="W41" i="95"/>
  <c r="V41" i="95"/>
  <c r="U41" i="95"/>
  <c r="T41" i="95"/>
  <c r="S41" i="95"/>
  <c r="R41" i="95"/>
  <c r="Q41" i="95"/>
  <c r="P41" i="95"/>
  <c r="O41" i="95"/>
  <c r="N41" i="95"/>
  <c r="M41" i="95"/>
  <c r="L41" i="95"/>
  <c r="K41" i="95"/>
  <c r="J41" i="95"/>
  <c r="I41" i="95"/>
  <c r="H41" i="95"/>
  <c r="G41" i="95"/>
  <c r="F41" i="95"/>
  <c r="E41" i="95"/>
  <c r="CI40" i="95"/>
  <c r="CH40" i="95"/>
  <c r="CG40" i="95"/>
  <c r="CE40" i="95"/>
  <c r="CD40" i="95"/>
  <c r="CC40" i="95"/>
  <c r="BZ40" i="95"/>
  <c r="BY40" i="95"/>
  <c r="S40" i="95"/>
  <c r="R40" i="95"/>
  <c r="Q40" i="95"/>
  <c r="J40" i="95"/>
  <c r="I40" i="95"/>
  <c r="H40" i="95"/>
  <c r="G40" i="95"/>
  <c r="F40" i="95"/>
  <c r="E40" i="95"/>
  <c r="CI39" i="95"/>
  <c r="CH39" i="95"/>
  <c r="CG39" i="95"/>
  <c r="CE39" i="95"/>
  <c r="CD39" i="95"/>
  <c r="CC39" i="95"/>
  <c r="CA39" i="95"/>
  <c r="BZ39" i="95"/>
  <c r="BY39" i="95"/>
  <c r="BW39" i="95"/>
  <c r="BV39" i="95"/>
  <c r="BU39" i="95"/>
  <c r="M39" i="95"/>
  <c r="L39" i="95"/>
  <c r="K39" i="95"/>
  <c r="J39" i="95"/>
  <c r="I39" i="95"/>
  <c r="H39" i="95"/>
  <c r="G39" i="95"/>
  <c r="F39" i="95"/>
  <c r="E39" i="95"/>
  <c r="CI38" i="95"/>
  <c r="CH38" i="95"/>
  <c r="CG38" i="95"/>
  <c r="CE38" i="95"/>
  <c r="CD38" i="95"/>
  <c r="CC38" i="95"/>
  <c r="CA38" i="95"/>
  <c r="BZ38" i="95"/>
  <c r="BY38" i="95"/>
  <c r="BW38" i="95"/>
  <c r="BV38" i="95"/>
  <c r="BU38" i="95"/>
  <c r="BE38" i="95"/>
  <c r="AX38" i="95"/>
  <c r="AW38" i="95"/>
  <c r="CI37" i="95"/>
  <c r="CH37" i="95"/>
  <c r="CG37" i="95"/>
  <c r="CE37" i="95"/>
  <c r="CD37" i="95"/>
  <c r="CC37" i="95"/>
  <c r="CA37" i="95"/>
  <c r="BZ37" i="95"/>
  <c r="BY37" i="95"/>
  <c r="BW37" i="95"/>
  <c r="BV37" i="95"/>
  <c r="BU37" i="95"/>
  <c r="BM37" i="95"/>
  <c r="BG37" i="95"/>
  <c r="BF37" i="95"/>
  <c r="BE37" i="95"/>
  <c r="BA37" i="95"/>
  <c r="AY37" i="95"/>
  <c r="AX37" i="95"/>
  <c r="AW37" i="95"/>
  <c r="E37" i="95"/>
  <c r="CI36" i="95"/>
  <c r="CH36" i="95"/>
  <c r="CG36" i="95"/>
  <c r="CE36" i="95"/>
  <c r="CD36" i="95"/>
  <c r="CC36" i="95"/>
  <c r="CA36" i="95"/>
  <c r="BZ36" i="95"/>
  <c r="BY36" i="95"/>
  <c r="BW36" i="95"/>
  <c r="BV36" i="95"/>
  <c r="BU36" i="95"/>
  <c r="BR36" i="95"/>
  <c r="BQ36" i="95"/>
  <c r="BO36" i="95"/>
  <c r="BN36" i="95"/>
  <c r="BM36" i="95"/>
  <c r="BJ36" i="95"/>
  <c r="BI36" i="95"/>
  <c r="BG36" i="95"/>
  <c r="BF36" i="95"/>
  <c r="BE36" i="95"/>
  <c r="BA36" i="95"/>
  <c r="AY36" i="95"/>
  <c r="AX36" i="95"/>
  <c r="AW36" i="95"/>
  <c r="AJ36" i="95"/>
  <c r="AI36" i="95"/>
  <c r="AH36" i="95"/>
  <c r="AG36" i="95"/>
  <c r="AF36" i="95"/>
  <c r="G36" i="95"/>
  <c r="F36" i="95"/>
  <c r="E36" i="95"/>
  <c r="CN35" i="95"/>
  <c r="CI35" i="95"/>
  <c r="CH35" i="95"/>
  <c r="CG35" i="95"/>
  <c r="CE35" i="95"/>
  <c r="CD35" i="95"/>
  <c r="CC35" i="95"/>
  <c r="CA35" i="95"/>
  <c r="BZ35" i="95"/>
  <c r="BY35" i="95"/>
  <c r="BW35" i="95"/>
  <c r="BV35" i="95"/>
  <c r="BU35" i="95"/>
  <c r="BS35" i="95"/>
  <c r="BR35" i="95"/>
  <c r="BQ35" i="95"/>
  <c r="BO35" i="95"/>
  <c r="BN35" i="95"/>
  <c r="BM35" i="95"/>
  <c r="BK35" i="95"/>
  <c r="BJ35" i="95"/>
  <c r="BI35" i="95"/>
  <c r="BG35" i="95"/>
  <c r="BF35" i="95"/>
  <c r="BE35" i="95"/>
  <c r="BA35" i="95"/>
  <c r="AY35" i="95"/>
  <c r="AX35" i="95"/>
  <c r="AW35" i="95"/>
  <c r="AK35" i="95"/>
  <c r="AJ35" i="95"/>
  <c r="AI35" i="95"/>
  <c r="AH35" i="95"/>
  <c r="AG35" i="95"/>
  <c r="AF35" i="95"/>
  <c r="Y35" i="95"/>
  <c r="X35" i="95"/>
  <c r="W35" i="95"/>
  <c r="G35" i="95"/>
  <c r="F35" i="95"/>
  <c r="E35" i="95"/>
  <c r="CN34" i="95"/>
  <c r="AK34" i="95"/>
  <c r="AJ34" i="95"/>
  <c r="AI34" i="95"/>
  <c r="AH34" i="95"/>
  <c r="AG34" i="95"/>
  <c r="AF34" i="95"/>
  <c r="AC34" i="95"/>
  <c r="Y34" i="95"/>
  <c r="X34" i="95"/>
  <c r="W34" i="95"/>
  <c r="R34" i="95"/>
  <c r="Q34" i="95"/>
  <c r="K34" i="95"/>
  <c r="G34" i="95"/>
  <c r="F34" i="95"/>
  <c r="E34" i="95"/>
  <c r="CI33" i="95"/>
  <c r="CH33" i="95"/>
  <c r="CG33" i="95"/>
  <c r="CE33" i="95"/>
  <c r="CD33" i="95"/>
  <c r="CC33" i="95"/>
  <c r="CA33" i="95"/>
  <c r="BZ33" i="95"/>
  <c r="BY33" i="95"/>
  <c r="BW33" i="95"/>
  <c r="BV33" i="95"/>
  <c r="BU33" i="95"/>
  <c r="BS33" i="95"/>
  <c r="BR33" i="95"/>
  <c r="BQ33" i="95"/>
  <c r="BO33" i="95"/>
  <c r="BN33" i="95"/>
  <c r="BM33" i="95"/>
  <c r="BK33" i="95"/>
  <c r="BJ33" i="95"/>
  <c r="BI33" i="95"/>
  <c r="BG33" i="95"/>
  <c r="BF33" i="95"/>
  <c r="BE33" i="95"/>
  <c r="BA33" i="95"/>
  <c r="AY33" i="95"/>
  <c r="AX33" i="95"/>
  <c r="AW33" i="95"/>
  <c r="AS33" i="95"/>
  <c r="AK33" i="95"/>
  <c r="AJ33" i="95"/>
  <c r="AI33" i="95"/>
  <c r="AH33" i="95"/>
  <c r="AG33" i="95"/>
  <c r="AF33" i="95"/>
  <c r="AE33" i="95"/>
  <c r="AD33" i="95"/>
  <c r="AC33" i="95"/>
  <c r="Y33" i="95"/>
  <c r="X33" i="95"/>
  <c r="W33" i="95"/>
  <c r="S33" i="95"/>
  <c r="R33" i="95"/>
  <c r="Q33" i="95"/>
  <c r="M33" i="95"/>
  <c r="L33" i="95"/>
  <c r="K33" i="95"/>
  <c r="J33" i="95"/>
  <c r="I33" i="95"/>
  <c r="H33" i="95"/>
  <c r="G33" i="95"/>
  <c r="F33" i="95"/>
  <c r="E33" i="95"/>
  <c r="CI32" i="95"/>
  <c r="CH32" i="95"/>
  <c r="CG32" i="95"/>
  <c r="CE32" i="95"/>
  <c r="CD32" i="95"/>
  <c r="CC32" i="95"/>
  <c r="CA32" i="95"/>
  <c r="BZ32" i="95"/>
  <c r="BY32" i="95"/>
  <c r="BW32" i="95"/>
  <c r="BV32" i="95"/>
  <c r="BU32" i="95"/>
  <c r="BS32" i="95"/>
  <c r="BR32" i="95"/>
  <c r="BQ32" i="95"/>
  <c r="BO32" i="95"/>
  <c r="BN32" i="95"/>
  <c r="BM32" i="95"/>
  <c r="BK32" i="95"/>
  <c r="BJ32" i="95"/>
  <c r="BI32" i="95"/>
  <c r="BG32" i="95"/>
  <c r="BF32" i="95"/>
  <c r="BE32" i="95"/>
  <c r="BB32" i="95"/>
  <c r="BA32" i="95"/>
  <c r="AY32" i="95"/>
  <c r="AX32" i="95"/>
  <c r="AW32" i="95"/>
  <c r="AU32" i="95"/>
  <c r="AT32" i="95"/>
  <c r="AS32" i="95"/>
  <c r="CI31" i="95"/>
  <c r="CH31" i="95"/>
  <c r="CG31" i="95"/>
  <c r="CE31" i="95"/>
  <c r="CD31" i="95"/>
  <c r="CC31" i="95"/>
  <c r="CA31" i="95"/>
  <c r="BZ31" i="95"/>
  <c r="BY31" i="95"/>
  <c r="BW31" i="95"/>
  <c r="BV31" i="95"/>
  <c r="BU31" i="95"/>
  <c r="BS31" i="95"/>
  <c r="BR31" i="95"/>
  <c r="BQ31" i="95"/>
  <c r="BO31" i="95"/>
  <c r="BN31" i="95"/>
  <c r="BM31" i="95"/>
  <c r="BK31" i="95"/>
  <c r="BJ31" i="95"/>
  <c r="BI31" i="95"/>
  <c r="BG31" i="95"/>
  <c r="BF31" i="95"/>
  <c r="BE31" i="95"/>
  <c r="BC31" i="95"/>
  <c r="BB31" i="95"/>
  <c r="BA31" i="95"/>
  <c r="AY31" i="95"/>
  <c r="AX31" i="95"/>
  <c r="AW31" i="95"/>
  <c r="AU31" i="95"/>
  <c r="AT31" i="95"/>
  <c r="AS31" i="95"/>
  <c r="CI30" i="95"/>
  <c r="CH30" i="95"/>
  <c r="CG30" i="95"/>
  <c r="CE30" i="95"/>
  <c r="CD30" i="95"/>
  <c r="CC30" i="95"/>
  <c r="CA30" i="95"/>
  <c r="BZ30" i="95"/>
  <c r="BY30" i="95"/>
  <c r="BW30" i="95"/>
  <c r="BV30" i="95"/>
  <c r="BU30" i="95"/>
  <c r="BS30" i="95"/>
  <c r="BR30" i="95"/>
  <c r="BQ30" i="95"/>
  <c r="BO30" i="95"/>
  <c r="BN30" i="95"/>
  <c r="BM30" i="95"/>
  <c r="BK30" i="95"/>
  <c r="BJ30" i="95"/>
  <c r="BI30" i="95"/>
  <c r="BG30" i="95"/>
  <c r="BF30" i="95"/>
  <c r="BE30" i="95"/>
  <c r="BC30" i="95"/>
  <c r="BB30" i="95"/>
  <c r="BA30" i="95"/>
  <c r="AY30" i="95"/>
  <c r="AX30" i="95"/>
  <c r="AW30" i="95"/>
  <c r="AU30" i="95"/>
  <c r="AT30" i="95"/>
  <c r="AS30" i="95"/>
  <c r="AK30" i="95"/>
  <c r="AJ30" i="95"/>
  <c r="AI30" i="95"/>
  <c r="AH30" i="95"/>
  <c r="AG30" i="95"/>
  <c r="AF30" i="95"/>
  <c r="AE30" i="95"/>
  <c r="AD30" i="95"/>
  <c r="AC30" i="95"/>
  <c r="Y30" i="95"/>
  <c r="X30" i="95"/>
  <c r="W30" i="95"/>
  <c r="S30" i="95"/>
  <c r="R30" i="95"/>
  <c r="Q30" i="95"/>
  <c r="M30" i="95"/>
  <c r="L30" i="95"/>
  <c r="K30" i="95"/>
  <c r="J30" i="95"/>
  <c r="I30" i="95"/>
  <c r="H30" i="95"/>
  <c r="G30" i="95"/>
  <c r="F30" i="95"/>
  <c r="E30" i="95"/>
  <c r="CI29" i="95"/>
  <c r="CH29" i="95"/>
  <c r="CG29" i="95"/>
  <c r="CE29" i="95"/>
  <c r="CD29" i="95"/>
  <c r="CC29" i="95"/>
  <c r="CA29" i="95"/>
  <c r="BZ29" i="95"/>
  <c r="BY29" i="95"/>
  <c r="BW29" i="95"/>
  <c r="BV29" i="95"/>
  <c r="BU29" i="95"/>
  <c r="BS29" i="95"/>
  <c r="BR29" i="95"/>
  <c r="BQ29" i="95"/>
  <c r="BO29" i="95"/>
  <c r="BN29" i="95"/>
  <c r="BM29" i="95"/>
  <c r="BK29" i="95"/>
  <c r="BJ29" i="95"/>
  <c r="BI29" i="95"/>
  <c r="BG29" i="95"/>
  <c r="BF29" i="95"/>
  <c r="BE29" i="95"/>
  <c r="BC29" i="95"/>
  <c r="BB29" i="95"/>
  <c r="BA29" i="95"/>
  <c r="AY29" i="95"/>
  <c r="AX29" i="95"/>
  <c r="AW29" i="95"/>
  <c r="AU29" i="95"/>
  <c r="AT29" i="95"/>
  <c r="AS29" i="95"/>
  <c r="AK29" i="95"/>
  <c r="AJ29" i="95"/>
  <c r="AI29" i="95"/>
  <c r="AH29" i="95"/>
  <c r="AG29" i="95"/>
  <c r="AF29" i="95"/>
  <c r="AE29" i="95"/>
  <c r="AD29" i="95"/>
  <c r="AC29" i="95"/>
  <c r="Y29" i="95"/>
  <c r="X29" i="95"/>
  <c r="W29" i="95"/>
  <c r="S29" i="95"/>
  <c r="R29" i="95"/>
  <c r="Q29" i="95"/>
  <c r="M29" i="95"/>
  <c r="L29" i="95"/>
  <c r="K29" i="95"/>
  <c r="J29" i="95"/>
  <c r="I29" i="95"/>
  <c r="H29" i="95"/>
  <c r="G29" i="95"/>
  <c r="F29" i="95"/>
  <c r="E29" i="95"/>
  <c r="CE28" i="95"/>
  <c r="CD28" i="95"/>
  <c r="CC28" i="95"/>
  <c r="BW28" i="95"/>
  <c r="BV28" i="95"/>
  <c r="BU28" i="95"/>
  <c r="BS28" i="95"/>
  <c r="BR28" i="95"/>
  <c r="BQ28" i="95"/>
  <c r="BN28" i="95"/>
  <c r="BM28" i="95"/>
  <c r="BK28" i="95"/>
  <c r="BJ28" i="95"/>
  <c r="BI28" i="95"/>
  <c r="BG28" i="95"/>
  <c r="BF28" i="95"/>
  <c r="BE28" i="95"/>
  <c r="AU28" i="95"/>
  <c r="AT28" i="95"/>
  <c r="AS28" i="95"/>
  <c r="AK28" i="95"/>
  <c r="AJ28" i="95"/>
  <c r="AI28" i="95"/>
  <c r="AH28" i="95"/>
  <c r="AG28" i="95"/>
  <c r="AF28" i="95"/>
  <c r="AE28" i="95"/>
  <c r="AD28" i="95"/>
  <c r="AC28" i="95"/>
  <c r="Y28" i="95"/>
  <c r="X28" i="95"/>
  <c r="W28" i="95"/>
  <c r="S28" i="95"/>
  <c r="R28" i="95"/>
  <c r="Q28" i="95"/>
  <c r="O28" i="95"/>
  <c r="N28" i="95"/>
  <c r="M28" i="95"/>
  <c r="L28" i="95"/>
  <c r="K28" i="95"/>
  <c r="J28" i="95"/>
  <c r="I28" i="95"/>
  <c r="H28" i="95"/>
  <c r="G28" i="95"/>
  <c r="F28" i="95"/>
  <c r="E28" i="95"/>
  <c r="AH27" i="95"/>
  <c r="AG27" i="95"/>
  <c r="AF27" i="95"/>
  <c r="AE27" i="95"/>
  <c r="AD27" i="95"/>
  <c r="AC27" i="95"/>
  <c r="Y27" i="95"/>
  <c r="X27" i="95"/>
  <c r="W27" i="95"/>
  <c r="S27" i="95"/>
  <c r="R27" i="95"/>
  <c r="Q27" i="95"/>
  <c r="P27" i="95"/>
  <c r="O27" i="95"/>
  <c r="N27" i="95"/>
  <c r="M27" i="95"/>
  <c r="L27" i="95"/>
  <c r="K27" i="95"/>
  <c r="J27" i="95"/>
  <c r="I27" i="95"/>
  <c r="H27" i="95"/>
  <c r="G27" i="95"/>
  <c r="F27" i="95"/>
  <c r="E27" i="95"/>
  <c r="BU26" i="95"/>
  <c r="BB26" i="95"/>
  <c r="S26" i="95"/>
  <c r="R26" i="95"/>
  <c r="Q26" i="95"/>
  <c r="P26" i="95"/>
  <c r="O26" i="95"/>
  <c r="N26" i="95"/>
  <c r="M26" i="95"/>
  <c r="L26" i="95"/>
  <c r="K26" i="95"/>
  <c r="J26" i="95"/>
  <c r="I26" i="95"/>
  <c r="H26" i="95"/>
  <c r="G26" i="95"/>
  <c r="F26" i="95"/>
  <c r="E26" i="95"/>
  <c r="CG25" i="95"/>
  <c r="CE25" i="95"/>
  <c r="CD25" i="95"/>
  <c r="CC25" i="95"/>
  <c r="BW25" i="95"/>
  <c r="BV25" i="95"/>
  <c r="BU25" i="95"/>
  <c r="BE25" i="95"/>
  <c r="BC25" i="95"/>
  <c r="BB25" i="95"/>
  <c r="G25" i="95"/>
  <c r="F25" i="95"/>
  <c r="E25" i="95"/>
  <c r="CI24" i="95"/>
  <c r="CH24" i="95"/>
  <c r="CG24" i="95"/>
  <c r="CE24" i="95"/>
  <c r="CD24" i="95"/>
  <c r="CC24" i="95"/>
  <c r="BZ24" i="95"/>
  <c r="BY24" i="95"/>
  <c r="BW24" i="95"/>
  <c r="BV24" i="95"/>
  <c r="BU24" i="95"/>
  <c r="BG24" i="95"/>
  <c r="BF24" i="95"/>
  <c r="BE24" i="95"/>
  <c r="BC24" i="95"/>
  <c r="BB24" i="95"/>
  <c r="AX24" i="95"/>
  <c r="AW24" i="95"/>
  <c r="G24" i="95"/>
  <c r="F24" i="95"/>
  <c r="E24" i="95"/>
  <c r="CI23" i="95"/>
  <c r="CH23" i="95"/>
  <c r="CG23" i="95"/>
  <c r="CE23" i="95"/>
  <c r="CD23" i="95"/>
  <c r="CC23" i="95"/>
  <c r="CA23" i="95"/>
  <c r="BZ23" i="95"/>
  <c r="BY23" i="95"/>
  <c r="BW23" i="95"/>
  <c r="BV23" i="95"/>
  <c r="BU23" i="95"/>
  <c r="BS23" i="95"/>
  <c r="BR23" i="95"/>
  <c r="BQ23" i="95"/>
  <c r="BO23" i="95"/>
  <c r="BN23" i="95"/>
  <c r="BM23" i="95"/>
  <c r="BK23" i="95"/>
  <c r="BJ23" i="95"/>
  <c r="BI23" i="95"/>
  <c r="BG23" i="95"/>
  <c r="BF23" i="95"/>
  <c r="BE23" i="95"/>
  <c r="BC23" i="95"/>
  <c r="BB23" i="95"/>
  <c r="BA23" i="95"/>
  <c r="AY23" i="95"/>
  <c r="AX23" i="95"/>
  <c r="AW23" i="95"/>
  <c r="AJ23" i="95"/>
  <c r="AI23" i="95"/>
  <c r="G23" i="95"/>
  <c r="F23" i="95"/>
  <c r="E23" i="95"/>
  <c r="CO22" i="95"/>
  <c r="CI22" i="95"/>
  <c r="CH22" i="95"/>
  <c r="CG22" i="95"/>
  <c r="CE22" i="95"/>
  <c r="CD22" i="95"/>
  <c r="CC22" i="95"/>
  <c r="CA22" i="95"/>
  <c r="BZ22" i="95"/>
  <c r="BY22" i="95"/>
  <c r="BW22" i="95"/>
  <c r="BV22" i="95"/>
  <c r="BU22" i="95"/>
  <c r="BS22" i="95"/>
  <c r="BR22" i="95"/>
  <c r="BQ22" i="95"/>
  <c r="BO22" i="95"/>
  <c r="BN22" i="95"/>
  <c r="BM22" i="95"/>
  <c r="BK22" i="95"/>
  <c r="BJ22" i="95"/>
  <c r="BI22" i="95"/>
  <c r="BG22" i="95"/>
  <c r="BF22" i="95"/>
  <c r="BE22" i="95"/>
  <c r="BC22" i="95"/>
  <c r="BB22" i="95"/>
  <c r="BA22" i="95"/>
  <c r="AY22" i="95"/>
  <c r="AX22" i="95"/>
  <c r="AW22" i="95"/>
  <c r="AK22" i="95"/>
  <c r="AJ22" i="95"/>
  <c r="AI22" i="95"/>
  <c r="AG22" i="95"/>
  <c r="AF22" i="95"/>
  <c r="X22" i="95"/>
  <c r="W22" i="95"/>
  <c r="G22" i="95"/>
  <c r="F22" i="95"/>
  <c r="E22" i="95"/>
  <c r="CP21" i="95"/>
  <c r="CO21" i="95"/>
  <c r="CI21" i="95"/>
  <c r="CH21" i="95"/>
  <c r="CG21" i="95"/>
  <c r="CE21" i="95"/>
  <c r="CD21" i="95"/>
  <c r="CC21" i="95"/>
  <c r="CA21" i="95"/>
  <c r="BZ21" i="95"/>
  <c r="BY21" i="95"/>
  <c r="BW21" i="95"/>
  <c r="BV21" i="95"/>
  <c r="BU21" i="95"/>
  <c r="BS21" i="95"/>
  <c r="BR21" i="95"/>
  <c r="BQ21" i="95"/>
  <c r="BO21" i="95"/>
  <c r="BN21" i="95"/>
  <c r="BM21" i="95"/>
  <c r="BK21" i="95"/>
  <c r="BJ21" i="95"/>
  <c r="BI21" i="95"/>
  <c r="BG21" i="95"/>
  <c r="BF21" i="95"/>
  <c r="BE21" i="95"/>
  <c r="BC21" i="95"/>
  <c r="BB21" i="95"/>
  <c r="BA21" i="95"/>
  <c r="AY21" i="95"/>
  <c r="AX21" i="95"/>
  <c r="AW21" i="95"/>
  <c r="AK21" i="95"/>
  <c r="AJ21" i="95"/>
  <c r="AI21" i="95"/>
  <c r="AH21" i="95"/>
  <c r="AG21" i="95"/>
  <c r="AF21" i="95"/>
  <c r="Y21" i="95"/>
  <c r="X21" i="95"/>
  <c r="W21" i="95"/>
  <c r="L21" i="95"/>
  <c r="K21" i="95"/>
  <c r="G21" i="95"/>
  <c r="F21" i="95"/>
  <c r="E21" i="95"/>
  <c r="CP20" i="95"/>
  <c r="CO20" i="95"/>
  <c r="CI20" i="95"/>
  <c r="CH20" i="95"/>
  <c r="CG20" i="95"/>
  <c r="CE20" i="95"/>
  <c r="CD20" i="95"/>
  <c r="CC20" i="95"/>
  <c r="CA20" i="95"/>
  <c r="BZ20" i="95"/>
  <c r="BY20" i="95"/>
  <c r="BW20" i="95"/>
  <c r="BV20" i="95"/>
  <c r="BU20" i="95"/>
  <c r="BS20" i="95"/>
  <c r="BR20" i="95"/>
  <c r="BQ20" i="95"/>
  <c r="BO20" i="95"/>
  <c r="BN20" i="95"/>
  <c r="BM20" i="95"/>
  <c r="BK20" i="95"/>
  <c r="BJ20" i="95"/>
  <c r="BI20" i="95"/>
  <c r="BG20" i="95"/>
  <c r="BF20" i="95"/>
  <c r="BE20" i="95"/>
  <c r="BC20" i="95"/>
  <c r="BB20" i="95"/>
  <c r="BA20" i="95"/>
  <c r="AY20" i="95"/>
  <c r="AX20" i="95"/>
  <c r="AW20" i="95"/>
  <c r="AK20" i="95"/>
  <c r="AJ20" i="95"/>
  <c r="AI20" i="95"/>
  <c r="AH20" i="95"/>
  <c r="AG20" i="95"/>
  <c r="AF20" i="95"/>
  <c r="Y20" i="95"/>
  <c r="X20" i="95"/>
  <c r="W20" i="95"/>
  <c r="M20" i="95"/>
  <c r="L20" i="95"/>
  <c r="K20" i="95"/>
  <c r="G20" i="95"/>
  <c r="F20" i="95"/>
  <c r="E20" i="95"/>
  <c r="CP19" i="95"/>
  <c r="CO19" i="95"/>
  <c r="CI19" i="95"/>
  <c r="CH19" i="95"/>
  <c r="CG19" i="95"/>
  <c r="CE19" i="95"/>
  <c r="CD19" i="95"/>
  <c r="CC19" i="95"/>
  <c r="CA19" i="95"/>
  <c r="BZ19" i="95"/>
  <c r="BY19" i="95"/>
  <c r="BW19" i="95"/>
  <c r="BV19" i="95"/>
  <c r="BU19" i="95"/>
  <c r="BS19" i="95"/>
  <c r="BR19" i="95"/>
  <c r="BQ19" i="95"/>
  <c r="BO19" i="95"/>
  <c r="BN19" i="95"/>
  <c r="BM19" i="95"/>
  <c r="BK19" i="95"/>
  <c r="BJ19" i="95"/>
  <c r="BI19" i="95"/>
  <c r="BG19" i="95"/>
  <c r="BF19" i="95"/>
  <c r="BE19" i="95"/>
  <c r="BC19" i="95"/>
  <c r="BB19" i="95"/>
  <c r="BA19" i="95"/>
  <c r="AY19" i="95"/>
  <c r="AX19" i="95"/>
  <c r="AW19" i="95"/>
  <c r="AT19" i="95"/>
  <c r="AS19" i="95"/>
  <c r="AK19" i="95"/>
  <c r="AJ19" i="95"/>
  <c r="AI19" i="95"/>
  <c r="AH19" i="95"/>
  <c r="AG19" i="95"/>
  <c r="AF19" i="95"/>
  <c r="AE19" i="95"/>
  <c r="AD19" i="95"/>
  <c r="AC19" i="95"/>
  <c r="Y19" i="95"/>
  <c r="X19" i="95"/>
  <c r="W19" i="95"/>
  <c r="R19" i="95"/>
  <c r="Q19" i="95"/>
  <c r="M19" i="95"/>
  <c r="L19" i="95"/>
  <c r="K19" i="95"/>
  <c r="H19" i="95"/>
  <c r="G19" i="95"/>
  <c r="F19" i="95"/>
  <c r="E19" i="95"/>
  <c r="CP18" i="95"/>
  <c r="CO18" i="95"/>
  <c r="CI18" i="95"/>
  <c r="CH18" i="95"/>
  <c r="CG18" i="95"/>
  <c r="CE18" i="95"/>
  <c r="CD18" i="95"/>
  <c r="CC18" i="95"/>
  <c r="CA18" i="95"/>
  <c r="BZ18" i="95"/>
  <c r="BY18" i="95"/>
  <c r="BW18" i="95"/>
  <c r="BV18" i="95"/>
  <c r="BU18" i="95"/>
  <c r="BS18" i="95"/>
  <c r="BR18" i="95"/>
  <c r="BQ18" i="95"/>
  <c r="BO18" i="95"/>
  <c r="BN18" i="95"/>
  <c r="BM18" i="95"/>
  <c r="BK18" i="95"/>
  <c r="BJ18" i="95"/>
  <c r="BI18" i="95"/>
  <c r="BG18" i="95"/>
  <c r="BF18" i="95"/>
  <c r="BE18" i="95"/>
  <c r="BC18" i="95"/>
  <c r="BB18" i="95"/>
  <c r="BA18" i="95"/>
  <c r="AY18" i="95"/>
  <c r="AX18" i="95"/>
  <c r="AW18" i="95"/>
  <c r="AU18" i="95"/>
  <c r="AT18" i="95"/>
  <c r="AS18" i="95"/>
  <c r="AK18" i="95"/>
  <c r="AJ18" i="95"/>
  <c r="AI18" i="95"/>
  <c r="AH18" i="95"/>
  <c r="AG18" i="95"/>
  <c r="AF18" i="95"/>
  <c r="AE18" i="95"/>
  <c r="AD18" i="95"/>
  <c r="AC18" i="95"/>
  <c r="Y18" i="95"/>
  <c r="X18" i="95"/>
  <c r="W18" i="95"/>
  <c r="S18" i="95"/>
  <c r="R18" i="95"/>
  <c r="Q18" i="95"/>
  <c r="M18" i="95"/>
  <c r="L18" i="95"/>
  <c r="K18" i="95"/>
  <c r="J18" i="95"/>
  <c r="I18" i="95"/>
  <c r="H18" i="95"/>
  <c r="G18" i="95"/>
  <c r="F18" i="95"/>
  <c r="E18" i="95"/>
  <c r="CP17" i="95"/>
  <c r="CO17" i="95"/>
  <c r="CI17" i="95"/>
  <c r="CH17" i="95"/>
  <c r="CG17" i="95"/>
  <c r="CE17" i="95"/>
  <c r="CD17" i="95"/>
  <c r="CC17" i="95"/>
  <c r="CA17" i="95"/>
  <c r="BZ17" i="95"/>
  <c r="BY17" i="95"/>
  <c r="BW17" i="95"/>
  <c r="BV17" i="95"/>
  <c r="BU17" i="95"/>
  <c r="BS17" i="95"/>
  <c r="BR17" i="95"/>
  <c r="BQ17" i="95"/>
  <c r="BO17" i="95"/>
  <c r="BN17" i="95"/>
  <c r="BM17" i="95"/>
  <c r="BK17" i="95"/>
  <c r="BJ17" i="95"/>
  <c r="BI17" i="95"/>
  <c r="BG17" i="95"/>
  <c r="BF17" i="95"/>
  <c r="BE17" i="95"/>
  <c r="BC17" i="95"/>
  <c r="BB17" i="95"/>
  <c r="BA17" i="95"/>
  <c r="AY17" i="95"/>
  <c r="AX17" i="95"/>
  <c r="AW17" i="95"/>
  <c r="AU17" i="95"/>
  <c r="AT17" i="95"/>
  <c r="AS17" i="95"/>
  <c r="AK17" i="95"/>
  <c r="AJ17" i="95"/>
  <c r="AI17" i="95"/>
  <c r="AH17" i="95"/>
  <c r="AG17" i="95"/>
  <c r="AF17" i="95"/>
  <c r="AE17" i="95"/>
  <c r="AD17" i="95"/>
  <c r="AC17" i="95"/>
  <c r="Y17" i="95"/>
  <c r="X17" i="95"/>
  <c r="W17" i="95"/>
  <c r="S17" i="95"/>
  <c r="R17" i="95"/>
  <c r="Q17" i="95"/>
  <c r="M17" i="95"/>
  <c r="L17" i="95"/>
  <c r="K17" i="95"/>
  <c r="J17" i="95"/>
  <c r="I17" i="95"/>
  <c r="H17" i="95"/>
  <c r="G17" i="95"/>
  <c r="F17" i="95"/>
  <c r="E17" i="95"/>
  <c r="CP16" i="95"/>
  <c r="CO16" i="95"/>
  <c r="CI16" i="95"/>
  <c r="CH16" i="95"/>
  <c r="CG16" i="95"/>
  <c r="CE16" i="95"/>
  <c r="CD16" i="95"/>
  <c r="CC16" i="95"/>
  <c r="CA16" i="95"/>
  <c r="BZ16" i="95"/>
  <c r="BY16" i="95"/>
  <c r="BW16" i="95"/>
  <c r="BV16" i="95"/>
  <c r="BU16" i="95"/>
  <c r="BS16" i="95"/>
  <c r="BR16" i="95"/>
  <c r="BQ16" i="95"/>
  <c r="BO16" i="95"/>
  <c r="BN16" i="95"/>
  <c r="BM16" i="95"/>
  <c r="BK16" i="95"/>
  <c r="BJ16" i="95"/>
  <c r="BI16" i="95"/>
  <c r="BG16" i="95"/>
  <c r="BF16" i="95"/>
  <c r="BE16" i="95"/>
  <c r="BC16" i="95"/>
  <c r="BB16" i="95"/>
  <c r="BA16" i="95"/>
  <c r="AY16" i="95"/>
  <c r="AX16" i="95"/>
  <c r="AW16" i="95"/>
  <c r="AU16" i="95"/>
  <c r="AT16" i="95"/>
  <c r="AS16" i="95"/>
  <c r="AK16" i="95"/>
  <c r="AJ16" i="95"/>
  <c r="AI16" i="95"/>
  <c r="AH16" i="95"/>
  <c r="AG16" i="95"/>
  <c r="AF16" i="95"/>
  <c r="AE16" i="95"/>
  <c r="AD16" i="95"/>
  <c r="AC16" i="95"/>
  <c r="Y16" i="95"/>
  <c r="X16" i="95"/>
  <c r="W16" i="95"/>
  <c r="S16" i="95"/>
  <c r="R16" i="95"/>
  <c r="Q16" i="95"/>
  <c r="O16" i="95"/>
  <c r="N16" i="95"/>
  <c r="M16" i="95"/>
  <c r="L16" i="95"/>
  <c r="K16" i="95"/>
  <c r="J16" i="95"/>
  <c r="I16" i="95"/>
  <c r="H16" i="95"/>
  <c r="G16" i="95"/>
  <c r="F16" i="95"/>
  <c r="E16" i="95"/>
  <c r="CP15" i="95"/>
  <c r="CO15" i="95"/>
  <c r="CI15" i="95"/>
  <c r="CH15" i="95"/>
  <c r="CG15" i="95"/>
  <c r="CE15" i="95"/>
  <c r="CD15" i="95"/>
  <c r="CC15" i="95"/>
  <c r="CA15" i="95"/>
  <c r="BZ15" i="95"/>
  <c r="BY15" i="95"/>
  <c r="BW15" i="95"/>
  <c r="BV15" i="95"/>
  <c r="BU15" i="95"/>
  <c r="BS15" i="95"/>
  <c r="BR15" i="95"/>
  <c r="BQ15" i="95"/>
  <c r="BO15" i="95"/>
  <c r="BN15" i="95"/>
  <c r="BM15" i="95"/>
  <c r="BK15" i="95"/>
  <c r="BJ15" i="95"/>
  <c r="BI15" i="95"/>
  <c r="BG15" i="95"/>
  <c r="BF15" i="95"/>
  <c r="BE15" i="95"/>
  <c r="BC15" i="95"/>
  <c r="BB15" i="95"/>
  <c r="BA15" i="95"/>
  <c r="AY15" i="95"/>
  <c r="AX15" i="95"/>
  <c r="AW15" i="95"/>
  <c r="AU15" i="95"/>
  <c r="AT15" i="95"/>
  <c r="AS15" i="95"/>
  <c r="AK15" i="95"/>
  <c r="AJ15" i="95"/>
  <c r="AI15" i="95"/>
  <c r="AH15" i="95"/>
  <c r="AG15" i="95"/>
  <c r="AF15" i="95"/>
  <c r="AE15" i="95"/>
  <c r="AD15" i="95"/>
  <c r="AC15" i="95"/>
  <c r="Y15" i="95"/>
  <c r="X15" i="95"/>
  <c r="W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F15" i="95"/>
  <c r="E15" i="95"/>
  <c r="BN14" i="95"/>
  <c r="BM14" i="95"/>
  <c r="AK14" i="95"/>
  <c r="AJ14" i="95"/>
  <c r="AI14" i="95"/>
  <c r="AH14" i="95"/>
  <c r="AG14" i="95"/>
  <c r="AF14" i="95"/>
  <c r="AE14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H14" i="95"/>
  <c r="G14" i="95"/>
  <c r="F14" i="95"/>
  <c r="E14" i="95"/>
  <c r="CI13" i="95"/>
  <c r="CH13" i="95"/>
  <c r="CG13" i="95"/>
  <c r="CE13" i="95"/>
  <c r="CD13" i="95"/>
  <c r="CC13" i="95"/>
  <c r="CA13" i="95"/>
  <c r="BZ13" i="95"/>
  <c r="BY13" i="95"/>
  <c r="BW13" i="95"/>
  <c r="BV13" i="95"/>
  <c r="BU13" i="95"/>
  <c r="BS13" i="95"/>
  <c r="BR13" i="95"/>
  <c r="BQ13" i="95"/>
  <c r="BO13" i="95"/>
  <c r="BN13" i="95"/>
  <c r="BM13" i="95"/>
  <c r="BK13" i="95"/>
  <c r="BJ13" i="95"/>
  <c r="BI13" i="95"/>
  <c r="BG13" i="95"/>
  <c r="BF13" i="95"/>
  <c r="BE13" i="95"/>
  <c r="BC13" i="95"/>
  <c r="BB13" i="95"/>
  <c r="BA13" i="95"/>
  <c r="AY13" i="95"/>
  <c r="AX13" i="95"/>
  <c r="AW13" i="95"/>
  <c r="AU13" i="95"/>
  <c r="AT13" i="95"/>
  <c r="AS13" i="95"/>
  <c r="M13" i="95"/>
  <c r="L13" i="95"/>
  <c r="K13" i="95"/>
  <c r="CI12" i="95"/>
  <c r="CH12" i="95"/>
  <c r="CG12" i="95"/>
  <c r="CE12" i="95"/>
  <c r="CD12" i="95"/>
  <c r="CC12" i="95"/>
  <c r="BW12" i="95"/>
  <c r="BV12" i="95"/>
  <c r="BU12" i="95"/>
  <c r="BS12" i="95"/>
  <c r="BR12" i="95"/>
  <c r="BQ12" i="95"/>
  <c r="BO12" i="95"/>
  <c r="BN12" i="95"/>
  <c r="BM12" i="95"/>
  <c r="BI12" i="95"/>
  <c r="BE12" i="95"/>
  <c r="CO11" i="95"/>
  <c r="CI11" i="95"/>
  <c r="CH11" i="95"/>
  <c r="CG11" i="95"/>
  <c r="CE11" i="95"/>
  <c r="CD11" i="95"/>
  <c r="CC11" i="95"/>
  <c r="CA11" i="95"/>
  <c r="BZ11" i="95"/>
  <c r="BY11" i="95"/>
  <c r="BW11" i="95"/>
  <c r="BV11" i="95"/>
  <c r="BU11" i="95"/>
  <c r="BS11" i="95"/>
  <c r="BR11" i="95"/>
  <c r="BQ11" i="95"/>
  <c r="BO11" i="95"/>
  <c r="BN11" i="95"/>
  <c r="BM11" i="95"/>
  <c r="BK11" i="95"/>
  <c r="BJ11" i="95"/>
  <c r="BI11" i="95"/>
  <c r="BG11" i="95"/>
  <c r="BF11" i="95"/>
  <c r="BE11" i="95"/>
  <c r="BA11" i="95"/>
  <c r="AY11" i="95"/>
  <c r="AX11" i="95"/>
  <c r="AW11" i="95"/>
  <c r="W11" i="95"/>
  <c r="M11" i="95"/>
  <c r="L11" i="95"/>
  <c r="K11" i="95"/>
  <c r="CP10" i="95"/>
  <c r="CO10" i="95"/>
  <c r="CI10" i="95"/>
  <c r="CH10" i="95"/>
  <c r="CG10" i="95"/>
  <c r="CE10" i="95"/>
  <c r="CD10" i="95"/>
  <c r="CC10" i="95"/>
  <c r="CA10" i="95"/>
  <c r="BZ10" i="95"/>
  <c r="BY10" i="95"/>
  <c r="BW10" i="95"/>
  <c r="BV10" i="95"/>
  <c r="BU10" i="95"/>
  <c r="BS10" i="95"/>
  <c r="BR10" i="95"/>
  <c r="BQ10" i="95"/>
  <c r="BO10" i="95"/>
  <c r="BN10" i="95"/>
  <c r="BM10" i="95"/>
  <c r="BK10" i="95"/>
  <c r="BJ10" i="95"/>
  <c r="BI10" i="95"/>
  <c r="BG10" i="95"/>
  <c r="BF10" i="95"/>
  <c r="BE10" i="95"/>
  <c r="BA10" i="95"/>
  <c r="AY10" i="95"/>
  <c r="AX10" i="95"/>
  <c r="AW10" i="95"/>
  <c r="Y10" i="95"/>
  <c r="X10" i="95"/>
  <c r="W10" i="95"/>
  <c r="M10" i="95"/>
  <c r="L10" i="95"/>
  <c r="K10" i="95"/>
  <c r="CP9" i="95"/>
  <c r="CO9" i="95"/>
  <c r="CI9" i="95"/>
  <c r="CH9" i="95"/>
  <c r="CG9" i="95"/>
  <c r="CE9" i="95"/>
  <c r="CD9" i="95"/>
  <c r="CC9" i="95"/>
  <c r="CA9" i="95"/>
  <c r="BZ9" i="95"/>
  <c r="BY9" i="95"/>
  <c r="BW9" i="95"/>
  <c r="BV9" i="95"/>
  <c r="BU9" i="95"/>
  <c r="BS9" i="95"/>
  <c r="BR9" i="95"/>
  <c r="BQ9" i="95"/>
  <c r="BO9" i="95"/>
  <c r="BN9" i="95"/>
  <c r="BM9" i="95"/>
  <c r="BK9" i="95"/>
  <c r="BJ9" i="95"/>
  <c r="BI9" i="95"/>
  <c r="BG9" i="95"/>
  <c r="BF9" i="95"/>
  <c r="BE9" i="95"/>
  <c r="BA9" i="95"/>
  <c r="AY9" i="95"/>
  <c r="AX9" i="95"/>
  <c r="AW9" i="95"/>
  <c r="AI9" i="95"/>
  <c r="AF9" i="95"/>
  <c r="Y9" i="95"/>
  <c r="X9" i="95"/>
  <c r="W9" i="95"/>
  <c r="M9" i="95"/>
  <c r="L9" i="95"/>
  <c r="K9" i="95"/>
  <c r="F9" i="95"/>
  <c r="E9" i="95"/>
  <c r="CQ8" i="95"/>
  <c r="CP8" i="95"/>
  <c r="CO8" i="95"/>
  <c r="CI8" i="95"/>
  <c r="CH8" i="95"/>
  <c r="CG8" i="95"/>
  <c r="CE8" i="95"/>
  <c r="CD8" i="95"/>
  <c r="CC8" i="95"/>
  <c r="CA8" i="95"/>
  <c r="BZ8" i="95"/>
  <c r="BY8" i="95"/>
  <c r="BW8" i="95"/>
  <c r="BV8" i="95"/>
  <c r="BU8" i="95"/>
  <c r="BS8" i="95"/>
  <c r="BR8" i="95"/>
  <c r="BQ8" i="95"/>
  <c r="BO8" i="95"/>
  <c r="BN8" i="95"/>
  <c r="BM8" i="95"/>
  <c r="BK8" i="95"/>
  <c r="BJ8" i="95"/>
  <c r="BI8" i="95"/>
  <c r="BG8" i="95"/>
  <c r="BF8" i="95"/>
  <c r="BE8" i="95"/>
  <c r="BC8" i="95"/>
  <c r="BB8" i="95"/>
  <c r="BA8" i="95"/>
  <c r="AY8" i="95"/>
  <c r="AX8" i="95"/>
  <c r="AW8" i="95"/>
  <c r="AU8" i="95"/>
  <c r="AT8" i="95"/>
  <c r="AS8" i="95"/>
  <c r="AK8" i="95"/>
  <c r="AJ8" i="95"/>
  <c r="AI8" i="95"/>
  <c r="AH8" i="95"/>
  <c r="AG8" i="95"/>
  <c r="AF8" i="95"/>
  <c r="Y8" i="95"/>
  <c r="X8" i="95"/>
  <c r="W8" i="95"/>
  <c r="M8" i="95"/>
  <c r="L8" i="95"/>
  <c r="K8" i="95"/>
  <c r="G8" i="95"/>
  <c r="F8" i="95"/>
  <c r="E8" i="95"/>
  <c r="CQ7" i="95"/>
  <c r="CP7" i="95"/>
  <c r="CO7" i="95"/>
  <c r="CI7" i="95"/>
  <c r="CH7" i="95"/>
  <c r="CG7" i="95"/>
  <c r="CE7" i="95"/>
  <c r="CD7" i="95"/>
  <c r="CC7" i="95"/>
  <c r="CA7" i="95"/>
  <c r="BZ7" i="95"/>
  <c r="BY7" i="95"/>
  <c r="BW7" i="95"/>
  <c r="BV7" i="95"/>
  <c r="BU7" i="95"/>
  <c r="BS7" i="95"/>
  <c r="BR7" i="95"/>
  <c r="BQ7" i="95"/>
  <c r="BO7" i="95"/>
  <c r="BN7" i="95"/>
  <c r="BM7" i="95"/>
  <c r="BK7" i="95"/>
  <c r="BJ7" i="95"/>
  <c r="BI7" i="95"/>
  <c r="BG7" i="95"/>
  <c r="BF7" i="95"/>
  <c r="BE7" i="95"/>
  <c r="BB7" i="95"/>
  <c r="BA7" i="95"/>
  <c r="AY7" i="95"/>
  <c r="AX7" i="95"/>
  <c r="AW7" i="95"/>
  <c r="AS7" i="95"/>
  <c r="AK7" i="95"/>
  <c r="AJ7" i="95"/>
  <c r="AI7" i="95"/>
  <c r="AH7" i="95"/>
  <c r="AG7" i="95"/>
  <c r="AF7" i="95"/>
  <c r="Y7" i="95"/>
  <c r="X7" i="95"/>
  <c r="W7" i="95"/>
  <c r="R7" i="95"/>
  <c r="Q7" i="95"/>
  <c r="M7" i="95"/>
  <c r="L7" i="95"/>
  <c r="K7" i="95"/>
  <c r="G7" i="95"/>
  <c r="F7" i="95"/>
  <c r="E7" i="95"/>
  <c r="CP6" i="95"/>
  <c r="CO6" i="95"/>
  <c r="CI6" i="95"/>
  <c r="CH6" i="95"/>
  <c r="CG6" i="95"/>
  <c r="CE6" i="95"/>
  <c r="CD6" i="95"/>
  <c r="CC6" i="95"/>
  <c r="CA6" i="95"/>
  <c r="BZ6" i="95"/>
  <c r="BY6" i="95"/>
  <c r="BW6" i="95"/>
  <c r="BV6" i="95"/>
  <c r="BU6" i="95"/>
  <c r="BS6" i="95"/>
  <c r="BR6" i="95"/>
  <c r="BQ6" i="95"/>
  <c r="BO6" i="95"/>
  <c r="BN6" i="95"/>
  <c r="BM6" i="95"/>
  <c r="BK6" i="95"/>
  <c r="BJ6" i="95"/>
  <c r="BI6" i="95"/>
  <c r="BG6" i="95"/>
  <c r="BF6" i="95"/>
  <c r="BE6" i="95"/>
  <c r="BC6" i="95"/>
  <c r="BB6" i="95"/>
  <c r="BA6" i="95"/>
  <c r="AY6" i="95"/>
  <c r="AX6" i="95"/>
  <c r="AW6" i="95"/>
  <c r="AU6" i="95"/>
  <c r="AT6" i="95"/>
  <c r="AS6" i="95"/>
  <c r="AK6" i="95"/>
  <c r="AJ6" i="95"/>
  <c r="AI6" i="95"/>
  <c r="AH6" i="95"/>
  <c r="AG6" i="95"/>
  <c r="AF6" i="95"/>
  <c r="AD6" i="95"/>
  <c r="AC6" i="95"/>
  <c r="Y6" i="95"/>
  <c r="X6" i="95"/>
  <c r="W6" i="95"/>
  <c r="T6" i="95"/>
  <c r="S6" i="95"/>
  <c r="R6" i="95"/>
  <c r="Q6" i="95"/>
  <c r="M6" i="95"/>
  <c r="L6" i="95"/>
  <c r="K6" i="95"/>
  <c r="J6" i="95"/>
  <c r="I6" i="95"/>
  <c r="H6" i="95"/>
  <c r="G6" i="95"/>
  <c r="F6" i="95"/>
  <c r="E6" i="95"/>
  <c r="CP5" i="95"/>
  <c r="CO5" i="95"/>
  <c r="CI5" i="95"/>
  <c r="CH5" i="95"/>
  <c r="CG5" i="95"/>
  <c r="CE5" i="95"/>
  <c r="CD5" i="95"/>
  <c r="CC5" i="95"/>
  <c r="CA5" i="95"/>
  <c r="BZ5" i="95"/>
  <c r="BY5" i="95"/>
  <c r="BW5" i="95"/>
  <c r="BV5" i="95"/>
  <c r="BU5" i="95"/>
  <c r="BS5" i="95"/>
  <c r="BR5" i="95"/>
  <c r="BQ5" i="95"/>
  <c r="BO5" i="95"/>
  <c r="BN5" i="95"/>
  <c r="BM5" i="95"/>
  <c r="BK5" i="95"/>
  <c r="BJ5" i="95"/>
  <c r="BI5" i="95"/>
  <c r="BG5" i="95"/>
  <c r="BF5" i="95"/>
  <c r="BE5" i="95"/>
  <c r="BC5" i="95"/>
  <c r="BB5" i="95"/>
  <c r="BA5" i="95"/>
  <c r="AY5" i="95"/>
  <c r="AX5" i="95"/>
  <c r="AW5" i="95"/>
  <c r="AU5" i="95"/>
  <c r="AT5" i="95"/>
  <c r="AS5" i="95"/>
  <c r="AK5" i="95"/>
  <c r="AJ5" i="95"/>
  <c r="AI5" i="95"/>
  <c r="AH5" i="95"/>
  <c r="AG5" i="95"/>
  <c r="AF5" i="95"/>
  <c r="AE5" i="95"/>
  <c r="AD5" i="95"/>
  <c r="AC5" i="95"/>
  <c r="AB5" i="95"/>
  <c r="AA5" i="95"/>
  <c r="Z5" i="95"/>
  <c r="Y5" i="95"/>
  <c r="X5" i="95"/>
  <c r="W5" i="95"/>
  <c r="V5" i="95"/>
  <c r="U5" i="95"/>
  <c r="T5" i="95"/>
  <c r="S5" i="95"/>
  <c r="R5" i="95"/>
  <c r="Q5" i="95"/>
  <c r="P5" i="95"/>
  <c r="O5" i="95"/>
  <c r="N5" i="95"/>
  <c r="M5" i="95"/>
  <c r="L5" i="95"/>
  <c r="K5" i="95"/>
  <c r="J5" i="95"/>
  <c r="I5" i="95"/>
  <c r="H5" i="95"/>
  <c r="G5" i="95"/>
  <c r="F5" i="95"/>
  <c r="E5" i="95"/>
  <c r="CP4" i="95"/>
  <c r="CO4" i="95"/>
  <c r="CI4" i="95"/>
  <c r="CH4" i="95"/>
  <c r="CG4" i="95"/>
  <c r="CE4" i="95"/>
  <c r="CD4" i="95"/>
  <c r="CC4" i="95"/>
  <c r="CA4" i="95"/>
  <c r="BZ4" i="95"/>
  <c r="BY4" i="95"/>
  <c r="BW4" i="95"/>
  <c r="BV4" i="95"/>
  <c r="BU4" i="95"/>
  <c r="BS4" i="95"/>
  <c r="BR4" i="95"/>
  <c r="BQ4" i="95"/>
  <c r="BO4" i="95"/>
  <c r="BN4" i="95"/>
  <c r="BM4" i="95"/>
  <c r="BK4" i="95"/>
  <c r="BJ4" i="95"/>
  <c r="BI4" i="95"/>
  <c r="BG4" i="95"/>
  <c r="BF4" i="95"/>
  <c r="BE4" i="95"/>
  <c r="BC4" i="95"/>
  <c r="BB4" i="95"/>
  <c r="BA4" i="95"/>
  <c r="AY4" i="95"/>
  <c r="AX4" i="95"/>
  <c r="AW4" i="95"/>
  <c r="AU4" i="95"/>
  <c r="AT4" i="95"/>
  <c r="AS4" i="95"/>
  <c r="AK4" i="95"/>
  <c r="AJ4" i="95"/>
  <c r="AI4" i="95"/>
  <c r="AH4" i="95"/>
  <c r="AG4" i="95"/>
  <c r="AF4" i="95"/>
  <c r="AE4" i="95"/>
  <c r="AD4" i="95"/>
  <c r="AC4" i="95"/>
  <c r="Y4" i="95"/>
  <c r="X4" i="95"/>
  <c r="W4" i="95"/>
  <c r="V4" i="95"/>
  <c r="U4" i="95"/>
  <c r="T4" i="95"/>
  <c r="S4" i="95"/>
  <c r="R4" i="95"/>
  <c r="Q4" i="95"/>
  <c r="O4" i="95"/>
  <c r="N4" i="95"/>
  <c r="M4" i="95"/>
  <c r="L4" i="95"/>
  <c r="K4" i="95"/>
  <c r="J4" i="95"/>
  <c r="I4" i="95"/>
  <c r="H4" i="95"/>
  <c r="G4" i="95"/>
  <c r="F4" i="95"/>
  <c r="E4" i="95"/>
  <c r="F7" i="94"/>
  <c r="G7" i="94"/>
  <c r="J6" i="94"/>
  <c r="J8" i="94" s="1"/>
  <c r="B26" i="94" s="1"/>
  <c r="K6" i="94"/>
  <c r="K8" i="94" s="1"/>
  <c r="C26" i="94" s="1"/>
  <c r="F6" i="94"/>
  <c r="G6" i="94"/>
  <c r="F8" i="94"/>
  <c r="G8" i="94"/>
  <c r="F9" i="94"/>
  <c r="G9" i="94"/>
  <c r="F10" i="94"/>
  <c r="G10" i="94"/>
  <c r="F11" i="94"/>
  <c r="G11" i="94"/>
  <c r="F12" i="94"/>
  <c r="G12" i="94"/>
  <c r="F13" i="94"/>
  <c r="G13" i="94"/>
  <c r="F14" i="94"/>
  <c r="G14" i="94"/>
  <c r="F15" i="94"/>
  <c r="G15" i="94"/>
  <c r="F16" i="94"/>
  <c r="G16" i="94"/>
  <c r="F17" i="94"/>
  <c r="G17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DB6" i="92"/>
  <c r="DC6" i="92"/>
  <c r="DD6" i="92"/>
  <c r="DB7" i="92"/>
  <c r="DC7" i="92"/>
  <c r="DD7" i="92"/>
  <c r="DB8" i="92"/>
  <c r="DC8" i="92"/>
  <c r="DD8" i="92"/>
  <c r="DB9" i="92"/>
  <c r="DC9" i="92"/>
  <c r="DB10" i="92"/>
  <c r="DC10" i="92"/>
  <c r="DB11" i="92"/>
  <c r="DC11" i="92"/>
  <c r="DD11" i="92"/>
  <c r="DB12" i="92"/>
  <c r="DC12" i="92"/>
  <c r="DD12" i="92"/>
  <c r="DB13" i="92"/>
  <c r="DC13" i="92"/>
  <c r="DD13" i="92"/>
  <c r="DB14" i="92"/>
  <c r="DC14" i="92"/>
  <c r="DD14" i="92"/>
  <c r="DB15" i="92"/>
  <c r="DC15" i="92"/>
  <c r="DD15" i="92"/>
  <c r="DB16" i="92"/>
  <c r="DC16" i="92"/>
  <c r="DD16" i="92"/>
  <c r="DB17" i="92"/>
  <c r="DC17" i="92"/>
  <c r="DD17" i="92"/>
  <c r="DB18" i="92"/>
  <c r="DC18" i="92"/>
  <c r="DD18" i="92"/>
  <c r="DB19" i="92"/>
  <c r="DC19" i="92"/>
  <c r="DD19" i="92"/>
  <c r="DB20" i="92"/>
  <c r="DC20" i="92"/>
  <c r="DD20" i="92"/>
  <c r="DB21" i="92"/>
  <c r="DC21" i="92"/>
  <c r="DD21" i="92"/>
  <c r="DB22" i="92"/>
  <c r="DC22" i="92"/>
  <c r="DE22" i="92" s="1"/>
  <c r="DD22" i="92"/>
  <c r="DB23" i="92"/>
  <c r="DC23" i="92"/>
  <c r="DD23" i="92"/>
  <c r="DB24" i="92"/>
  <c r="DC24" i="92"/>
  <c r="DD24" i="92"/>
  <c r="DB25" i="92"/>
  <c r="DC25" i="92"/>
  <c r="DD25" i="92"/>
  <c r="DB26" i="92"/>
  <c r="DC26" i="92"/>
  <c r="DD26" i="92"/>
  <c r="DB27" i="92"/>
  <c r="DC27" i="92"/>
  <c r="DD27" i="92"/>
  <c r="DB28" i="92"/>
  <c r="DC28" i="92"/>
  <c r="DD28" i="92"/>
  <c r="DB29" i="92"/>
  <c r="DC29" i="92"/>
  <c r="DD29" i="92"/>
  <c r="DB30" i="92"/>
  <c r="DC30" i="92"/>
  <c r="DD30" i="92"/>
  <c r="DB31" i="92"/>
  <c r="DC31" i="92"/>
  <c r="DD31" i="92"/>
  <c r="DB32" i="92"/>
  <c r="DC32" i="92"/>
  <c r="DD32" i="92"/>
  <c r="DB33" i="92"/>
  <c r="DC33" i="92"/>
  <c r="DD33" i="92"/>
  <c r="BI6" i="92"/>
  <c r="BK6" i="92"/>
  <c r="BL6" i="92"/>
  <c r="BM6" i="92"/>
  <c r="BI7" i="92"/>
  <c r="BK7" i="92"/>
  <c r="BL7" i="92"/>
  <c r="BM7" i="92"/>
  <c r="BY7" i="92"/>
  <c r="CA7" i="92"/>
  <c r="CB7" i="92"/>
  <c r="CC7" i="92"/>
  <c r="CE7" i="92"/>
  <c r="CF7" i="92"/>
  <c r="CJ7" i="92"/>
  <c r="CO7" i="92"/>
  <c r="CQ7" i="92"/>
  <c r="CR7" i="92"/>
  <c r="CV7" i="92"/>
  <c r="BE8" i="92"/>
  <c r="BG8" i="92"/>
  <c r="BH8" i="92"/>
  <c r="BI8" i="92"/>
  <c r="BK8" i="92"/>
  <c r="BL8" i="92"/>
  <c r="BM8" i="92"/>
  <c r="BO8" i="92"/>
  <c r="BP8" i="92"/>
  <c r="BQ8" i="92"/>
  <c r="BS8" i="92"/>
  <c r="BT8" i="92"/>
  <c r="BU8" i="92"/>
  <c r="BW8" i="92"/>
  <c r="BX8" i="92"/>
  <c r="BY8" i="92"/>
  <c r="CA8" i="92"/>
  <c r="CB8" i="92"/>
  <c r="CC8" i="92"/>
  <c r="CE8" i="92"/>
  <c r="CF8" i="92"/>
  <c r="CG8" i="92"/>
  <c r="CI8" i="92"/>
  <c r="CJ8" i="92"/>
  <c r="CK8" i="92"/>
  <c r="CM8" i="92"/>
  <c r="CN8" i="92"/>
  <c r="CO8" i="92"/>
  <c r="CQ8" i="92"/>
  <c r="CR8" i="92"/>
  <c r="CS8" i="92"/>
  <c r="CU8" i="92"/>
  <c r="CV8" i="92"/>
  <c r="BI9" i="92"/>
  <c r="BK9" i="92"/>
  <c r="BL9" i="92"/>
  <c r="BM9" i="92"/>
  <c r="BQ9" i="92"/>
  <c r="BS9" i="92"/>
  <c r="BT9" i="92"/>
  <c r="BU9" i="92"/>
  <c r="BW9" i="92"/>
  <c r="BX9" i="92"/>
  <c r="BY9" i="92"/>
  <c r="CA9" i="92"/>
  <c r="CB9" i="92"/>
  <c r="CC9" i="92"/>
  <c r="CE9" i="92"/>
  <c r="CF9" i="92"/>
  <c r="CG9" i="92"/>
  <c r="CI9" i="92"/>
  <c r="CJ9" i="92"/>
  <c r="CN9" i="92"/>
  <c r="CO9" i="92"/>
  <c r="CQ9" i="92"/>
  <c r="CR9" i="92"/>
  <c r="CS9" i="92"/>
  <c r="CU9" i="92"/>
  <c r="CV9" i="92"/>
  <c r="BE11" i="92"/>
  <c r="BG11" i="92"/>
  <c r="BH11" i="92"/>
  <c r="BI11" i="92"/>
  <c r="BK11" i="92"/>
  <c r="BL11" i="92"/>
  <c r="BM11" i="92"/>
  <c r="BQ11" i="92"/>
  <c r="BS11" i="92"/>
  <c r="BT11" i="92"/>
  <c r="BU11" i="92"/>
  <c r="BW11" i="92"/>
  <c r="BX11" i="92"/>
  <c r="BY11" i="92"/>
  <c r="CA11" i="92"/>
  <c r="CB11" i="92"/>
  <c r="CC11" i="92"/>
  <c r="CE11" i="92"/>
  <c r="CF11" i="92"/>
  <c r="CG11" i="92"/>
  <c r="CI11" i="92"/>
  <c r="CJ11" i="92"/>
  <c r="CK11" i="92"/>
  <c r="CM11" i="92"/>
  <c r="CN11" i="92"/>
  <c r="CO11" i="92"/>
  <c r="CQ11" i="92"/>
  <c r="CR11" i="92"/>
  <c r="CS11" i="92"/>
  <c r="CU11" i="92"/>
  <c r="CV11" i="92"/>
  <c r="BE12" i="92"/>
  <c r="BG12" i="92"/>
  <c r="BH12" i="92"/>
  <c r="BI12" i="92"/>
  <c r="BK12" i="92"/>
  <c r="BL12" i="92"/>
  <c r="BM12" i="92"/>
  <c r="BQ12" i="92"/>
  <c r="BS12" i="92"/>
  <c r="BT12" i="92"/>
  <c r="BU12" i="92"/>
  <c r="BW12" i="92"/>
  <c r="BX12" i="92"/>
  <c r="BY12" i="92"/>
  <c r="CA12" i="92"/>
  <c r="CB12" i="92"/>
  <c r="CC12" i="92"/>
  <c r="CE12" i="92"/>
  <c r="CF12" i="92"/>
  <c r="CG12" i="92"/>
  <c r="CI12" i="92"/>
  <c r="CJ12" i="92"/>
  <c r="CK12" i="92"/>
  <c r="CM12" i="92"/>
  <c r="CN12" i="92"/>
  <c r="CO12" i="92"/>
  <c r="CQ12" i="92"/>
  <c r="CR12" i="92"/>
  <c r="CS12" i="92"/>
  <c r="CU12" i="92"/>
  <c r="CV12" i="92"/>
  <c r="BE13" i="92"/>
  <c r="BG13" i="92"/>
  <c r="BH13" i="92"/>
  <c r="BI13" i="92"/>
  <c r="BK13" i="92"/>
  <c r="BL13" i="92"/>
  <c r="BM13" i="92"/>
  <c r="BO13" i="92"/>
  <c r="BP13" i="92"/>
  <c r="BQ13" i="92"/>
  <c r="BS13" i="92"/>
  <c r="BT13" i="92"/>
  <c r="BU13" i="92"/>
  <c r="BW13" i="92"/>
  <c r="BX13" i="92"/>
  <c r="BY13" i="92"/>
  <c r="CA13" i="92"/>
  <c r="CB13" i="92"/>
  <c r="CC13" i="92"/>
  <c r="CE13" i="92"/>
  <c r="CF13" i="92"/>
  <c r="CG13" i="92"/>
  <c r="CI13" i="92"/>
  <c r="CJ13" i="92"/>
  <c r="CK13" i="92"/>
  <c r="CM13" i="92"/>
  <c r="CN13" i="92"/>
  <c r="CO13" i="92"/>
  <c r="CQ13" i="92"/>
  <c r="CR13" i="92"/>
  <c r="CS13" i="92"/>
  <c r="CU13" i="92"/>
  <c r="CV13" i="92"/>
  <c r="BE14" i="92"/>
  <c r="BG14" i="92"/>
  <c r="BH14" i="92"/>
  <c r="BI14" i="92"/>
  <c r="BK14" i="92"/>
  <c r="BL14" i="92"/>
  <c r="BM14" i="92"/>
  <c r="BQ14" i="92"/>
  <c r="BS14" i="92"/>
  <c r="BT14" i="92"/>
  <c r="BU14" i="92"/>
  <c r="BW14" i="92"/>
  <c r="BX14" i="92"/>
  <c r="BY14" i="92"/>
  <c r="CA14" i="92"/>
  <c r="CB14" i="92"/>
  <c r="CC14" i="92"/>
  <c r="CE14" i="92"/>
  <c r="CF14" i="92"/>
  <c r="CG14" i="92"/>
  <c r="CI14" i="92"/>
  <c r="CJ14" i="92"/>
  <c r="CK14" i="92"/>
  <c r="CM14" i="92"/>
  <c r="CN14" i="92"/>
  <c r="CO14" i="92"/>
  <c r="CQ14" i="92"/>
  <c r="CR14" i="92"/>
  <c r="CS14" i="92"/>
  <c r="CU14" i="92"/>
  <c r="CV14" i="92"/>
  <c r="BE15" i="92"/>
  <c r="BG15" i="92"/>
  <c r="BH15" i="92"/>
  <c r="BI15" i="92"/>
  <c r="BK15" i="92"/>
  <c r="BL15" i="92"/>
  <c r="BM15" i="92"/>
  <c r="BO15" i="92"/>
  <c r="BP15" i="92"/>
  <c r="BQ15" i="92"/>
  <c r="BS15" i="92"/>
  <c r="BT15" i="92"/>
  <c r="BU15" i="92"/>
  <c r="BW15" i="92"/>
  <c r="BX15" i="92"/>
  <c r="BY15" i="92"/>
  <c r="CA15" i="92"/>
  <c r="CB15" i="92"/>
  <c r="CC15" i="92"/>
  <c r="CE15" i="92"/>
  <c r="CF15" i="92"/>
  <c r="CG15" i="92"/>
  <c r="CI15" i="92"/>
  <c r="CJ15" i="92"/>
  <c r="CK15" i="92"/>
  <c r="CM15" i="92"/>
  <c r="CN15" i="92"/>
  <c r="CO15" i="92"/>
  <c r="CQ15" i="92"/>
  <c r="CR15" i="92"/>
  <c r="CS15" i="92"/>
  <c r="CU15" i="92"/>
  <c r="CV15" i="92"/>
  <c r="BE16" i="92"/>
  <c r="BG16" i="92"/>
  <c r="BH16" i="92"/>
  <c r="BI16" i="92"/>
  <c r="BK16" i="92"/>
  <c r="BL16" i="92"/>
  <c r="BM16" i="92"/>
  <c r="BO16" i="92"/>
  <c r="BP16" i="92"/>
  <c r="BQ16" i="92"/>
  <c r="BS16" i="92"/>
  <c r="BT16" i="92"/>
  <c r="BU16" i="92"/>
  <c r="BW16" i="92"/>
  <c r="BX16" i="92"/>
  <c r="BY16" i="92"/>
  <c r="CA16" i="92"/>
  <c r="CB16" i="92"/>
  <c r="CC16" i="92"/>
  <c r="CE16" i="92"/>
  <c r="CF16" i="92"/>
  <c r="CG16" i="92"/>
  <c r="CI16" i="92"/>
  <c r="CJ16" i="92"/>
  <c r="CK16" i="92"/>
  <c r="CM16" i="92"/>
  <c r="CN16" i="92"/>
  <c r="CO16" i="92"/>
  <c r="CQ16" i="92"/>
  <c r="CR16" i="92"/>
  <c r="CS16" i="92"/>
  <c r="CU16" i="92"/>
  <c r="CV16" i="92"/>
  <c r="BE17" i="92"/>
  <c r="BG17" i="92"/>
  <c r="BH17" i="92"/>
  <c r="BI17" i="92"/>
  <c r="BK17" i="92"/>
  <c r="BL17" i="92"/>
  <c r="BM17" i="92"/>
  <c r="BO17" i="92"/>
  <c r="BP17" i="92"/>
  <c r="BQ17" i="92"/>
  <c r="BS17" i="92"/>
  <c r="BT17" i="92"/>
  <c r="BU17" i="92"/>
  <c r="BW17" i="92"/>
  <c r="BX17" i="92"/>
  <c r="BY17" i="92"/>
  <c r="CA17" i="92"/>
  <c r="CB17" i="92"/>
  <c r="CC17" i="92"/>
  <c r="CE17" i="92"/>
  <c r="CF17" i="92"/>
  <c r="CG17" i="92"/>
  <c r="CI17" i="92"/>
  <c r="CJ17" i="92"/>
  <c r="CK17" i="92"/>
  <c r="CM17" i="92"/>
  <c r="CN17" i="92"/>
  <c r="CO17" i="92"/>
  <c r="CQ17" i="92"/>
  <c r="CR17" i="92"/>
  <c r="CS17" i="92"/>
  <c r="CU17" i="92"/>
  <c r="CV17" i="92"/>
  <c r="BE18" i="92"/>
  <c r="BG18" i="92"/>
  <c r="BH18" i="92"/>
  <c r="BI18" i="92"/>
  <c r="BK18" i="92"/>
  <c r="BL18" i="92"/>
  <c r="BM18" i="92"/>
  <c r="BO18" i="92"/>
  <c r="BP18" i="92"/>
  <c r="BQ18" i="92"/>
  <c r="BS18" i="92"/>
  <c r="BT18" i="92"/>
  <c r="BU18" i="92"/>
  <c r="BW18" i="92"/>
  <c r="BX18" i="92"/>
  <c r="BY18" i="92"/>
  <c r="CA18" i="92"/>
  <c r="CB18" i="92"/>
  <c r="CC18" i="92"/>
  <c r="CE18" i="92"/>
  <c r="CF18" i="92"/>
  <c r="CG18" i="92"/>
  <c r="CI18" i="92"/>
  <c r="CJ18" i="92"/>
  <c r="CK18" i="92"/>
  <c r="CM18" i="92"/>
  <c r="CN18" i="92"/>
  <c r="CO18" i="92"/>
  <c r="CQ18" i="92"/>
  <c r="CR18" i="92"/>
  <c r="CS18" i="92"/>
  <c r="CU18" i="92"/>
  <c r="CV18" i="92"/>
  <c r="BE19" i="92"/>
  <c r="BG19" i="92"/>
  <c r="BH19" i="92"/>
  <c r="BI19" i="92"/>
  <c r="BK19" i="92"/>
  <c r="BL19" i="92"/>
  <c r="BM19" i="92"/>
  <c r="BO19" i="92"/>
  <c r="BP19" i="92"/>
  <c r="BQ19" i="92"/>
  <c r="BS19" i="92"/>
  <c r="BT19" i="92"/>
  <c r="BU19" i="92"/>
  <c r="BW19" i="92"/>
  <c r="BX19" i="92"/>
  <c r="BY19" i="92"/>
  <c r="CA19" i="92"/>
  <c r="CB19" i="92"/>
  <c r="CC19" i="92"/>
  <c r="CE19" i="92"/>
  <c r="CF19" i="92"/>
  <c r="CG19" i="92"/>
  <c r="CI19" i="92"/>
  <c r="CJ19" i="92"/>
  <c r="CK19" i="92"/>
  <c r="CM19" i="92"/>
  <c r="CN19" i="92"/>
  <c r="CO19" i="92"/>
  <c r="CQ19" i="92"/>
  <c r="CR19" i="92"/>
  <c r="CS19" i="92"/>
  <c r="CU19" i="92"/>
  <c r="CV19" i="92"/>
  <c r="BE20" i="92"/>
  <c r="BG20" i="92"/>
  <c r="BH20" i="92"/>
  <c r="BI20" i="92"/>
  <c r="BK20" i="92"/>
  <c r="BL20" i="92"/>
  <c r="BM20" i="92"/>
  <c r="BO20" i="92"/>
  <c r="BP20" i="92"/>
  <c r="BQ20" i="92"/>
  <c r="BS20" i="92"/>
  <c r="BT20" i="92"/>
  <c r="BU20" i="92"/>
  <c r="BW20" i="92"/>
  <c r="BX20" i="92"/>
  <c r="BY20" i="92"/>
  <c r="CA20" i="92"/>
  <c r="CB20" i="92"/>
  <c r="CC20" i="92"/>
  <c r="CE20" i="92"/>
  <c r="CF20" i="92"/>
  <c r="CG20" i="92"/>
  <c r="CI20" i="92"/>
  <c r="CJ20" i="92"/>
  <c r="CK20" i="92"/>
  <c r="CM20" i="92"/>
  <c r="CN20" i="92"/>
  <c r="CO20" i="92"/>
  <c r="CQ20" i="92"/>
  <c r="CR20" i="92"/>
  <c r="CS20" i="92"/>
  <c r="CU20" i="92"/>
  <c r="CV20" i="92"/>
  <c r="BE22" i="92"/>
  <c r="BG22" i="92"/>
  <c r="BH22" i="92"/>
  <c r="BI22" i="92"/>
  <c r="BK22" i="92"/>
  <c r="BL22" i="92"/>
  <c r="BM22" i="92"/>
  <c r="BO22" i="92"/>
  <c r="BP22" i="92"/>
  <c r="BQ22" i="92"/>
  <c r="BS22" i="92"/>
  <c r="BT22" i="92"/>
  <c r="BU22" i="92"/>
  <c r="BW22" i="92"/>
  <c r="BX22" i="92"/>
  <c r="BY22" i="92"/>
  <c r="CA22" i="92"/>
  <c r="CB22" i="92"/>
  <c r="CC22" i="92"/>
  <c r="CE22" i="92"/>
  <c r="CF22" i="92"/>
  <c r="CG22" i="92"/>
  <c r="CI22" i="92"/>
  <c r="CJ22" i="92"/>
  <c r="CK22" i="92"/>
  <c r="CM22" i="92"/>
  <c r="CN22" i="92"/>
  <c r="CO22" i="92"/>
  <c r="CQ22" i="92"/>
  <c r="CR22" i="92"/>
  <c r="CS22" i="92"/>
  <c r="CU22" i="92"/>
  <c r="CV22" i="92"/>
  <c r="BE23" i="92"/>
  <c r="BG23" i="92"/>
  <c r="BH23" i="92"/>
  <c r="BI23" i="92"/>
  <c r="BK23" i="92"/>
  <c r="BL23" i="92"/>
  <c r="BM23" i="92"/>
  <c r="BO23" i="92"/>
  <c r="BP23" i="92"/>
  <c r="BQ23" i="92"/>
  <c r="BS23" i="92"/>
  <c r="BT23" i="92"/>
  <c r="BU23" i="92"/>
  <c r="BW23" i="92"/>
  <c r="BX23" i="92"/>
  <c r="BY23" i="92"/>
  <c r="CA23" i="92"/>
  <c r="CB23" i="92"/>
  <c r="CC23" i="92"/>
  <c r="CE23" i="92"/>
  <c r="CF23" i="92"/>
  <c r="CG23" i="92"/>
  <c r="CI23" i="92"/>
  <c r="CJ23" i="92"/>
  <c r="CK23" i="92"/>
  <c r="CM23" i="92"/>
  <c r="CN23" i="92"/>
  <c r="CO23" i="92"/>
  <c r="CQ23" i="92"/>
  <c r="CR23" i="92"/>
  <c r="CS23" i="92"/>
  <c r="CU23" i="92"/>
  <c r="CV23" i="92"/>
  <c r="BE24" i="92"/>
  <c r="BG24" i="92"/>
  <c r="BH24" i="92"/>
  <c r="BI24" i="92"/>
  <c r="BK24" i="92"/>
  <c r="BL24" i="92"/>
  <c r="BM24" i="92"/>
  <c r="BO24" i="92"/>
  <c r="BP24" i="92"/>
  <c r="BQ24" i="92"/>
  <c r="BS24" i="92"/>
  <c r="BT24" i="92"/>
  <c r="BU24" i="92"/>
  <c r="BW24" i="92"/>
  <c r="BX24" i="92"/>
  <c r="BY24" i="92"/>
  <c r="CA24" i="92"/>
  <c r="CB24" i="92"/>
  <c r="CC24" i="92"/>
  <c r="CE24" i="92"/>
  <c r="CF24" i="92"/>
  <c r="CG24" i="92"/>
  <c r="CI24" i="92"/>
  <c r="CJ24" i="92"/>
  <c r="CK24" i="92"/>
  <c r="CM24" i="92"/>
  <c r="CN24" i="92"/>
  <c r="CO24" i="92"/>
  <c r="CQ24" i="92"/>
  <c r="CR24" i="92"/>
  <c r="CS24" i="92"/>
  <c r="CU24" i="92"/>
  <c r="CV24" i="92"/>
  <c r="BE25" i="92"/>
  <c r="BG25" i="92"/>
  <c r="BH25" i="92"/>
  <c r="BI25" i="92"/>
  <c r="BK25" i="92"/>
  <c r="BL25" i="92"/>
  <c r="BM25" i="92"/>
  <c r="BO25" i="92"/>
  <c r="BQ25" i="92"/>
  <c r="BS25" i="92"/>
  <c r="BU25" i="92"/>
  <c r="CO25" i="92"/>
  <c r="CQ25" i="92"/>
  <c r="CR25" i="92"/>
  <c r="CJ26" i="92"/>
  <c r="CO26" i="92"/>
  <c r="CQ26" i="92"/>
  <c r="CR26" i="92"/>
  <c r="CV26" i="92"/>
  <c r="CG29" i="92"/>
  <c r="CI29" i="92"/>
  <c r="CJ29" i="92"/>
  <c r="CO29" i="92"/>
  <c r="CQ29" i="92"/>
  <c r="CR29" i="92"/>
  <c r="CS29" i="92"/>
  <c r="CU29" i="92"/>
  <c r="CV29" i="92"/>
  <c r="BM30" i="92"/>
  <c r="BS30" i="92"/>
  <c r="BT30" i="92"/>
  <c r="CB30" i="92"/>
  <c r="CG30" i="92"/>
  <c r="CI30" i="92"/>
  <c r="CJ30" i="92"/>
  <c r="CK30" i="92"/>
  <c r="CM30" i="92"/>
  <c r="CN30" i="92"/>
  <c r="CO30" i="92"/>
  <c r="CQ30" i="92"/>
  <c r="CR30" i="92"/>
  <c r="CS30" i="92"/>
  <c r="CU30" i="92"/>
  <c r="CV30" i="92"/>
  <c r="BI31" i="92"/>
  <c r="BK31" i="92"/>
  <c r="BL31" i="92"/>
  <c r="BM31" i="92"/>
  <c r="BQ31" i="92"/>
  <c r="BS31" i="92"/>
  <c r="BT31" i="92"/>
  <c r="BX31" i="92"/>
  <c r="BY31" i="92"/>
  <c r="CA31" i="92"/>
  <c r="CB31" i="92"/>
  <c r="CC31" i="92"/>
  <c r="CE31" i="92"/>
  <c r="CF31" i="92"/>
  <c r="CG31" i="92"/>
  <c r="CI31" i="92"/>
  <c r="CJ31" i="92"/>
  <c r="CK31" i="92"/>
  <c r="CM31" i="92"/>
  <c r="CN31" i="92"/>
  <c r="CO31" i="92"/>
  <c r="CQ31" i="92"/>
  <c r="CR31" i="92"/>
  <c r="CS31" i="92"/>
  <c r="CU31" i="92"/>
  <c r="CV31" i="92"/>
  <c r="BI32" i="92"/>
  <c r="BK32" i="92"/>
  <c r="BL32" i="92"/>
  <c r="BM32" i="92"/>
  <c r="BQ32" i="92"/>
  <c r="BS32" i="92"/>
  <c r="BT32" i="92"/>
  <c r="BU32" i="92"/>
  <c r="BW32" i="92"/>
  <c r="BX32" i="92"/>
  <c r="BY32" i="92"/>
  <c r="CA32" i="92"/>
  <c r="CB32" i="92"/>
  <c r="CC32" i="92"/>
  <c r="CE32" i="92"/>
  <c r="CF32" i="92"/>
  <c r="CG32" i="92"/>
  <c r="CI32" i="92"/>
  <c r="CJ32" i="92"/>
  <c r="CK32" i="92"/>
  <c r="CM32" i="92"/>
  <c r="CN32" i="92"/>
  <c r="CO32" i="92"/>
  <c r="CQ32" i="92"/>
  <c r="CR32" i="92"/>
  <c r="CS32" i="92"/>
  <c r="CU32" i="92"/>
  <c r="CV32" i="92"/>
  <c r="BI35" i="92"/>
  <c r="BK35" i="92"/>
  <c r="BL35" i="92"/>
  <c r="BM35" i="92"/>
  <c r="BO35" i="92"/>
  <c r="BP35" i="92"/>
  <c r="BQ35" i="92"/>
  <c r="BS35" i="92"/>
  <c r="BT35" i="92"/>
  <c r="BU35" i="92"/>
  <c r="BW35" i="92"/>
  <c r="BX35" i="92"/>
  <c r="BY35" i="92"/>
  <c r="CA35" i="92"/>
  <c r="CB35" i="92"/>
  <c r="CC35" i="92"/>
  <c r="CE35" i="92"/>
  <c r="CF35" i="92"/>
  <c r="CG35" i="92"/>
  <c r="CI35" i="92"/>
  <c r="CJ35" i="92"/>
  <c r="CK35" i="92"/>
  <c r="CM35" i="92"/>
  <c r="CN35" i="92"/>
  <c r="CO35" i="92"/>
  <c r="CQ35" i="92"/>
  <c r="CR35" i="92"/>
  <c r="CS35" i="92"/>
  <c r="CU35" i="92"/>
  <c r="CV35" i="92"/>
  <c r="BG36" i="92"/>
  <c r="BH36" i="92"/>
  <c r="BI36" i="92"/>
  <c r="BK36" i="92"/>
  <c r="BL36" i="92"/>
  <c r="BM36" i="92"/>
  <c r="BO36" i="92"/>
  <c r="BP36" i="92"/>
  <c r="BQ36" i="92"/>
  <c r="BS36" i="92"/>
  <c r="BT36" i="92"/>
  <c r="BU36" i="92"/>
  <c r="BW36" i="92"/>
  <c r="BX36" i="92"/>
  <c r="BY36" i="92"/>
  <c r="CA36" i="92"/>
  <c r="CB36" i="92"/>
  <c r="CC36" i="92"/>
  <c r="CE36" i="92"/>
  <c r="CF36" i="92"/>
  <c r="CG36" i="92"/>
  <c r="CI36" i="92"/>
  <c r="CJ36" i="92"/>
  <c r="CK36" i="92"/>
  <c r="CM36" i="92"/>
  <c r="CN36" i="92"/>
  <c r="CO36" i="92"/>
  <c r="CQ36" i="92"/>
  <c r="CR36" i="92"/>
  <c r="CS36" i="92"/>
  <c r="CU36" i="92"/>
  <c r="CV36" i="92"/>
  <c r="BE37" i="92"/>
  <c r="BG37" i="92"/>
  <c r="BH37" i="92"/>
  <c r="BI37" i="92"/>
  <c r="BK37" i="92"/>
  <c r="BL37" i="92"/>
  <c r="BM37" i="92"/>
  <c r="BO37" i="92"/>
  <c r="BP37" i="92"/>
  <c r="BQ37" i="92"/>
  <c r="BS37" i="92"/>
  <c r="BT37" i="92"/>
  <c r="BU37" i="92"/>
  <c r="BW37" i="92"/>
  <c r="BX37" i="92"/>
  <c r="BY37" i="92"/>
  <c r="CA37" i="92"/>
  <c r="CB37" i="92"/>
  <c r="CC37" i="92"/>
  <c r="CE37" i="92"/>
  <c r="CF37" i="92"/>
  <c r="CG37" i="92"/>
  <c r="CI37" i="92"/>
  <c r="CJ37" i="92"/>
  <c r="CK37" i="92"/>
  <c r="CM37" i="92"/>
  <c r="CN37" i="92"/>
  <c r="CO37" i="92"/>
  <c r="CQ37" i="92"/>
  <c r="CR37" i="92"/>
  <c r="CS37" i="92"/>
  <c r="CU37" i="92"/>
  <c r="CV37" i="92"/>
  <c r="BE38" i="92"/>
  <c r="BG38" i="92"/>
  <c r="BH38" i="92"/>
  <c r="BI38" i="92"/>
  <c r="BK38" i="92"/>
  <c r="BL38" i="92"/>
  <c r="BM38" i="92"/>
  <c r="BO38" i="92"/>
  <c r="BP38" i="92"/>
  <c r="BQ38" i="92"/>
  <c r="BS38" i="92"/>
  <c r="BT38" i="92"/>
  <c r="BU38" i="92"/>
  <c r="BW38" i="92"/>
  <c r="BX38" i="92"/>
  <c r="BY38" i="92"/>
  <c r="CA38" i="92"/>
  <c r="CB38" i="92"/>
  <c r="CC38" i="92"/>
  <c r="CE38" i="92"/>
  <c r="CF38" i="92"/>
  <c r="CG38" i="92"/>
  <c r="CI38" i="92"/>
  <c r="CJ38" i="92"/>
  <c r="CK38" i="92"/>
  <c r="CM38" i="92"/>
  <c r="CN38" i="92"/>
  <c r="CO38" i="92"/>
  <c r="CQ38" i="92"/>
  <c r="CR38" i="92"/>
  <c r="CS38" i="92"/>
  <c r="CU38" i="92"/>
  <c r="CV38" i="92"/>
  <c r="BE39" i="92"/>
  <c r="BG39" i="92"/>
  <c r="BH39" i="92"/>
  <c r="BI39" i="92"/>
  <c r="BK39" i="92"/>
  <c r="BL39" i="92"/>
  <c r="BM39" i="92"/>
  <c r="BO39" i="92"/>
  <c r="BP39" i="92"/>
  <c r="BQ39" i="92"/>
  <c r="BS39" i="92"/>
  <c r="BT39" i="92"/>
  <c r="BU39" i="92"/>
  <c r="BW39" i="92"/>
  <c r="BX39" i="92"/>
  <c r="BY39" i="92"/>
  <c r="CA39" i="92"/>
  <c r="CB39" i="92"/>
  <c r="CC39" i="92"/>
  <c r="CE39" i="92"/>
  <c r="CF39" i="92"/>
  <c r="CG39" i="92"/>
  <c r="CI39" i="92"/>
  <c r="CJ39" i="92"/>
  <c r="CK39" i="92"/>
  <c r="CM39" i="92"/>
  <c r="CN39" i="92"/>
  <c r="CO39" i="92"/>
  <c r="CQ39" i="92"/>
  <c r="CR39" i="92"/>
  <c r="CS39" i="92"/>
  <c r="CU39" i="92"/>
  <c r="CV39" i="92"/>
  <c r="BE40" i="92"/>
  <c r="BG40" i="92"/>
  <c r="BH40" i="92"/>
  <c r="BI40" i="92"/>
  <c r="BK40" i="92"/>
  <c r="BL40" i="92"/>
  <c r="BM40" i="92"/>
  <c r="BO40" i="92"/>
  <c r="BP40" i="92"/>
  <c r="BQ40" i="92"/>
  <c r="BS40" i="92"/>
  <c r="BT40" i="92"/>
  <c r="BU40" i="92"/>
  <c r="BW40" i="92"/>
  <c r="BX40" i="92"/>
  <c r="BY40" i="92"/>
  <c r="CA40" i="92"/>
  <c r="CB40" i="92"/>
  <c r="CC40" i="92"/>
  <c r="CE40" i="92"/>
  <c r="CF40" i="92"/>
  <c r="CG40" i="92"/>
  <c r="CI40" i="92"/>
  <c r="CJ40" i="92"/>
  <c r="CK40" i="92"/>
  <c r="CM40" i="92"/>
  <c r="CN40" i="92"/>
  <c r="CO40" i="92"/>
  <c r="CQ40" i="92"/>
  <c r="CR40" i="92"/>
  <c r="CS40" i="92"/>
  <c r="CU40" i="92"/>
  <c r="CV40" i="92"/>
  <c r="I11" i="92"/>
  <c r="P11" i="92"/>
  <c r="Q11" i="92"/>
  <c r="AR11" i="92"/>
  <c r="AS11" i="92"/>
  <c r="F29" i="92"/>
  <c r="H29" i="92"/>
  <c r="I29" i="92"/>
  <c r="N29" i="92"/>
  <c r="P29" i="92"/>
  <c r="Q29" i="92"/>
  <c r="AP29" i="92"/>
  <c r="AR29" i="92"/>
  <c r="AS29" i="92"/>
  <c r="F39" i="92"/>
  <c r="H39" i="92"/>
  <c r="I39" i="92"/>
  <c r="N39" i="92"/>
  <c r="P39" i="92"/>
  <c r="Q39" i="92"/>
  <c r="AP39" i="92"/>
  <c r="AR39" i="92"/>
  <c r="AS39" i="92"/>
  <c r="F37" i="92"/>
  <c r="H37" i="92"/>
  <c r="I37" i="92"/>
  <c r="N37" i="92"/>
  <c r="P37" i="92"/>
  <c r="Q37" i="92"/>
  <c r="AP37" i="92"/>
  <c r="AR37" i="92"/>
  <c r="AS37" i="92"/>
  <c r="AW14" i="92"/>
  <c r="F10" i="92"/>
  <c r="H10" i="92"/>
  <c r="I10" i="92"/>
  <c r="N10" i="92"/>
  <c r="P10" i="92"/>
  <c r="Q10" i="92"/>
  <c r="AD10" i="92"/>
  <c r="AF10" i="92"/>
  <c r="AG10" i="92"/>
  <c r="AP10" i="92"/>
  <c r="AR10" i="92"/>
  <c r="AS10" i="92"/>
  <c r="AW15" i="92"/>
  <c r="F13" i="92"/>
  <c r="H13" i="92"/>
  <c r="I13" i="92"/>
  <c r="N13" i="92"/>
  <c r="P13" i="92"/>
  <c r="Q13" i="92"/>
  <c r="AD13" i="92"/>
  <c r="AF13" i="92"/>
  <c r="AG13" i="92"/>
  <c r="AP13" i="92"/>
  <c r="AR13" i="92"/>
  <c r="AS13" i="92"/>
  <c r="AT13" i="92"/>
  <c r="AV13" i="92"/>
  <c r="AW16" i="92"/>
  <c r="F14" i="92"/>
  <c r="H14" i="92"/>
  <c r="I14" i="92"/>
  <c r="J14" i="92"/>
  <c r="L14" i="92"/>
  <c r="M14" i="92"/>
  <c r="N14" i="92"/>
  <c r="P14" i="92"/>
  <c r="Q14" i="92"/>
  <c r="R14" i="92"/>
  <c r="T14" i="92"/>
  <c r="U14" i="92"/>
  <c r="V14" i="92"/>
  <c r="X14" i="92"/>
  <c r="Y14" i="92"/>
  <c r="Z14" i="92"/>
  <c r="AB14" i="92"/>
  <c r="AC14" i="92"/>
  <c r="AD14" i="92"/>
  <c r="AF14" i="92"/>
  <c r="AG14" i="92"/>
  <c r="AH14" i="92"/>
  <c r="AJ14" i="92"/>
  <c r="AK14" i="92"/>
  <c r="AL14" i="92"/>
  <c r="AN14" i="92"/>
  <c r="AO14" i="92"/>
  <c r="AP14" i="92"/>
  <c r="AR14" i="92"/>
  <c r="AS14" i="92"/>
  <c r="AT14" i="92"/>
  <c r="AV14" i="92"/>
  <c r="AW17" i="92"/>
  <c r="F15" i="92"/>
  <c r="H15" i="92"/>
  <c r="I15" i="92"/>
  <c r="N15" i="92"/>
  <c r="P15" i="92"/>
  <c r="Q15" i="92"/>
  <c r="Y15" i="92"/>
  <c r="AD15" i="92"/>
  <c r="AF15" i="92"/>
  <c r="AG15" i="92"/>
  <c r="AP15" i="92"/>
  <c r="AR15" i="92"/>
  <c r="AS15" i="92"/>
  <c r="AT15" i="92"/>
  <c r="AV15" i="92"/>
  <c r="AW18" i="92"/>
  <c r="F16" i="92"/>
  <c r="H16" i="92"/>
  <c r="I16" i="92"/>
  <c r="N16" i="92"/>
  <c r="P16" i="92"/>
  <c r="Q16" i="92"/>
  <c r="V16" i="92"/>
  <c r="X16" i="92"/>
  <c r="Y16" i="92"/>
  <c r="AD16" i="92"/>
  <c r="AF16" i="92"/>
  <c r="AG16" i="92"/>
  <c r="AP16" i="92"/>
  <c r="AR16" i="92"/>
  <c r="AS16" i="92"/>
  <c r="AT16" i="92"/>
  <c r="AV16" i="92"/>
  <c r="AW19" i="92"/>
  <c r="F17" i="92"/>
  <c r="H17" i="92"/>
  <c r="I17" i="92"/>
  <c r="L17" i="92"/>
  <c r="M17" i="92"/>
  <c r="N17" i="92"/>
  <c r="P17" i="92"/>
  <c r="Q17" i="92"/>
  <c r="V17" i="92"/>
  <c r="X17" i="92"/>
  <c r="Y17" i="92"/>
  <c r="AD17" i="92"/>
  <c r="AF17" i="92"/>
  <c r="AG17" i="92"/>
  <c r="AL17" i="92"/>
  <c r="AN17" i="92"/>
  <c r="AO17" i="92"/>
  <c r="AP17" i="92"/>
  <c r="AR17" i="92"/>
  <c r="AS17" i="92"/>
  <c r="AT17" i="92"/>
  <c r="AV17" i="92"/>
  <c r="AW20" i="92"/>
  <c r="F18" i="92"/>
  <c r="H18" i="92"/>
  <c r="I18" i="92"/>
  <c r="J18" i="92"/>
  <c r="L18" i="92"/>
  <c r="M18" i="92"/>
  <c r="N18" i="92"/>
  <c r="P18" i="92"/>
  <c r="Q18" i="92"/>
  <c r="V18" i="92"/>
  <c r="X18" i="92"/>
  <c r="Y18" i="92"/>
  <c r="AD18" i="92"/>
  <c r="AF18" i="92"/>
  <c r="AG18" i="92"/>
  <c r="AL18" i="92"/>
  <c r="AN18" i="92"/>
  <c r="AO18" i="92"/>
  <c r="AP18" i="92"/>
  <c r="AR18" i="92"/>
  <c r="AS18" i="92"/>
  <c r="AT18" i="92"/>
  <c r="AV18" i="92"/>
  <c r="AW21" i="92"/>
  <c r="F19" i="92"/>
  <c r="H19" i="92"/>
  <c r="I19" i="92"/>
  <c r="J19" i="92"/>
  <c r="L19" i="92"/>
  <c r="M19" i="92"/>
  <c r="N19" i="92"/>
  <c r="P19" i="92"/>
  <c r="Q19" i="92"/>
  <c r="V19" i="92"/>
  <c r="X19" i="92"/>
  <c r="Y19" i="92"/>
  <c r="AD19" i="92"/>
  <c r="AF19" i="92"/>
  <c r="AG19" i="92"/>
  <c r="AL19" i="92"/>
  <c r="AN19" i="92"/>
  <c r="AO19" i="92"/>
  <c r="AP19" i="92"/>
  <c r="AR19" i="92"/>
  <c r="AS19" i="92"/>
  <c r="AT19" i="92"/>
  <c r="AV19" i="92"/>
  <c r="AW22" i="92"/>
  <c r="F20" i="92"/>
  <c r="H20" i="92"/>
  <c r="I20" i="92"/>
  <c r="J20" i="92"/>
  <c r="L20" i="92"/>
  <c r="M20" i="92"/>
  <c r="N20" i="92"/>
  <c r="P20" i="92"/>
  <c r="Q20" i="92"/>
  <c r="V20" i="92"/>
  <c r="X20" i="92"/>
  <c r="Y20" i="92"/>
  <c r="AD20" i="92"/>
  <c r="AF20" i="92"/>
  <c r="AG20" i="92"/>
  <c r="AL20" i="92"/>
  <c r="AN20" i="92"/>
  <c r="AO20" i="92"/>
  <c r="AP20" i="92"/>
  <c r="AR20" i="92"/>
  <c r="AS20" i="92"/>
  <c r="AT20" i="92"/>
  <c r="AV20" i="92"/>
  <c r="AW23" i="92"/>
  <c r="F21" i="92"/>
  <c r="H21" i="92"/>
  <c r="I21" i="92"/>
  <c r="J21" i="92"/>
  <c r="L21" i="92"/>
  <c r="M21" i="92"/>
  <c r="N21" i="92"/>
  <c r="P21" i="92"/>
  <c r="Q21" i="92"/>
  <c r="V21" i="92"/>
  <c r="X21" i="92"/>
  <c r="Y21" i="92"/>
  <c r="AD21" i="92"/>
  <c r="AF21" i="92"/>
  <c r="AG21" i="92"/>
  <c r="AL21" i="92"/>
  <c r="AN21" i="92"/>
  <c r="AO21" i="92"/>
  <c r="AP21" i="92"/>
  <c r="AR21" i="92"/>
  <c r="AS21" i="92"/>
  <c r="AT21" i="92"/>
  <c r="AV21" i="92"/>
  <c r="AW24" i="92"/>
  <c r="F22" i="92"/>
  <c r="H22" i="92"/>
  <c r="I22" i="92"/>
  <c r="J22" i="92"/>
  <c r="L22" i="92"/>
  <c r="M22" i="92"/>
  <c r="V22" i="92"/>
  <c r="X22" i="92"/>
  <c r="Y22" i="92"/>
  <c r="AD22" i="92"/>
  <c r="AF22" i="92"/>
  <c r="AG22" i="92"/>
  <c r="AL22" i="92"/>
  <c r="AN22" i="92"/>
  <c r="AO22" i="92"/>
  <c r="AT22" i="92"/>
  <c r="AV22" i="92"/>
  <c r="AW25" i="92"/>
  <c r="F23" i="92"/>
  <c r="H23" i="92"/>
  <c r="I23" i="92"/>
  <c r="J23" i="92"/>
  <c r="L23" i="92"/>
  <c r="M23" i="92"/>
  <c r="R23" i="92"/>
  <c r="T23" i="92"/>
  <c r="U23" i="92"/>
  <c r="V23" i="92"/>
  <c r="X23" i="92"/>
  <c r="Y23" i="92"/>
  <c r="AD23" i="92"/>
  <c r="AF23" i="92"/>
  <c r="AG23" i="92"/>
  <c r="AL23" i="92"/>
  <c r="AN23" i="92"/>
  <c r="AO23" i="92"/>
  <c r="AT23" i="92"/>
  <c r="AV23" i="92"/>
  <c r="AW26" i="92"/>
  <c r="F24" i="92"/>
  <c r="H24" i="92"/>
  <c r="I24" i="92"/>
  <c r="J24" i="92"/>
  <c r="L24" i="92"/>
  <c r="M24" i="92"/>
  <c r="R24" i="92"/>
  <c r="T24" i="92"/>
  <c r="U24" i="92"/>
  <c r="V24" i="92"/>
  <c r="X24" i="92"/>
  <c r="Y24" i="92"/>
  <c r="AD24" i="92"/>
  <c r="AF24" i="92"/>
  <c r="AG24" i="92"/>
  <c r="AL24" i="92"/>
  <c r="AN24" i="92"/>
  <c r="AO24" i="92"/>
  <c r="AT24" i="92"/>
  <c r="AV24" i="92"/>
  <c r="AW27" i="92"/>
  <c r="F25" i="92"/>
  <c r="H25" i="92"/>
  <c r="I25" i="92"/>
  <c r="J25" i="92"/>
  <c r="L25" i="92"/>
  <c r="M25" i="92"/>
  <c r="Q25" i="92"/>
  <c r="R25" i="92"/>
  <c r="T25" i="92"/>
  <c r="U25" i="92"/>
  <c r="V25" i="92"/>
  <c r="X25" i="92"/>
  <c r="Y25" i="92"/>
  <c r="AD25" i="92"/>
  <c r="AF25" i="92"/>
  <c r="AG25" i="92"/>
  <c r="AL25" i="92"/>
  <c r="AN25" i="92"/>
  <c r="AO25" i="92"/>
  <c r="AT25" i="92"/>
  <c r="AV25" i="92"/>
  <c r="AW28" i="92"/>
  <c r="F26" i="92"/>
  <c r="H26" i="92"/>
  <c r="I26" i="92"/>
  <c r="J26" i="92"/>
  <c r="L26" i="92"/>
  <c r="M26" i="92"/>
  <c r="N26" i="92"/>
  <c r="P26" i="92"/>
  <c r="Q26" i="92"/>
  <c r="R26" i="92"/>
  <c r="T26" i="92"/>
  <c r="U26" i="92"/>
  <c r="V26" i="92"/>
  <c r="X26" i="92"/>
  <c r="Y26" i="92"/>
  <c r="AD26" i="92"/>
  <c r="AF26" i="92"/>
  <c r="AG26" i="92"/>
  <c r="AL26" i="92"/>
  <c r="AN26" i="92"/>
  <c r="AO26" i="92"/>
  <c r="AS26" i="92"/>
  <c r="AT26" i="92"/>
  <c r="AV26" i="92"/>
  <c r="AW29" i="92"/>
  <c r="F27" i="92"/>
  <c r="H27" i="92"/>
  <c r="I27" i="92"/>
  <c r="J27" i="92"/>
  <c r="L27" i="92"/>
  <c r="M27" i="92"/>
  <c r="N27" i="92"/>
  <c r="P27" i="92"/>
  <c r="Q27" i="92"/>
  <c r="R27" i="92"/>
  <c r="T27" i="92"/>
  <c r="U27" i="92"/>
  <c r="V27" i="92"/>
  <c r="X27" i="92"/>
  <c r="Y27" i="92"/>
  <c r="AD27" i="92"/>
  <c r="AF27" i="92"/>
  <c r="AG27" i="92"/>
  <c r="AL27" i="92"/>
  <c r="AN27" i="92"/>
  <c r="AO27" i="92"/>
  <c r="AP27" i="92"/>
  <c r="AR27" i="92"/>
  <c r="AS27" i="92"/>
  <c r="AT27" i="92"/>
  <c r="AV27" i="92"/>
  <c r="AW30" i="92"/>
  <c r="F28" i="92"/>
  <c r="H28" i="92"/>
  <c r="I28" i="92"/>
  <c r="J28" i="92"/>
  <c r="L28" i="92"/>
  <c r="M28" i="92"/>
  <c r="N28" i="92"/>
  <c r="P28" i="92"/>
  <c r="Q28" i="92"/>
  <c r="R28" i="92"/>
  <c r="T28" i="92"/>
  <c r="U28" i="92"/>
  <c r="V28" i="92"/>
  <c r="X28" i="92"/>
  <c r="Y28" i="92"/>
  <c r="AD28" i="92"/>
  <c r="AF28" i="92"/>
  <c r="AG28" i="92"/>
  <c r="AL28" i="92"/>
  <c r="AN28" i="92"/>
  <c r="AO28" i="92"/>
  <c r="AP28" i="92"/>
  <c r="AR28" i="92"/>
  <c r="AS28" i="92"/>
  <c r="AT28" i="92"/>
  <c r="AV28" i="92"/>
  <c r="AW31" i="92"/>
  <c r="F30" i="92"/>
  <c r="H30" i="92"/>
  <c r="I30" i="92"/>
  <c r="J30" i="92"/>
  <c r="L30" i="92"/>
  <c r="M30" i="92"/>
  <c r="N30" i="92"/>
  <c r="P30" i="92"/>
  <c r="Q30" i="92"/>
  <c r="R30" i="92"/>
  <c r="T30" i="92"/>
  <c r="U30" i="92"/>
  <c r="V30" i="92"/>
  <c r="X30" i="92"/>
  <c r="Y30" i="92"/>
  <c r="AD30" i="92"/>
  <c r="AF30" i="92"/>
  <c r="AG30" i="92"/>
  <c r="AL30" i="92"/>
  <c r="AN30" i="92"/>
  <c r="AO30" i="92"/>
  <c r="AP30" i="92"/>
  <c r="AR30" i="92"/>
  <c r="AS30" i="92"/>
  <c r="AT30" i="92"/>
  <c r="AV30" i="92"/>
  <c r="AW32" i="92"/>
  <c r="F31" i="92"/>
  <c r="H31" i="92"/>
  <c r="I31" i="92"/>
  <c r="J31" i="92"/>
  <c r="L31" i="92"/>
  <c r="M31" i="92"/>
  <c r="R31" i="92"/>
  <c r="T31" i="92"/>
  <c r="U31" i="92"/>
  <c r="AB31" i="92"/>
  <c r="AC31" i="92"/>
  <c r="AD31" i="92"/>
  <c r="AF31" i="92"/>
  <c r="AG31" i="92"/>
  <c r="AL31" i="92"/>
  <c r="AN31" i="92"/>
  <c r="AO31" i="92"/>
  <c r="AP31" i="92"/>
  <c r="AR31" i="92"/>
  <c r="AS31" i="92"/>
  <c r="AT31" i="92"/>
  <c r="AV31" i="92"/>
  <c r="AW33" i="92"/>
  <c r="F32" i="92"/>
  <c r="H32" i="92"/>
  <c r="I32" i="92"/>
  <c r="J32" i="92"/>
  <c r="L32" i="92"/>
  <c r="M32" i="92"/>
  <c r="N32" i="92"/>
  <c r="P32" i="92"/>
  <c r="Q32" i="92"/>
  <c r="R32" i="92"/>
  <c r="T32" i="92"/>
  <c r="U32" i="92"/>
  <c r="V32" i="92"/>
  <c r="X32" i="92"/>
  <c r="Y32" i="92"/>
  <c r="Z32" i="92"/>
  <c r="AB32" i="92"/>
  <c r="AC32" i="92"/>
  <c r="AD32" i="92"/>
  <c r="AF32" i="92"/>
  <c r="AG32" i="92"/>
  <c r="AL32" i="92"/>
  <c r="AN32" i="92"/>
  <c r="AO32" i="92"/>
  <c r="AP32" i="92"/>
  <c r="AR32" i="92"/>
  <c r="AS32" i="92"/>
  <c r="AT32" i="92"/>
  <c r="AV32" i="92"/>
  <c r="AW34" i="92"/>
  <c r="F33" i="92"/>
  <c r="H33" i="92"/>
  <c r="I33" i="92"/>
  <c r="J33" i="92"/>
  <c r="L33" i="92"/>
  <c r="M33" i="92"/>
  <c r="N33" i="92"/>
  <c r="P33" i="92"/>
  <c r="Q33" i="92"/>
  <c r="R33" i="92"/>
  <c r="T33" i="92"/>
  <c r="U33" i="92"/>
  <c r="V33" i="92"/>
  <c r="X33" i="92"/>
  <c r="Y33" i="92"/>
  <c r="Z33" i="92"/>
  <c r="AB33" i="92"/>
  <c r="AC33" i="92"/>
  <c r="AD33" i="92"/>
  <c r="AF33" i="92"/>
  <c r="AG33" i="92"/>
  <c r="AL33" i="92"/>
  <c r="AN33" i="92"/>
  <c r="AO33" i="92"/>
  <c r="AP33" i="92"/>
  <c r="AR33" i="92"/>
  <c r="AS33" i="92"/>
  <c r="AT33" i="92"/>
  <c r="AV33" i="92"/>
  <c r="AW35" i="92"/>
  <c r="F34" i="92"/>
  <c r="H34" i="92"/>
  <c r="I34" i="92"/>
  <c r="J34" i="92"/>
  <c r="L34" i="92"/>
  <c r="M34" i="92"/>
  <c r="N34" i="92"/>
  <c r="P34" i="92"/>
  <c r="Q34" i="92"/>
  <c r="R34" i="92"/>
  <c r="T34" i="92"/>
  <c r="U34" i="92"/>
  <c r="V34" i="92"/>
  <c r="X34" i="92"/>
  <c r="Y34" i="92"/>
  <c r="Z34" i="92"/>
  <c r="AB34" i="92"/>
  <c r="AC34" i="92"/>
  <c r="AD34" i="92"/>
  <c r="AF34" i="92"/>
  <c r="AG34" i="92"/>
  <c r="AL34" i="92"/>
  <c r="AN34" i="92"/>
  <c r="AO34" i="92"/>
  <c r="AP34" i="92"/>
  <c r="AR34" i="92"/>
  <c r="AS34" i="92"/>
  <c r="AT34" i="92"/>
  <c r="AV34" i="92"/>
  <c r="AW36" i="92"/>
  <c r="F35" i="92"/>
  <c r="H35" i="92"/>
  <c r="I35" i="92"/>
  <c r="J35" i="92"/>
  <c r="L35" i="92"/>
  <c r="M35" i="92"/>
  <c r="N35" i="92"/>
  <c r="P35" i="92"/>
  <c r="Q35" i="92"/>
  <c r="R35" i="92"/>
  <c r="T35" i="92"/>
  <c r="U35" i="92"/>
  <c r="V35" i="92"/>
  <c r="X35" i="92"/>
  <c r="Y35" i="92"/>
  <c r="Z35" i="92"/>
  <c r="AB35" i="92"/>
  <c r="AC35" i="92"/>
  <c r="AD35" i="92"/>
  <c r="AF35" i="92"/>
  <c r="AG35" i="92"/>
  <c r="AL35" i="92"/>
  <c r="AN35" i="92"/>
  <c r="AO35" i="92"/>
  <c r="AP35" i="92"/>
  <c r="AR35" i="92"/>
  <c r="AS35" i="92"/>
  <c r="AT35" i="92"/>
  <c r="AV35" i="92"/>
  <c r="AW37" i="92"/>
  <c r="F36" i="92"/>
  <c r="H36" i="92"/>
  <c r="I36" i="92"/>
  <c r="J36" i="92"/>
  <c r="L36" i="92"/>
  <c r="M36" i="92"/>
  <c r="N36" i="92"/>
  <c r="P36" i="92"/>
  <c r="Q36" i="92"/>
  <c r="R36" i="92"/>
  <c r="T36" i="92"/>
  <c r="U36" i="92"/>
  <c r="V36" i="92"/>
  <c r="X36" i="92"/>
  <c r="Y36" i="92"/>
  <c r="Z36" i="92"/>
  <c r="AB36" i="92"/>
  <c r="AC36" i="92"/>
  <c r="AD36" i="92"/>
  <c r="AF36" i="92"/>
  <c r="AG36" i="92"/>
  <c r="AL36" i="92"/>
  <c r="AN36" i="92"/>
  <c r="AO36" i="92"/>
  <c r="AP36" i="92"/>
  <c r="AR36" i="92"/>
  <c r="AS36" i="92"/>
  <c r="AT36" i="92"/>
  <c r="AV36" i="92"/>
  <c r="AW38" i="92"/>
  <c r="F38" i="92"/>
  <c r="H38" i="92"/>
  <c r="I38" i="92"/>
  <c r="J38" i="92"/>
  <c r="L38" i="92"/>
  <c r="M38" i="92"/>
  <c r="N38" i="92"/>
  <c r="P38" i="92"/>
  <c r="Q38" i="92"/>
  <c r="R38" i="92"/>
  <c r="T38" i="92"/>
  <c r="U38" i="92"/>
  <c r="V38" i="92"/>
  <c r="X38" i="92"/>
  <c r="Y38" i="92"/>
  <c r="Z38" i="92"/>
  <c r="AB38" i="92"/>
  <c r="AC38" i="92"/>
  <c r="AD38" i="92"/>
  <c r="AF38" i="92"/>
  <c r="AG38" i="92"/>
  <c r="AL38" i="92"/>
  <c r="AN38" i="92"/>
  <c r="AO38" i="92"/>
  <c r="AP38" i="92"/>
  <c r="AR38" i="92"/>
  <c r="AS38" i="92"/>
  <c r="AT38" i="92"/>
  <c r="AV38" i="92"/>
  <c r="AW39" i="92"/>
  <c r="F40" i="92"/>
  <c r="H40" i="92"/>
  <c r="I40" i="92"/>
  <c r="J40" i="92"/>
  <c r="L40" i="92"/>
  <c r="M40" i="92"/>
  <c r="N40" i="92"/>
  <c r="P40" i="92"/>
  <c r="Q40" i="92"/>
  <c r="R40" i="92"/>
  <c r="T40" i="92"/>
  <c r="U40" i="92"/>
  <c r="Z40" i="92"/>
  <c r="AB40" i="92"/>
  <c r="AC40" i="92"/>
  <c r="AD40" i="92"/>
  <c r="AF40" i="92"/>
  <c r="AG40" i="92"/>
  <c r="AL40" i="92"/>
  <c r="AN40" i="92"/>
  <c r="AO40" i="92"/>
  <c r="AP40" i="92"/>
  <c r="AR40" i="92"/>
  <c r="AS40" i="92"/>
  <c r="AT40" i="92"/>
  <c r="AV40" i="92"/>
  <c r="AW40" i="92"/>
  <c r="F41" i="92"/>
  <c r="H41" i="92"/>
  <c r="I41" i="92"/>
  <c r="J41" i="92"/>
  <c r="L41" i="92"/>
  <c r="M41" i="92"/>
  <c r="N41" i="92"/>
  <c r="P41" i="92"/>
  <c r="Q41" i="92"/>
  <c r="R41" i="92"/>
  <c r="T41" i="92"/>
  <c r="U41" i="92"/>
  <c r="V41" i="92"/>
  <c r="X41" i="92"/>
  <c r="Y41" i="92"/>
  <c r="Z41" i="92"/>
  <c r="AB41" i="92"/>
  <c r="AC41" i="92"/>
  <c r="AD41" i="92"/>
  <c r="AF41" i="92"/>
  <c r="AG41" i="92"/>
  <c r="AL41" i="92"/>
  <c r="AN41" i="92"/>
  <c r="AO41" i="92"/>
  <c r="AP41" i="92"/>
  <c r="AR41" i="92"/>
  <c r="AS41" i="92"/>
  <c r="AT41" i="92"/>
  <c r="AV41" i="92"/>
  <c r="AW41" i="92"/>
  <c r="F42" i="92"/>
  <c r="H42" i="92"/>
  <c r="I42" i="92"/>
  <c r="J42" i="92"/>
  <c r="L42" i="92"/>
  <c r="M42" i="92"/>
  <c r="N42" i="92"/>
  <c r="P42" i="92"/>
  <c r="Q42" i="92"/>
  <c r="R42" i="92"/>
  <c r="T42" i="92"/>
  <c r="U42" i="92"/>
  <c r="V42" i="92"/>
  <c r="X42" i="92"/>
  <c r="Y42" i="92"/>
  <c r="Z42" i="92"/>
  <c r="AB42" i="92"/>
  <c r="AC42" i="92"/>
  <c r="AD42" i="92"/>
  <c r="AF42" i="92"/>
  <c r="AG42" i="92"/>
  <c r="AL42" i="92"/>
  <c r="AN42" i="92"/>
  <c r="AO42" i="92"/>
  <c r="AP42" i="92"/>
  <c r="AR42" i="92"/>
  <c r="AS42" i="92"/>
  <c r="AT42" i="92"/>
  <c r="AV42" i="92"/>
  <c r="AW42" i="92"/>
  <c r="F43" i="92"/>
  <c r="H43" i="92"/>
  <c r="I43" i="92"/>
  <c r="J43" i="92"/>
  <c r="L43" i="92"/>
  <c r="M43" i="92"/>
  <c r="N43" i="92"/>
  <c r="P43" i="92"/>
  <c r="Q43" i="92"/>
  <c r="R43" i="92"/>
  <c r="T43" i="92"/>
  <c r="U43" i="92"/>
  <c r="V43" i="92"/>
  <c r="X43" i="92"/>
  <c r="Y43" i="92"/>
  <c r="Z43" i="92"/>
  <c r="AB43" i="92"/>
  <c r="AC43" i="92"/>
  <c r="AD43" i="92"/>
  <c r="AF43" i="92"/>
  <c r="AG43" i="92"/>
  <c r="AL43" i="92"/>
  <c r="AN43" i="92"/>
  <c r="AO43" i="92"/>
  <c r="AP43" i="92"/>
  <c r="AR43" i="92"/>
  <c r="AS43" i="92"/>
  <c r="AT43" i="92"/>
  <c r="AV43" i="92"/>
  <c r="AW43" i="92"/>
  <c r="BD42" i="92"/>
  <c r="BD41" i="92"/>
  <c r="DA35" i="92"/>
  <c r="DA34" i="92"/>
  <c r="BL5" i="92"/>
  <c r="BP5" i="92"/>
  <c r="BT5" i="92"/>
  <c r="BX5" i="92"/>
  <c r="CB5" i="92"/>
  <c r="CF5" i="92"/>
  <c r="CJ5" i="92"/>
  <c r="CN5" i="92"/>
  <c r="CR5" i="92"/>
  <c r="CV5" i="92"/>
  <c r="CF4" i="92"/>
  <c r="CJ4" i="92"/>
  <c r="CR4" i="92"/>
  <c r="CV4" i="92"/>
  <c r="CN4" i="92"/>
  <c r="CB4" i="92"/>
  <c r="BX4" i="92"/>
  <c r="BT4" i="92"/>
  <c r="BP4" i="92"/>
  <c r="BL4" i="92"/>
  <c r="BH5" i="92"/>
  <c r="BH4" i="92"/>
  <c r="M5" i="92"/>
  <c r="Q5" i="92"/>
  <c r="U5" i="92"/>
  <c r="Y5" i="92"/>
  <c r="AC5" i="92"/>
  <c r="AG5" i="92"/>
  <c r="AK5" i="92"/>
  <c r="AO5" i="92"/>
  <c r="AS5" i="92"/>
  <c r="AW5" i="92"/>
  <c r="AW4" i="92"/>
  <c r="AV4" i="92"/>
  <c r="AS4" i="92"/>
  <c r="AO4" i="92"/>
  <c r="AG4" i="92"/>
  <c r="AC4" i="92"/>
  <c r="Y4" i="92"/>
  <c r="U4" i="92"/>
  <c r="Q4" i="92"/>
  <c r="M4" i="92"/>
  <c r="I5" i="92"/>
  <c r="I4" i="92"/>
  <c r="CS5" i="92"/>
  <c r="CU5" i="92"/>
  <c r="CO5" i="92"/>
  <c r="CQ5" i="92"/>
  <c r="CO4" i="92"/>
  <c r="CK5" i="92"/>
  <c r="CM5" i="92"/>
  <c r="CK4" i="92"/>
  <c r="CG5" i="92"/>
  <c r="CI5" i="92"/>
  <c r="CG4" i="92"/>
  <c r="CC5" i="92"/>
  <c r="CE5" i="92"/>
  <c r="CC4" i="92"/>
  <c r="BY5" i="92"/>
  <c r="CA5" i="92"/>
  <c r="BY4" i="92"/>
  <c r="BU5" i="92"/>
  <c r="BW5" i="92"/>
  <c r="BU4" i="92"/>
  <c r="BQ5" i="92"/>
  <c r="BS5" i="92"/>
  <c r="BQ4" i="92"/>
  <c r="BE4" i="92"/>
  <c r="BG4" i="92"/>
  <c r="BI5" i="92"/>
  <c r="BK5" i="92"/>
  <c r="BM5" i="92"/>
  <c r="BO5" i="92"/>
  <c r="CQ4" i="92"/>
  <c r="CM4" i="92"/>
  <c r="CI4" i="92"/>
  <c r="CE4" i="92"/>
  <c r="CA4" i="92"/>
  <c r="BW4" i="92"/>
  <c r="BS4" i="92"/>
  <c r="BO4" i="92"/>
  <c r="BM4" i="92"/>
  <c r="BK4" i="92"/>
  <c r="BI4" i="92"/>
  <c r="BG5" i="92"/>
  <c r="BE5" i="92"/>
  <c r="J5" i="92"/>
  <c r="H4" i="92"/>
  <c r="AV5" i="92"/>
  <c r="AT5" i="92"/>
  <c r="AR4" i="92"/>
  <c r="AT4" i="92"/>
  <c r="AP4" i="92"/>
  <c r="AR5" i="92"/>
  <c r="AP5" i="92"/>
  <c r="AN4" i="92"/>
  <c r="AL4" i="92"/>
  <c r="AN5" i="92"/>
  <c r="AL5" i="92"/>
  <c r="AJ5" i="92"/>
  <c r="AH5" i="92"/>
  <c r="AF4" i="92"/>
  <c r="AD4" i="92"/>
  <c r="AF5" i="92"/>
  <c r="AB4" i="92"/>
  <c r="AD5" i="92"/>
  <c r="Z4" i="92"/>
  <c r="AB5" i="92"/>
  <c r="Z5" i="92"/>
  <c r="X4" i="92"/>
  <c r="V4" i="92"/>
  <c r="X5" i="92"/>
  <c r="V5" i="92"/>
  <c r="T4" i="92"/>
  <c r="R4" i="92"/>
  <c r="R5" i="92"/>
  <c r="T5" i="92"/>
  <c r="P4" i="92"/>
  <c r="N4" i="92"/>
  <c r="P5" i="92"/>
  <c r="N5" i="92"/>
  <c r="J4" i="92"/>
  <c r="L5" i="92"/>
  <c r="L4" i="92"/>
  <c r="H5" i="92"/>
  <c r="F5" i="92"/>
  <c r="BK34" i="95"/>
  <c r="CS4" i="92"/>
  <c r="CU4" i="92"/>
  <c r="K40" i="95" l="1"/>
  <c r="L40" i="95"/>
  <c r="P40" i="95"/>
  <c r="O40" i="95"/>
  <c r="N40" i="95"/>
  <c r="CO33" i="95"/>
  <c r="CP32" i="95"/>
  <c r="CO31" i="95"/>
  <c r="CO30" i="95"/>
  <c r="CO29" i="95"/>
  <c r="CO25" i="95"/>
  <c r="CP23" i="95"/>
  <c r="CP33" i="95"/>
  <c r="CO32" i="95"/>
  <c r="CP31" i="95"/>
  <c r="CP30" i="95"/>
  <c r="CP29" i="95"/>
  <c r="CR29" i="95" s="1"/>
  <c r="CP25" i="95"/>
  <c r="CO24" i="95"/>
  <c r="CP22" i="95"/>
  <c r="CR22" i="95" s="1"/>
  <c r="CP28" i="95"/>
  <c r="CO28" i="95"/>
  <c r="CP27" i="95"/>
  <c r="CO27" i="95"/>
  <c r="CP26" i="95"/>
  <c r="CO26" i="95"/>
  <c r="CP24" i="95"/>
  <c r="CR24" i="95" s="1"/>
  <c r="CO23" i="95"/>
  <c r="CP14" i="95"/>
  <c r="CO14" i="95"/>
  <c r="CP13" i="95"/>
  <c r="CO13" i="95"/>
  <c r="CP12" i="95"/>
  <c r="CO12" i="95"/>
  <c r="CP11" i="95"/>
  <c r="CR11" i="95" s="1"/>
  <c r="DC4" i="92"/>
  <c r="DB5" i="92"/>
  <c r="DC5" i="92"/>
  <c r="DB4" i="92"/>
  <c r="CQ28" i="95"/>
  <c r="CQ16" i="95"/>
  <c r="CQ4" i="95"/>
  <c r="CQ33" i="95"/>
  <c r="CQ32" i="95"/>
  <c r="CQ31" i="95"/>
  <c r="CQ30" i="95"/>
  <c r="CQ29" i="95"/>
  <c r="CQ21" i="95"/>
  <c r="CQ19" i="95"/>
  <c r="CQ17" i="95"/>
  <c r="CQ5" i="95"/>
  <c r="CQ27" i="95"/>
  <c r="CQ26" i="95"/>
  <c r="CQ25" i="95"/>
  <c r="CQ24" i="95"/>
  <c r="CQ23" i="95"/>
  <c r="CQ22" i="95"/>
  <c r="CQ20" i="95"/>
  <c r="CQ18" i="95"/>
  <c r="CQ15" i="95"/>
  <c r="CQ14" i="95"/>
  <c r="CQ13" i="95"/>
  <c r="CQ12" i="95"/>
  <c r="CQ11" i="95"/>
  <c r="CQ10" i="95"/>
  <c r="CQ9" i="95"/>
  <c r="CQ6" i="95"/>
  <c r="DD9" i="92"/>
  <c r="DD10" i="92"/>
  <c r="DD5" i="92"/>
  <c r="DD4" i="92"/>
  <c r="CI26" i="95"/>
  <c r="CH26" i="95"/>
  <c r="CG26" i="95"/>
  <c r="CI25" i="95"/>
  <c r="CH25" i="95"/>
  <c r="CI14" i="95"/>
  <c r="CH14" i="95"/>
  <c r="CG14" i="95"/>
  <c r="CS6" i="92"/>
  <c r="CU6" i="92"/>
  <c r="CV6" i="92"/>
  <c r="CS7" i="92"/>
  <c r="CU7" i="92"/>
  <c r="CS25" i="92"/>
  <c r="CU25" i="92"/>
  <c r="CV25" i="92"/>
  <c r="CS26" i="92"/>
  <c r="CU26" i="92"/>
  <c r="CE27" i="95"/>
  <c r="CD27" i="95"/>
  <c r="CC27" i="95"/>
  <c r="CE26" i="95"/>
  <c r="CD26" i="95"/>
  <c r="CC26" i="95"/>
  <c r="CE14" i="95"/>
  <c r="CD14" i="95"/>
  <c r="CC14" i="95"/>
  <c r="CO6" i="92"/>
  <c r="CQ6" i="92"/>
  <c r="CR6" i="92"/>
  <c r="CA40" i="95"/>
  <c r="CA27" i="95"/>
  <c r="BZ27" i="95"/>
  <c r="BY27" i="95"/>
  <c r="CA26" i="95"/>
  <c r="BZ26" i="95"/>
  <c r="BY26" i="95"/>
  <c r="CA25" i="95"/>
  <c r="BZ25" i="95"/>
  <c r="BY25" i="95"/>
  <c r="CA24" i="95"/>
  <c r="CA14" i="95"/>
  <c r="BZ14" i="95"/>
  <c r="BY14" i="95"/>
  <c r="CA12" i="95"/>
  <c r="BZ12" i="95"/>
  <c r="BY12" i="95"/>
  <c r="CK6" i="92"/>
  <c r="CM6" i="92"/>
  <c r="CN6" i="92"/>
  <c r="CK7" i="92"/>
  <c r="CM7" i="92"/>
  <c r="CN7" i="92"/>
  <c r="CK9" i="92"/>
  <c r="CM9" i="92"/>
  <c r="CK25" i="92"/>
  <c r="CM25" i="92"/>
  <c r="CN25" i="92"/>
  <c r="CK26" i="92"/>
  <c r="CM26" i="92"/>
  <c r="CN26" i="92"/>
  <c r="CK29" i="92"/>
  <c r="CM29" i="92"/>
  <c r="CN29" i="92"/>
  <c r="BW40" i="95"/>
  <c r="BV40" i="95"/>
  <c r="BU40" i="95"/>
  <c r="BW27" i="95"/>
  <c r="BV27" i="95"/>
  <c r="BU27" i="95"/>
  <c r="BW26" i="95"/>
  <c r="BV26" i="95"/>
  <c r="BW14" i="95"/>
  <c r="BV14" i="95"/>
  <c r="BU14" i="95"/>
  <c r="CG6" i="92"/>
  <c r="CI6" i="92"/>
  <c r="CJ6" i="92"/>
  <c r="CG7" i="92"/>
  <c r="CI7" i="92"/>
  <c r="CG25" i="92"/>
  <c r="CI25" i="92"/>
  <c r="CJ25" i="92"/>
  <c r="CG26" i="92"/>
  <c r="CI26" i="92"/>
  <c r="BS40" i="95"/>
  <c r="BR40" i="95"/>
  <c r="BQ40" i="95"/>
  <c r="BS39" i="95"/>
  <c r="BR39" i="95"/>
  <c r="BQ39" i="95"/>
  <c r="BS38" i="95"/>
  <c r="BR38" i="95"/>
  <c r="BQ38" i="95"/>
  <c r="BS37" i="95"/>
  <c r="BR37" i="95"/>
  <c r="BQ37" i="95"/>
  <c r="BS36" i="95"/>
  <c r="BS27" i="95"/>
  <c r="BR27" i="95"/>
  <c r="BQ27" i="95"/>
  <c r="BS26" i="95"/>
  <c r="BR26" i="95"/>
  <c r="BQ26" i="95"/>
  <c r="BS25" i="95"/>
  <c r="BR25" i="95"/>
  <c r="BQ25" i="95"/>
  <c r="BS24" i="95"/>
  <c r="BR24" i="95"/>
  <c r="BQ24" i="95"/>
  <c r="BS14" i="95"/>
  <c r="BR14" i="95"/>
  <c r="BQ14" i="95"/>
  <c r="CC6" i="92"/>
  <c r="CE6" i="92"/>
  <c r="CF6" i="92"/>
  <c r="CC25" i="92"/>
  <c r="CE25" i="92"/>
  <c r="CF25" i="92"/>
  <c r="CC26" i="92"/>
  <c r="CE26" i="92"/>
  <c r="CF26" i="92"/>
  <c r="CC29" i="92"/>
  <c r="CE29" i="92"/>
  <c r="CF29" i="92"/>
  <c r="CC30" i="92"/>
  <c r="CE30" i="92"/>
  <c r="CF30" i="92"/>
  <c r="BO40" i="95"/>
  <c r="BN40" i="95"/>
  <c r="BM40" i="95"/>
  <c r="BO39" i="95"/>
  <c r="BN39" i="95"/>
  <c r="BM39" i="95"/>
  <c r="BO38" i="95"/>
  <c r="BN38" i="95"/>
  <c r="BM38" i="95"/>
  <c r="BO37" i="95"/>
  <c r="BN37" i="95"/>
  <c r="BO27" i="95"/>
  <c r="BN27" i="95"/>
  <c r="BM27" i="95"/>
  <c r="BO26" i="95"/>
  <c r="BN26" i="95"/>
  <c r="BM26" i="95"/>
  <c r="BO25" i="95"/>
  <c r="BN25" i="95"/>
  <c r="BM25" i="95"/>
  <c r="BO24" i="95"/>
  <c r="BN24" i="95"/>
  <c r="BM24" i="95"/>
  <c r="BO14" i="95"/>
  <c r="BY6" i="92"/>
  <c r="CA6" i="92"/>
  <c r="CB6" i="92"/>
  <c r="BY25" i="92"/>
  <c r="CA25" i="92"/>
  <c r="CB25" i="92"/>
  <c r="BY26" i="92"/>
  <c r="CA26" i="92"/>
  <c r="CB26" i="92"/>
  <c r="BY29" i="92"/>
  <c r="CA29" i="92"/>
  <c r="CB29" i="92"/>
  <c r="BY30" i="92"/>
  <c r="CA30" i="92"/>
  <c r="BK40" i="95"/>
  <c r="BJ40" i="95"/>
  <c r="BI40" i="95"/>
  <c r="BK39" i="95"/>
  <c r="BJ39" i="95"/>
  <c r="BI39" i="95"/>
  <c r="BK38" i="95"/>
  <c r="BJ38" i="95"/>
  <c r="BI38" i="95"/>
  <c r="BK37" i="95"/>
  <c r="BJ37" i="95"/>
  <c r="BI37" i="95"/>
  <c r="BK36" i="95"/>
  <c r="BK27" i="95"/>
  <c r="BJ27" i="95"/>
  <c r="BI27" i="95"/>
  <c r="BK26" i="95"/>
  <c r="BJ26" i="95"/>
  <c r="BI26" i="95"/>
  <c r="BK25" i="95"/>
  <c r="BJ25" i="95"/>
  <c r="BI25" i="95"/>
  <c r="BK24" i="95"/>
  <c r="BJ24" i="95"/>
  <c r="BI24" i="95"/>
  <c r="BK14" i="95"/>
  <c r="BJ14" i="95"/>
  <c r="BI14" i="95"/>
  <c r="BK12" i="95"/>
  <c r="BK42" i="95" s="1"/>
  <c r="BJ12" i="95"/>
  <c r="BU6" i="92"/>
  <c r="BW6" i="92"/>
  <c r="BX6" i="92"/>
  <c r="BU7" i="92"/>
  <c r="BW7" i="92"/>
  <c r="BX7" i="92"/>
  <c r="BW25" i="92"/>
  <c r="BX25" i="92"/>
  <c r="BU26" i="92"/>
  <c r="BW26" i="92"/>
  <c r="BX26" i="92"/>
  <c r="BU29" i="92"/>
  <c r="BW29" i="92"/>
  <c r="BX29" i="92"/>
  <c r="BU30" i="92"/>
  <c r="BW30" i="92"/>
  <c r="BX30" i="92"/>
  <c r="BU31" i="92"/>
  <c r="BW31" i="92"/>
  <c r="BG40" i="95"/>
  <c r="BF40" i="95"/>
  <c r="BE40" i="95"/>
  <c r="BG39" i="95"/>
  <c r="BF39" i="95"/>
  <c r="BE39" i="95"/>
  <c r="BG38" i="95"/>
  <c r="BF38" i="95"/>
  <c r="BG27" i="95"/>
  <c r="BF27" i="95"/>
  <c r="BE27" i="95"/>
  <c r="BG26" i="95"/>
  <c r="BF26" i="95"/>
  <c r="BE26" i="95"/>
  <c r="BG25" i="95"/>
  <c r="BF25" i="95"/>
  <c r="BG14" i="95"/>
  <c r="BF14" i="95"/>
  <c r="BE14" i="95"/>
  <c r="BG12" i="95"/>
  <c r="BF12" i="95"/>
  <c r="BQ6" i="92"/>
  <c r="BS6" i="92"/>
  <c r="BT6" i="92"/>
  <c r="BQ7" i="92"/>
  <c r="BS7" i="92"/>
  <c r="BT7" i="92"/>
  <c r="BT25" i="92"/>
  <c r="BQ26" i="92"/>
  <c r="BS26" i="92"/>
  <c r="BT26" i="92"/>
  <c r="BQ29" i="92"/>
  <c r="BS29" i="92"/>
  <c r="BT29" i="92"/>
  <c r="BQ30" i="92"/>
  <c r="BC33" i="95"/>
  <c r="BC32" i="95"/>
  <c r="BC26" i="95"/>
  <c r="BB11" i="95"/>
  <c r="BC10" i="95"/>
  <c r="BB10" i="95"/>
  <c r="BP32" i="92"/>
  <c r="BB9" i="95"/>
  <c r="BC36" i="95"/>
  <c r="BB36" i="95"/>
  <c r="BC35" i="95"/>
  <c r="BB35" i="95"/>
  <c r="BC9" i="95"/>
  <c r="BB33" i="95"/>
  <c r="BC7" i="95"/>
  <c r="BO11" i="92"/>
  <c r="BP11" i="92"/>
  <c r="BO12" i="92"/>
  <c r="BP12" i="92"/>
  <c r="BO14" i="92"/>
  <c r="CW14" i="92" s="1"/>
  <c r="BP14" i="92"/>
  <c r="BP31" i="92"/>
  <c r="BO32" i="92"/>
  <c r="BC12" i="95"/>
  <c r="BC11" i="95"/>
  <c r="BC40" i="95"/>
  <c r="BB40" i="95"/>
  <c r="BO6" i="92"/>
  <c r="BP6" i="92"/>
  <c r="BO7" i="92"/>
  <c r="BP7" i="92"/>
  <c r="BO9" i="92"/>
  <c r="BP9" i="92"/>
  <c r="BC39" i="95"/>
  <c r="BB39" i="95"/>
  <c r="BC38" i="95"/>
  <c r="BB38" i="95"/>
  <c r="BB37" i="95"/>
  <c r="BC37" i="95"/>
  <c r="BP25" i="92"/>
  <c r="BO26" i="92"/>
  <c r="BP26" i="92"/>
  <c r="BO29" i="92"/>
  <c r="BB12" i="95"/>
  <c r="BO30" i="92"/>
  <c r="BP30" i="92"/>
  <c r="BO31" i="92"/>
  <c r="BC14" i="95"/>
  <c r="BB14" i="95"/>
  <c r="BP29" i="92"/>
  <c r="BA40" i="95"/>
  <c r="AY40" i="95"/>
  <c r="AX40" i="95"/>
  <c r="AW40" i="95"/>
  <c r="BA39" i="95"/>
  <c r="AY39" i="95"/>
  <c r="AX39" i="95"/>
  <c r="AW39" i="95"/>
  <c r="BA38" i="95"/>
  <c r="AY38" i="95"/>
  <c r="BA26" i="95"/>
  <c r="AY26" i="95"/>
  <c r="AX26" i="95"/>
  <c r="AW26" i="95"/>
  <c r="BA25" i="95"/>
  <c r="AY25" i="95"/>
  <c r="AX25" i="95"/>
  <c r="AW25" i="95"/>
  <c r="BA24" i="95"/>
  <c r="AY24" i="95"/>
  <c r="BA14" i="95"/>
  <c r="AY14" i="95"/>
  <c r="AX14" i="95"/>
  <c r="AW14" i="95"/>
  <c r="BA12" i="95"/>
  <c r="AY12" i="95"/>
  <c r="AX12" i="95"/>
  <c r="AW12" i="95"/>
  <c r="BI26" i="92"/>
  <c r="BK26" i="92"/>
  <c r="BL26" i="92"/>
  <c r="BM26" i="92"/>
  <c r="BI29" i="92"/>
  <c r="BK29" i="92"/>
  <c r="BL29" i="92"/>
  <c r="BM29" i="92"/>
  <c r="BI30" i="92"/>
  <c r="BK30" i="92"/>
  <c r="BL30" i="92"/>
  <c r="AU36" i="95"/>
  <c r="AT36" i="95"/>
  <c r="AS36" i="95"/>
  <c r="AU35" i="95"/>
  <c r="AT35" i="95"/>
  <c r="AS35" i="95"/>
  <c r="CJ35" i="95" s="1"/>
  <c r="AU33" i="95"/>
  <c r="AT33" i="95"/>
  <c r="CJ33" i="95" s="1"/>
  <c r="AT23" i="95"/>
  <c r="AS23" i="95"/>
  <c r="AU22" i="95"/>
  <c r="AS22" i="95"/>
  <c r="CJ22" i="95" s="1"/>
  <c r="AU21" i="95"/>
  <c r="AT21" i="95"/>
  <c r="AS21" i="95"/>
  <c r="CJ21" i="95" s="1"/>
  <c r="AU20" i="95"/>
  <c r="AT20" i="95"/>
  <c r="AS20" i="95"/>
  <c r="AU19" i="95"/>
  <c r="CJ19" i="95" s="1"/>
  <c r="AU10" i="95"/>
  <c r="AT10" i="95"/>
  <c r="AS10" i="95"/>
  <c r="CJ10" i="95" s="1"/>
  <c r="AU9" i="95"/>
  <c r="AT9" i="95"/>
  <c r="AS9" i="95"/>
  <c r="CJ9" i="95" s="1"/>
  <c r="AU7" i="95"/>
  <c r="AT7" i="95"/>
  <c r="BG9" i="92"/>
  <c r="BH9" i="92"/>
  <c r="BH30" i="92"/>
  <c r="BE31" i="92"/>
  <c r="BG31" i="92"/>
  <c r="BH31" i="92"/>
  <c r="BE32" i="92"/>
  <c r="BG32" i="92"/>
  <c r="BH32" i="92"/>
  <c r="BE35" i="92"/>
  <c r="BG35" i="92"/>
  <c r="BH35" i="92"/>
  <c r="BE36" i="92"/>
  <c r="CW36" i="92" s="1"/>
  <c r="AU40" i="95"/>
  <c r="AT40" i="95"/>
  <c r="AS40" i="95"/>
  <c r="AU39" i="95"/>
  <c r="AT39" i="95"/>
  <c r="AS39" i="95"/>
  <c r="AU38" i="95"/>
  <c r="AT38" i="95"/>
  <c r="AS38" i="95"/>
  <c r="AU37" i="95"/>
  <c r="AT37" i="95"/>
  <c r="AS37" i="95"/>
  <c r="AU27" i="95"/>
  <c r="AT27" i="95"/>
  <c r="AS27" i="95"/>
  <c r="AU26" i="95"/>
  <c r="AT26" i="95"/>
  <c r="AS26" i="95"/>
  <c r="AU25" i="95"/>
  <c r="AT25" i="95"/>
  <c r="AS25" i="95"/>
  <c r="AU24" i="95"/>
  <c r="AT24" i="95"/>
  <c r="AS24" i="95"/>
  <c r="AU23" i="95"/>
  <c r="CJ23" i="95" s="1"/>
  <c r="AU14" i="95"/>
  <c r="AT14" i="95"/>
  <c r="AS14" i="95"/>
  <c r="AU12" i="95"/>
  <c r="AT12" i="95"/>
  <c r="AS12" i="95"/>
  <c r="AU11" i="95"/>
  <c r="AT11" i="95"/>
  <c r="AS11" i="95"/>
  <c r="CJ11" i="95" s="1"/>
  <c r="BE6" i="92"/>
  <c r="BG6" i="92"/>
  <c r="BH6" i="92"/>
  <c r="BE7" i="92"/>
  <c r="BG7" i="92"/>
  <c r="BH7" i="92"/>
  <c r="BE9" i="92"/>
  <c r="CW9" i="92" s="1"/>
  <c r="BE26" i="92"/>
  <c r="BG26" i="92"/>
  <c r="BH26" i="92"/>
  <c r="BE29" i="92"/>
  <c r="BG29" i="92"/>
  <c r="BH29" i="92"/>
  <c r="BE30" i="92"/>
  <c r="BG30" i="92"/>
  <c r="AW45" i="92"/>
  <c r="AV45" i="92"/>
  <c r="AT45" i="92"/>
  <c r="AW44" i="92"/>
  <c r="AV44" i="92"/>
  <c r="AT44" i="92"/>
  <c r="AK41" i="95"/>
  <c r="AJ41" i="95"/>
  <c r="AI41" i="95"/>
  <c r="AK39" i="95"/>
  <c r="AJ39" i="95"/>
  <c r="AI39" i="95"/>
  <c r="AK38" i="95"/>
  <c r="AJ38" i="95"/>
  <c r="AI38" i="95"/>
  <c r="AK37" i="95"/>
  <c r="AJ37" i="95"/>
  <c r="AI37" i="95"/>
  <c r="AK36" i="95"/>
  <c r="AK27" i="95"/>
  <c r="AJ27" i="95"/>
  <c r="AI27" i="95"/>
  <c r="AK26" i="95"/>
  <c r="AJ26" i="95"/>
  <c r="AI26" i="95"/>
  <c r="AK25" i="95"/>
  <c r="AJ25" i="95"/>
  <c r="AI25" i="95"/>
  <c r="AK24" i="95"/>
  <c r="AJ24" i="95"/>
  <c r="AI24" i="95"/>
  <c r="AK23" i="95"/>
  <c r="AK13" i="95"/>
  <c r="AJ13" i="95"/>
  <c r="AI13" i="95"/>
  <c r="AK11" i="95"/>
  <c r="AJ11" i="95"/>
  <c r="AI11" i="95"/>
  <c r="AK10" i="95"/>
  <c r="AJ10" i="95"/>
  <c r="AI10" i="95"/>
  <c r="AK9" i="95"/>
  <c r="AJ9" i="95"/>
  <c r="AV6" i="92"/>
  <c r="AW6" i="92"/>
  <c r="AW7" i="92"/>
  <c r="AV8" i="92"/>
  <c r="AT9" i="92"/>
  <c r="AW9" i="92"/>
  <c r="AV11" i="92"/>
  <c r="AW11" i="92"/>
  <c r="AV29" i="92"/>
  <c r="AV39" i="92"/>
  <c r="AT37" i="92"/>
  <c r="AV10" i="92"/>
  <c r="AT6" i="92"/>
  <c r="AT7" i="92"/>
  <c r="AV7" i="92"/>
  <c r="AT8" i="92"/>
  <c r="AW8" i="92"/>
  <c r="AV9" i="92"/>
  <c r="AT11" i="92"/>
  <c r="AW10" i="92"/>
  <c r="AT29" i="92"/>
  <c r="AT39" i="92"/>
  <c r="AW13" i="92"/>
  <c r="AV37" i="92"/>
  <c r="AT10" i="92"/>
  <c r="AS45" i="92"/>
  <c r="AR45" i="92"/>
  <c r="AP45" i="92"/>
  <c r="AS44" i="92"/>
  <c r="AR44" i="92"/>
  <c r="AP44" i="92"/>
  <c r="AH41" i="95"/>
  <c r="AG41" i="95"/>
  <c r="AF41" i="95"/>
  <c r="AH39" i="95"/>
  <c r="AG39" i="95"/>
  <c r="AF39" i="95"/>
  <c r="AH38" i="95"/>
  <c r="AG38" i="95"/>
  <c r="AF38" i="95"/>
  <c r="AH37" i="95"/>
  <c r="AG37" i="95"/>
  <c r="AF37" i="95"/>
  <c r="AH26" i="95"/>
  <c r="AG26" i="95"/>
  <c r="AF26" i="95"/>
  <c r="AH25" i="95"/>
  <c r="AG25" i="95"/>
  <c r="AF25" i="95"/>
  <c r="AH24" i="95"/>
  <c r="AG24" i="95"/>
  <c r="AF24" i="95"/>
  <c r="AH23" i="95"/>
  <c r="AG23" i="95"/>
  <c r="AF23" i="95"/>
  <c r="AH22" i="95"/>
  <c r="AH13" i="95"/>
  <c r="AG13" i="95"/>
  <c r="AF13" i="95"/>
  <c r="AH11" i="95"/>
  <c r="AG11" i="95"/>
  <c r="AF11" i="95"/>
  <c r="AH10" i="95"/>
  <c r="AG10" i="95"/>
  <c r="AF10" i="95"/>
  <c r="AH9" i="95"/>
  <c r="AG9" i="95"/>
  <c r="AP6" i="92"/>
  <c r="AR6" i="92"/>
  <c r="AS6" i="92"/>
  <c r="AP7" i="92"/>
  <c r="AR7" i="92"/>
  <c r="AS7" i="92"/>
  <c r="AP8" i="92"/>
  <c r="AR8" i="92"/>
  <c r="AS8" i="92"/>
  <c r="AP9" i="92"/>
  <c r="AR9" i="92"/>
  <c r="AS9" i="92"/>
  <c r="AP11" i="92"/>
  <c r="AP22" i="92"/>
  <c r="AR22" i="92"/>
  <c r="AS22" i="92"/>
  <c r="AP23" i="92"/>
  <c r="AR23" i="92"/>
  <c r="AS23" i="92"/>
  <c r="AP24" i="92"/>
  <c r="AR24" i="92"/>
  <c r="AS24" i="92"/>
  <c r="AP25" i="92"/>
  <c r="AR25" i="92"/>
  <c r="AS25" i="92"/>
  <c r="AP26" i="92"/>
  <c r="AR26" i="92"/>
  <c r="AO45" i="92"/>
  <c r="AN45" i="92"/>
  <c r="AL45" i="92"/>
  <c r="AO44" i="92"/>
  <c r="AN44" i="92"/>
  <c r="AL44" i="92"/>
  <c r="AE39" i="95"/>
  <c r="AD39" i="95"/>
  <c r="AC39" i="95"/>
  <c r="AE38" i="95"/>
  <c r="AD38" i="95"/>
  <c r="AC38" i="95"/>
  <c r="AE37" i="95"/>
  <c r="AD37" i="95"/>
  <c r="AC37" i="95"/>
  <c r="AE36" i="95"/>
  <c r="AD36" i="95"/>
  <c r="AC36" i="95"/>
  <c r="AE35" i="95"/>
  <c r="AD35" i="95"/>
  <c r="AC35" i="95"/>
  <c r="AE34" i="95"/>
  <c r="AD34" i="95"/>
  <c r="AE26" i="95"/>
  <c r="AD26" i="95"/>
  <c r="AC26" i="95"/>
  <c r="AE25" i="95"/>
  <c r="AD25" i="95"/>
  <c r="AC25" i="95"/>
  <c r="AE24" i="95"/>
  <c r="AD24" i="95"/>
  <c r="AC24" i="95"/>
  <c r="AE23" i="95"/>
  <c r="AD23" i="95"/>
  <c r="AC23" i="95"/>
  <c r="AE22" i="95"/>
  <c r="AD22" i="95"/>
  <c r="AC22" i="95"/>
  <c r="AE21" i="95"/>
  <c r="AD21" i="95"/>
  <c r="AC21" i="95"/>
  <c r="AE20" i="95"/>
  <c r="AD20" i="95"/>
  <c r="AC20" i="95"/>
  <c r="AE13" i="95"/>
  <c r="AD13" i="95"/>
  <c r="AC13" i="95"/>
  <c r="AE11" i="95"/>
  <c r="AD11" i="95"/>
  <c r="AC11" i="95"/>
  <c r="AE10" i="95"/>
  <c r="AD10" i="95"/>
  <c r="AC10" i="95"/>
  <c r="AE9" i="95"/>
  <c r="AD9" i="95"/>
  <c r="AC9" i="95"/>
  <c r="AE8" i="95"/>
  <c r="AD8" i="95"/>
  <c r="AC8" i="95"/>
  <c r="AE7" i="95"/>
  <c r="AD7" i="95"/>
  <c r="AC7" i="95"/>
  <c r="AE6" i="95"/>
  <c r="AN6" i="92"/>
  <c r="AO6" i="92"/>
  <c r="AO7" i="92"/>
  <c r="AN8" i="92"/>
  <c r="AL9" i="92"/>
  <c r="AO9" i="92"/>
  <c r="AN11" i="92"/>
  <c r="AL12" i="92"/>
  <c r="AO12" i="92"/>
  <c r="AN29" i="92"/>
  <c r="AO29" i="92"/>
  <c r="AN39" i="92"/>
  <c r="AL37" i="92"/>
  <c r="AO37" i="92"/>
  <c r="AN10" i="92"/>
  <c r="AL13" i="92"/>
  <c r="AO13" i="92"/>
  <c r="AN15" i="92"/>
  <c r="AL16" i="92"/>
  <c r="AO16" i="92"/>
  <c r="AL6" i="92"/>
  <c r="AL7" i="92"/>
  <c r="AN7" i="92"/>
  <c r="AL8" i="92"/>
  <c r="AO8" i="92"/>
  <c r="AN9" i="92"/>
  <c r="AL11" i="92"/>
  <c r="AO11" i="92"/>
  <c r="AN12" i="92"/>
  <c r="AL29" i="92"/>
  <c r="AL39" i="92"/>
  <c r="AO39" i="92"/>
  <c r="AN37" i="92"/>
  <c r="AL10" i="92"/>
  <c r="AO10" i="92"/>
  <c r="AN13" i="92"/>
  <c r="AL15" i="92"/>
  <c r="AO15" i="92"/>
  <c r="AN16" i="92"/>
  <c r="AK45" i="92"/>
  <c r="AJ45" i="92"/>
  <c r="AH45" i="92"/>
  <c r="AK44" i="92"/>
  <c r="AJ44" i="92"/>
  <c r="AH44" i="92"/>
  <c r="AB39" i="95"/>
  <c r="AA39" i="95"/>
  <c r="Z39" i="95"/>
  <c r="AB38" i="95"/>
  <c r="AA38" i="95"/>
  <c r="Z38" i="95"/>
  <c r="AB37" i="95"/>
  <c r="AA37" i="95"/>
  <c r="Z37" i="95"/>
  <c r="AB36" i="95"/>
  <c r="AA36" i="95"/>
  <c r="Z36" i="95"/>
  <c r="AB35" i="95"/>
  <c r="AA35" i="95"/>
  <c r="Z35" i="95"/>
  <c r="AB34" i="95"/>
  <c r="AA34" i="95"/>
  <c r="Z34" i="95"/>
  <c r="AB33" i="95"/>
  <c r="AA33" i="95"/>
  <c r="Z33" i="95"/>
  <c r="AA31" i="95"/>
  <c r="Z31" i="95"/>
  <c r="AB30" i="95"/>
  <c r="AA30" i="95"/>
  <c r="Z30" i="95"/>
  <c r="AB29" i="95"/>
  <c r="AA29" i="95"/>
  <c r="Z29" i="95"/>
  <c r="AB28" i="95"/>
  <c r="AA28" i="95"/>
  <c r="Z28" i="95"/>
  <c r="AB27" i="95"/>
  <c r="AA27" i="95"/>
  <c r="Z27" i="95"/>
  <c r="AB10" i="95"/>
  <c r="Z10" i="95"/>
  <c r="AA9" i="95"/>
  <c r="Z8" i="95"/>
  <c r="AA7" i="95"/>
  <c r="AA6" i="95"/>
  <c r="AA4" i="95"/>
  <c r="AH41" i="92"/>
  <c r="AJ42" i="92"/>
  <c r="AJ43" i="92"/>
  <c r="AH4" i="92"/>
  <c r="AB26" i="95"/>
  <c r="AA26" i="95"/>
  <c r="Z26" i="95"/>
  <c r="AB25" i="95"/>
  <c r="AA25" i="95"/>
  <c r="Z25" i="95"/>
  <c r="AB24" i="95"/>
  <c r="AA24" i="95"/>
  <c r="Z24" i="95"/>
  <c r="AB23" i="95"/>
  <c r="AA23" i="95"/>
  <c r="Z23" i="95"/>
  <c r="AB22" i="95"/>
  <c r="AA22" i="95"/>
  <c r="Z22" i="95"/>
  <c r="AB21" i="95"/>
  <c r="AA21" i="95"/>
  <c r="Z21" i="95"/>
  <c r="AB20" i="95"/>
  <c r="AA20" i="95"/>
  <c r="Z20" i="95"/>
  <c r="AB19" i="95"/>
  <c r="AA19" i="95"/>
  <c r="Z19" i="95"/>
  <c r="AB18" i="95"/>
  <c r="AA18" i="95"/>
  <c r="Z18" i="95"/>
  <c r="AB17" i="95"/>
  <c r="AA17" i="95"/>
  <c r="Z17" i="95"/>
  <c r="AB16" i="95"/>
  <c r="AA16" i="95"/>
  <c r="Z16" i="95"/>
  <c r="AB15" i="95"/>
  <c r="AA15" i="95"/>
  <c r="Z15" i="95"/>
  <c r="AA10" i="95"/>
  <c r="AB9" i="95"/>
  <c r="Z9" i="95"/>
  <c r="AA8" i="95"/>
  <c r="AB7" i="95"/>
  <c r="AB6" i="95"/>
  <c r="Z6" i="95"/>
  <c r="Z4" i="95"/>
  <c r="AJ40" i="92"/>
  <c r="AH42" i="92"/>
  <c r="AK43" i="92"/>
  <c r="AJ4" i="92"/>
  <c r="AB13" i="95"/>
  <c r="AA13" i="95"/>
  <c r="Z13" i="95"/>
  <c r="AB11" i="95"/>
  <c r="AA11" i="95"/>
  <c r="Z11" i="95"/>
  <c r="AB8" i="95"/>
  <c r="Z7" i="95"/>
  <c r="AB4" i="95"/>
  <c r="AJ36" i="92"/>
  <c r="AJ6" i="92"/>
  <c r="AH7" i="92"/>
  <c r="AJ7" i="92"/>
  <c r="AH8" i="92"/>
  <c r="AH9" i="92"/>
  <c r="AK9" i="92"/>
  <c r="AJ11" i="92"/>
  <c r="AK11" i="92"/>
  <c r="AJ12" i="92"/>
  <c r="AJ29" i="92"/>
  <c r="AH39" i="92"/>
  <c r="AK39" i="92"/>
  <c r="AJ37" i="92"/>
  <c r="AH10" i="92"/>
  <c r="AK10" i="92"/>
  <c r="AJ13" i="92"/>
  <c r="AJ15" i="92"/>
  <c r="AH16" i="92"/>
  <c r="AK16" i="92"/>
  <c r="AJ17" i="92"/>
  <c r="AH18" i="92"/>
  <c r="AK18" i="92"/>
  <c r="AJ19" i="92"/>
  <c r="AH20" i="92"/>
  <c r="AK20" i="92"/>
  <c r="AJ21" i="92"/>
  <c r="AH22" i="92"/>
  <c r="AK22" i="92"/>
  <c r="AJ23" i="92"/>
  <c r="AH24" i="92"/>
  <c r="AK24" i="92"/>
  <c r="AJ25" i="92"/>
  <c r="AH26" i="92"/>
  <c r="AK26" i="92"/>
  <c r="AJ27" i="92"/>
  <c r="AH28" i="92"/>
  <c r="AH30" i="92"/>
  <c r="AK30" i="92"/>
  <c r="AJ31" i="92"/>
  <c r="AK31" i="92"/>
  <c r="AJ32" i="92"/>
  <c r="AH33" i="92"/>
  <c r="AK33" i="92"/>
  <c r="AJ34" i="92"/>
  <c r="AH35" i="92"/>
  <c r="AK35" i="92"/>
  <c r="AK36" i="92"/>
  <c r="AJ38" i="92"/>
  <c r="AH40" i="92"/>
  <c r="AJ41" i="92"/>
  <c r="AK42" i="92"/>
  <c r="AH6" i="92"/>
  <c r="AK6" i="92"/>
  <c r="AK7" i="92"/>
  <c r="AJ8" i="92"/>
  <c r="AK8" i="92"/>
  <c r="AJ9" i="92"/>
  <c r="AH11" i="92"/>
  <c r="AH12" i="92"/>
  <c r="AK12" i="92"/>
  <c r="AH29" i="92"/>
  <c r="AK29" i="92"/>
  <c r="AJ39" i="92"/>
  <c r="AH37" i="92"/>
  <c r="AK37" i="92"/>
  <c r="AJ10" i="92"/>
  <c r="AH13" i="92"/>
  <c r="AK13" i="92"/>
  <c r="AH15" i="92"/>
  <c r="AK15" i="92"/>
  <c r="AJ16" i="92"/>
  <c r="AH17" i="92"/>
  <c r="AK17" i="92"/>
  <c r="AJ18" i="92"/>
  <c r="AH19" i="92"/>
  <c r="AK19" i="92"/>
  <c r="AJ20" i="92"/>
  <c r="AH21" i="92"/>
  <c r="AK21" i="92"/>
  <c r="AJ22" i="92"/>
  <c r="AH23" i="92"/>
  <c r="AK23" i="92"/>
  <c r="AJ24" i="92"/>
  <c r="AH25" i="92"/>
  <c r="AK25" i="92"/>
  <c r="AJ26" i="92"/>
  <c r="AH27" i="92"/>
  <c r="AK27" i="92"/>
  <c r="AJ28" i="92"/>
  <c r="AK28" i="92"/>
  <c r="AJ30" i="92"/>
  <c r="AH31" i="92"/>
  <c r="AH32" i="92"/>
  <c r="AK32" i="92"/>
  <c r="AJ33" i="92"/>
  <c r="AH34" i="92"/>
  <c r="AK34" i="92"/>
  <c r="AJ35" i="92"/>
  <c r="AH36" i="92"/>
  <c r="AH38" i="92"/>
  <c r="AK38" i="92"/>
  <c r="AK40" i="92"/>
  <c r="AK41" i="92"/>
  <c r="AH43" i="92"/>
  <c r="AK4" i="92"/>
  <c r="AB32" i="95"/>
  <c r="AA32" i="95"/>
  <c r="Z32" i="95"/>
  <c r="AB31" i="95"/>
  <c r="AB40" i="95"/>
  <c r="AA40" i="95"/>
  <c r="Z40" i="95"/>
  <c r="AG45" i="92"/>
  <c r="AF45" i="92"/>
  <c r="AD45" i="92"/>
  <c r="AG44" i="92"/>
  <c r="AF44" i="92"/>
  <c r="AD44" i="92"/>
  <c r="Y39" i="95"/>
  <c r="X39" i="95"/>
  <c r="W39" i="95"/>
  <c r="Y38" i="95"/>
  <c r="X38" i="95"/>
  <c r="W38" i="95"/>
  <c r="Y37" i="95"/>
  <c r="X37" i="95"/>
  <c r="W37" i="95"/>
  <c r="Y36" i="95"/>
  <c r="X36" i="95"/>
  <c r="W36" i="95"/>
  <c r="Y26" i="95"/>
  <c r="X26" i="95"/>
  <c r="W26" i="95"/>
  <c r="Y25" i="95"/>
  <c r="X25" i="95"/>
  <c r="W25" i="95"/>
  <c r="Y24" i="95"/>
  <c r="X24" i="95"/>
  <c r="W24" i="95"/>
  <c r="Y23" i="95"/>
  <c r="X23" i="95"/>
  <c r="W23" i="95"/>
  <c r="Y22" i="95"/>
  <c r="Y13" i="95"/>
  <c r="X13" i="95"/>
  <c r="W13" i="95"/>
  <c r="Y11" i="95"/>
  <c r="X11" i="95"/>
  <c r="AD6" i="92"/>
  <c r="AD7" i="92"/>
  <c r="AF7" i="92"/>
  <c r="AD8" i="92"/>
  <c r="AG8" i="92"/>
  <c r="AG9" i="92"/>
  <c r="AF11" i="92"/>
  <c r="AD29" i="92"/>
  <c r="AG29" i="92"/>
  <c r="AF39" i="92"/>
  <c r="AD37" i="92"/>
  <c r="AF6" i="92"/>
  <c r="AG6" i="92"/>
  <c r="AG7" i="92"/>
  <c r="AF8" i="92"/>
  <c r="AD9" i="92"/>
  <c r="AF9" i="92"/>
  <c r="AD11" i="92"/>
  <c r="AG11" i="92"/>
  <c r="AF29" i="92"/>
  <c r="AD39" i="92"/>
  <c r="AG39" i="92"/>
  <c r="AF37" i="92"/>
  <c r="AG37" i="92"/>
  <c r="V40" i="95"/>
  <c r="U40" i="95"/>
  <c r="T40" i="95"/>
  <c r="AC45" i="92"/>
  <c r="AB45" i="92"/>
  <c r="Z45" i="92"/>
  <c r="AC44" i="92"/>
  <c r="AB44" i="92"/>
  <c r="Z44" i="92"/>
  <c r="V39" i="95"/>
  <c r="U39" i="95"/>
  <c r="T39" i="95"/>
  <c r="V38" i="95"/>
  <c r="U38" i="95"/>
  <c r="T38" i="95"/>
  <c r="V37" i="95"/>
  <c r="U37" i="95"/>
  <c r="T37" i="95"/>
  <c r="V36" i="95"/>
  <c r="U36" i="95"/>
  <c r="T36" i="95"/>
  <c r="V35" i="95"/>
  <c r="U35" i="95"/>
  <c r="T35" i="95"/>
  <c r="V34" i="95"/>
  <c r="U34" i="95"/>
  <c r="T34" i="95"/>
  <c r="V33" i="95"/>
  <c r="U33" i="95"/>
  <c r="T33" i="95"/>
  <c r="V30" i="95"/>
  <c r="U30" i="95"/>
  <c r="T30" i="95"/>
  <c r="V29" i="95"/>
  <c r="U29" i="95"/>
  <c r="T29" i="95"/>
  <c r="V28" i="95"/>
  <c r="U28" i="95"/>
  <c r="T28" i="95"/>
  <c r="V27" i="95"/>
  <c r="U27" i="95"/>
  <c r="T27" i="95"/>
  <c r="V26" i="95"/>
  <c r="U26" i="95"/>
  <c r="T26" i="95"/>
  <c r="V8" i="95"/>
  <c r="T8" i="95"/>
  <c r="U7" i="95"/>
  <c r="U6" i="95"/>
  <c r="V25" i="95"/>
  <c r="U25" i="95"/>
  <c r="T25" i="95"/>
  <c r="V24" i="95"/>
  <c r="U24" i="95"/>
  <c r="T24" i="95"/>
  <c r="V23" i="95"/>
  <c r="U23" i="95"/>
  <c r="T23" i="95"/>
  <c r="V22" i="95"/>
  <c r="U22" i="95"/>
  <c r="T22" i="95"/>
  <c r="V21" i="95"/>
  <c r="U21" i="95"/>
  <c r="T21" i="95"/>
  <c r="V20" i="95"/>
  <c r="U20" i="95"/>
  <c r="T20" i="95"/>
  <c r="V19" i="95"/>
  <c r="U19" i="95"/>
  <c r="T19" i="95"/>
  <c r="V18" i="95"/>
  <c r="U18" i="95"/>
  <c r="T18" i="95"/>
  <c r="V17" i="95"/>
  <c r="U17" i="95"/>
  <c r="T17" i="95"/>
  <c r="V16" i="95"/>
  <c r="U16" i="95"/>
  <c r="T16" i="95"/>
  <c r="V15" i="95"/>
  <c r="U15" i="95"/>
  <c r="T15" i="95"/>
  <c r="V9" i="95"/>
  <c r="T9" i="95"/>
  <c r="U8" i="95"/>
  <c r="V7" i="95"/>
  <c r="V6" i="95"/>
  <c r="V13" i="95"/>
  <c r="U13" i="95"/>
  <c r="T13" i="95"/>
  <c r="V11" i="95"/>
  <c r="U11" i="95"/>
  <c r="T11" i="95"/>
  <c r="V10" i="95"/>
  <c r="U10" i="95"/>
  <c r="T10" i="95"/>
  <c r="U9" i="95"/>
  <c r="T7" i="95"/>
  <c r="Z6" i="92"/>
  <c r="AC6" i="92"/>
  <c r="Z7" i="92"/>
  <c r="AC7" i="92"/>
  <c r="AB8" i="92"/>
  <c r="AC8" i="92"/>
  <c r="AB9" i="92"/>
  <c r="Z11" i="92"/>
  <c r="AC11" i="92"/>
  <c r="AB29" i="92"/>
  <c r="Z39" i="92"/>
  <c r="AC39" i="92"/>
  <c r="AB37" i="92"/>
  <c r="Z10" i="92"/>
  <c r="AC10" i="92"/>
  <c r="AB13" i="92"/>
  <c r="Z15" i="92"/>
  <c r="AC15" i="92"/>
  <c r="AB16" i="92"/>
  <c r="Z17" i="92"/>
  <c r="AC17" i="92"/>
  <c r="AB18" i="92"/>
  <c r="Z19" i="92"/>
  <c r="AC19" i="92"/>
  <c r="AB20" i="92"/>
  <c r="Z21" i="92"/>
  <c r="AC21" i="92"/>
  <c r="AB22" i="92"/>
  <c r="Z23" i="92"/>
  <c r="AC23" i="92"/>
  <c r="AB24" i="92"/>
  <c r="AB25" i="92"/>
  <c r="Z26" i="92"/>
  <c r="AC26" i="92"/>
  <c r="AB27" i="92"/>
  <c r="Z28" i="92"/>
  <c r="AC28" i="92"/>
  <c r="AB30" i="92"/>
  <c r="Z31" i="92"/>
  <c r="AB6" i="92"/>
  <c r="AB7" i="92"/>
  <c r="Z8" i="92"/>
  <c r="Z9" i="92"/>
  <c r="AC9" i="92"/>
  <c r="AB11" i="92"/>
  <c r="Z29" i="92"/>
  <c r="AC29" i="92"/>
  <c r="AB39" i="92"/>
  <c r="Z37" i="92"/>
  <c r="AC37" i="92"/>
  <c r="AB10" i="92"/>
  <c r="Z13" i="92"/>
  <c r="AC13" i="92"/>
  <c r="AB15" i="92"/>
  <c r="Z16" i="92"/>
  <c r="AC16" i="92"/>
  <c r="AB17" i="92"/>
  <c r="Z18" i="92"/>
  <c r="AC18" i="92"/>
  <c r="AB19" i="92"/>
  <c r="Z20" i="92"/>
  <c r="AC20" i="92"/>
  <c r="AB21" i="92"/>
  <c r="Z22" i="92"/>
  <c r="AC22" i="92"/>
  <c r="AB23" i="92"/>
  <c r="Z24" i="92"/>
  <c r="AC24" i="92"/>
  <c r="Z25" i="92"/>
  <c r="AC25" i="92"/>
  <c r="AB26" i="92"/>
  <c r="Z27" i="92"/>
  <c r="AC27" i="92"/>
  <c r="AB28" i="92"/>
  <c r="Z30" i="92"/>
  <c r="AC30" i="92"/>
  <c r="Y45" i="92"/>
  <c r="X45" i="92"/>
  <c r="V45" i="92"/>
  <c r="Y44" i="92"/>
  <c r="X44" i="92"/>
  <c r="V44" i="92"/>
  <c r="S39" i="95"/>
  <c r="R39" i="95"/>
  <c r="Q39" i="95"/>
  <c r="S38" i="95"/>
  <c r="R38" i="95"/>
  <c r="Q38" i="95"/>
  <c r="S37" i="95"/>
  <c r="R37" i="95"/>
  <c r="Q37" i="95"/>
  <c r="S36" i="95"/>
  <c r="R36" i="95"/>
  <c r="Q36" i="95"/>
  <c r="S35" i="95"/>
  <c r="R35" i="95"/>
  <c r="Q35" i="95"/>
  <c r="S34" i="95"/>
  <c r="S25" i="95"/>
  <c r="R25" i="95"/>
  <c r="Q25" i="95"/>
  <c r="S24" i="95"/>
  <c r="R24" i="95"/>
  <c r="Q24" i="95"/>
  <c r="S23" i="95"/>
  <c r="R23" i="95"/>
  <c r="Q23" i="95"/>
  <c r="S22" i="95"/>
  <c r="R22" i="95"/>
  <c r="Q22" i="95"/>
  <c r="S21" i="95"/>
  <c r="R21" i="95"/>
  <c r="Q21" i="95"/>
  <c r="S20" i="95"/>
  <c r="R20" i="95"/>
  <c r="Q20" i="95"/>
  <c r="S19" i="95"/>
  <c r="S13" i="95"/>
  <c r="R13" i="95"/>
  <c r="Q13" i="95"/>
  <c r="S11" i="95"/>
  <c r="R11" i="95"/>
  <c r="Q11" i="95"/>
  <c r="S10" i="95"/>
  <c r="R10" i="95"/>
  <c r="Q10" i="95"/>
  <c r="S9" i="95"/>
  <c r="R9" i="95"/>
  <c r="Q9" i="95"/>
  <c r="S8" i="95"/>
  <c r="R8" i="95"/>
  <c r="Q8" i="95"/>
  <c r="S7" i="95"/>
  <c r="X6" i="92"/>
  <c r="X7" i="92"/>
  <c r="V8" i="92"/>
  <c r="Y8" i="92"/>
  <c r="X9" i="92"/>
  <c r="V11" i="92"/>
  <c r="Y11" i="92"/>
  <c r="X29" i="92"/>
  <c r="V39" i="92"/>
  <c r="Y39" i="92"/>
  <c r="X37" i="92"/>
  <c r="V10" i="92"/>
  <c r="Y10" i="92"/>
  <c r="X13" i="92"/>
  <c r="X15" i="92"/>
  <c r="V6" i="92"/>
  <c r="Y6" i="92"/>
  <c r="V7" i="92"/>
  <c r="Y7" i="92"/>
  <c r="X8" i="92"/>
  <c r="V9" i="92"/>
  <c r="Y9" i="92"/>
  <c r="X11" i="92"/>
  <c r="V29" i="92"/>
  <c r="Y29" i="92"/>
  <c r="X39" i="92"/>
  <c r="V37" i="92"/>
  <c r="Y37" i="92"/>
  <c r="X10" i="92"/>
  <c r="V13" i="92"/>
  <c r="Y13" i="92"/>
  <c r="V15" i="92"/>
  <c r="R32" i="95"/>
  <c r="Q32" i="95"/>
  <c r="S31" i="95"/>
  <c r="R31" i="95"/>
  <c r="Q31" i="95"/>
  <c r="P39" i="95"/>
  <c r="O39" i="95"/>
  <c r="N39" i="95"/>
  <c r="P33" i="95"/>
  <c r="O33" i="95"/>
  <c r="N33" i="95"/>
  <c r="P30" i="95"/>
  <c r="O30" i="95"/>
  <c r="N30" i="95"/>
  <c r="P29" i="95"/>
  <c r="O29" i="95"/>
  <c r="N29" i="95"/>
  <c r="P28" i="95"/>
  <c r="N21" i="95"/>
  <c r="P20" i="95"/>
  <c r="O20" i="95"/>
  <c r="N20" i="95"/>
  <c r="P19" i="95"/>
  <c r="O19" i="95"/>
  <c r="N19" i="95"/>
  <c r="P18" i="95"/>
  <c r="O18" i="95"/>
  <c r="N18" i="95"/>
  <c r="P17" i="95"/>
  <c r="O17" i="95"/>
  <c r="N17" i="95"/>
  <c r="P16" i="95"/>
  <c r="P8" i="95"/>
  <c r="O8" i="95"/>
  <c r="N8" i="95"/>
  <c r="P7" i="95"/>
  <c r="O7" i="95"/>
  <c r="N7" i="95"/>
  <c r="P6" i="95"/>
  <c r="O6" i="95"/>
  <c r="N6" i="95"/>
  <c r="P4" i="95"/>
  <c r="T13" i="92"/>
  <c r="T15" i="92"/>
  <c r="R16" i="92"/>
  <c r="U16" i="92"/>
  <c r="T17" i="92"/>
  <c r="R18" i="92"/>
  <c r="U18" i="92"/>
  <c r="T19" i="92"/>
  <c r="R20" i="92"/>
  <c r="U20" i="92"/>
  <c r="T21" i="92"/>
  <c r="R22" i="92"/>
  <c r="U22" i="92"/>
  <c r="U13" i="92"/>
  <c r="R15" i="92"/>
  <c r="U15" i="92"/>
  <c r="T16" i="92"/>
  <c r="R17" i="92"/>
  <c r="U17" i="92"/>
  <c r="T18" i="92"/>
  <c r="R19" i="92"/>
  <c r="U19" i="92"/>
  <c r="T20" i="92"/>
  <c r="R21" i="92"/>
  <c r="U21" i="92"/>
  <c r="T22" i="92"/>
  <c r="U45" i="92"/>
  <c r="T45" i="92"/>
  <c r="R45" i="92"/>
  <c r="U44" i="92"/>
  <c r="T44" i="92"/>
  <c r="R44" i="92"/>
  <c r="P38" i="95"/>
  <c r="O38" i="95"/>
  <c r="N38" i="95"/>
  <c r="P37" i="95"/>
  <c r="O37" i="95"/>
  <c r="N37" i="95"/>
  <c r="P36" i="95"/>
  <c r="O36" i="95"/>
  <c r="N36" i="95"/>
  <c r="P35" i="95"/>
  <c r="O35" i="95"/>
  <c r="N35" i="95"/>
  <c r="P34" i="95"/>
  <c r="O34" i="95"/>
  <c r="N34" i="95"/>
  <c r="P25" i="95"/>
  <c r="O25" i="95"/>
  <c r="N25" i="95"/>
  <c r="P24" i="95"/>
  <c r="O24" i="95"/>
  <c r="N24" i="95"/>
  <c r="P23" i="95"/>
  <c r="O23" i="95"/>
  <c r="N23" i="95"/>
  <c r="P22" i="95"/>
  <c r="O22" i="95"/>
  <c r="N22" i="95"/>
  <c r="P21" i="95"/>
  <c r="O21" i="95"/>
  <c r="P13" i="95"/>
  <c r="O13" i="95"/>
  <c r="N13" i="95"/>
  <c r="P11" i="95"/>
  <c r="O11" i="95"/>
  <c r="N11" i="95"/>
  <c r="P10" i="95"/>
  <c r="O10" i="95"/>
  <c r="N10" i="95"/>
  <c r="P9" i="95"/>
  <c r="O9" i="95"/>
  <c r="N9" i="95"/>
  <c r="T6" i="92"/>
  <c r="U6" i="92"/>
  <c r="U7" i="92"/>
  <c r="T8" i="92"/>
  <c r="U8" i="92"/>
  <c r="T9" i="92"/>
  <c r="R11" i="92"/>
  <c r="U11" i="92"/>
  <c r="T29" i="92"/>
  <c r="R39" i="92"/>
  <c r="U39" i="92"/>
  <c r="T37" i="92"/>
  <c r="R10" i="92"/>
  <c r="U10" i="92"/>
  <c r="R6" i="92"/>
  <c r="R7" i="92"/>
  <c r="T7" i="92"/>
  <c r="R8" i="92"/>
  <c r="R9" i="92"/>
  <c r="U9" i="92"/>
  <c r="T11" i="92"/>
  <c r="R29" i="92"/>
  <c r="U29" i="92"/>
  <c r="T39" i="92"/>
  <c r="R37" i="92"/>
  <c r="U37" i="92"/>
  <c r="T10" i="92"/>
  <c r="R13" i="92"/>
  <c r="L32" i="95"/>
  <c r="K32" i="95"/>
  <c r="M31" i="95"/>
  <c r="L31" i="95"/>
  <c r="K31" i="95"/>
  <c r="M32" i="95"/>
  <c r="Q45" i="92"/>
  <c r="P45" i="92"/>
  <c r="N45" i="92"/>
  <c r="Q44" i="92"/>
  <c r="P44" i="92"/>
  <c r="N44" i="92"/>
  <c r="M38" i="95"/>
  <c r="L38" i="95"/>
  <c r="K38" i="95"/>
  <c r="M37" i="95"/>
  <c r="L37" i="95"/>
  <c r="K37" i="95"/>
  <c r="M36" i="95"/>
  <c r="L36" i="95"/>
  <c r="K36" i="95"/>
  <c r="M35" i="95"/>
  <c r="L35" i="95"/>
  <c r="K35" i="95"/>
  <c r="M34" i="95"/>
  <c r="L34" i="95"/>
  <c r="M25" i="95"/>
  <c r="L25" i="95"/>
  <c r="K25" i="95"/>
  <c r="M24" i="95"/>
  <c r="L24" i="95"/>
  <c r="K24" i="95"/>
  <c r="M23" i="95"/>
  <c r="L23" i="95"/>
  <c r="K23" i="95"/>
  <c r="M22" i="95"/>
  <c r="L22" i="95"/>
  <c r="K22" i="95"/>
  <c r="M21" i="95"/>
  <c r="N6" i="92"/>
  <c r="P6" i="92"/>
  <c r="Q6" i="92"/>
  <c r="N7" i="92"/>
  <c r="P7" i="92"/>
  <c r="Q7" i="92"/>
  <c r="N8" i="92"/>
  <c r="P8" i="92"/>
  <c r="Q8" i="92"/>
  <c r="N9" i="92"/>
  <c r="P9" i="92"/>
  <c r="Q9" i="92"/>
  <c r="N11" i="92"/>
  <c r="N22" i="92"/>
  <c r="P22" i="92"/>
  <c r="Q22" i="92"/>
  <c r="N23" i="92"/>
  <c r="P23" i="92"/>
  <c r="Q23" i="92"/>
  <c r="N24" i="92"/>
  <c r="P24" i="92"/>
  <c r="Q24" i="92"/>
  <c r="N25" i="92"/>
  <c r="P25" i="92"/>
  <c r="M45" i="92"/>
  <c r="M44" i="92"/>
  <c r="L45" i="92"/>
  <c r="L44" i="92"/>
  <c r="J45" i="92"/>
  <c r="J44" i="92"/>
  <c r="J38" i="95"/>
  <c r="I38" i="95"/>
  <c r="H38" i="95"/>
  <c r="J37" i="95"/>
  <c r="I37" i="95"/>
  <c r="H37" i="95"/>
  <c r="J36" i="95"/>
  <c r="I36" i="95"/>
  <c r="H36" i="95"/>
  <c r="J35" i="95"/>
  <c r="I35" i="95"/>
  <c r="H35" i="95"/>
  <c r="J34" i="95"/>
  <c r="I34" i="95"/>
  <c r="H34" i="95"/>
  <c r="J25" i="95"/>
  <c r="I25" i="95"/>
  <c r="H25" i="95"/>
  <c r="J24" i="95"/>
  <c r="I24" i="95"/>
  <c r="H24" i="95"/>
  <c r="J23" i="95"/>
  <c r="I23" i="95"/>
  <c r="H23" i="95"/>
  <c r="J22" i="95"/>
  <c r="I22" i="95"/>
  <c r="H22" i="95"/>
  <c r="J21" i="95"/>
  <c r="I21" i="95"/>
  <c r="H21" i="95"/>
  <c r="J20" i="95"/>
  <c r="I20" i="95"/>
  <c r="H20" i="95"/>
  <c r="J19" i="95"/>
  <c r="I19" i="95"/>
  <c r="J13" i="95"/>
  <c r="I13" i="95"/>
  <c r="H13" i="95"/>
  <c r="J11" i="95"/>
  <c r="I11" i="95"/>
  <c r="H11" i="95"/>
  <c r="J10" i="95"/>
  <c r="I10" i="95"/>
  <c r="H10" i="95"/>
  <c r="J9" i="95"/>
  <c r="I9" i="95"/>
  <c r="H9" i="95"/>
  <c r="J8" i="95"/>
  <c r="I8" i="95"/>
  <c r="H8" i="95"/>
  <c r="J7" i="95"/>
  <c r="I7" i="95"/>
  <c r="H7" i="95"/>
  <c r="L6" i="92"/>
  <c r="M6" i="92"/>
  <c r="M7" i="92"/>
  <c r="L8" i="92"/>
  <c r="J9" i="92"/>
  <c r="M9" i="92"/>
  <c r="L11" i="92"/>
  <c r="J29" i="92"/>
  <c r="M29" i="92"/>
  <c r="L39" i="92"/>
  <c r="J37" i="92"/>
  <c r="M37" i="92"/>
  <c r="L10" i="92"/>
  <c r="J13" i="92"/>
  <c r="M13" i="92"/>
  <c r="J15" i="92"/>
  <c r="M15" i="92"/>
  <c r="L16" i="92"/>
  <c r="J17" i="92"/>
  <c r="J6" i="92"/>
  <c r="J7" i="92"/>
  <c r="L7" i="92"/>
  <c r="J8" i="92"/>
  <c r="M8" i="92"/>
  <c r="L9" i="92"/>
  <c r="J11" i="92"/>
  <c r="M11" i="92"/>
  <c r="L29" i="92"/>
  <c r="J39" i="92"/>
  <c r="M39" i="92"/>
  <c r="L37" i="92"/>
  <c r="J10" i="92"/>
  <c r="M10" i="92"/>
  <c r="L13" i="92"/>
  <c r="L15" i="92"/>
  <c r="J16" i="92"/>
  <c r="M16" i="92"/>
  <c r="F31" i="95"/>
  <c r="H44" i="92"/>
  <c r="I44" i="92"/>
  <c r="H45" i="92"/>
  <c r="I45" i="92"/>
  <c r="F45" i="92"/>
  <c r="F44" i="92"/>
  <c r="G38" i="95"/>
  <c r="F38" i="95"/>
  <c r="E38" i="95"/>
  <c r="G37" i="95"/>
  <c r="F37" i="95"/>
  <c r="G13" i="95"/>
  <c r="F13" i="95"/>
  <c r="E13" i="95"/>
  <c r="G11" i="95"/>
  <c r="F11" i="95"/>
  <c r="E11" i="95"/>
  <c r="G10" i="95"/>
  <c r="F10" i="95"/>
  <c r="E10" i="95"/>
  <c r="G9" i="95"/>
  <c r="F6" i="92"/>
  <c r="H6" i="92"/>
  <c r="I6" i="92"/>
  <c r="F7" i="92"/>
  <c r="H7" i="92"/>
  <c r="I7" i="92"/>
  <c r="F8" i="92"/>
  <c r="H8" i="92"/>
  <c r="I8" i="92"/>
  <c r="F9" i="92"/>
  <c r="H9" i="92"/>
  <c r="I9" i="92"/>
  <c r="F11" i="92"/>
  <c r="H11" i="92"/>
  <c r="F32" i="95"/>
  <c r="E32" i="95"/>
  <c r="J32" i="95"/>
  <c r="I32" i="95"/>
  <c r="H32" i="95"/>
  <c r="P32" i="95"/>
  <c r="O32" i="95"/>
  <c r="N32" i="95"/>
  <c r="P31" i="95"/>
  <c r="O31" i="95"/>
  <c r="N31" i="95"/>
  <c r="AK40" i="95"/>
  <c r="AJ40" i="95"/>
  <c r="AI40" i="95"/>
  <c r="AK32" i="95"/>
  <c r="AJ32" i="95"/>
  <c r="AI32" i="95"/>
  <c r="AH40" i="95"/>
  <c r="AG40" i="95"/>
  <c r="AF40" i="95"/>
  <c r="AF31" i="95"/>
  <c r="AH32" i="95"/>
  <c r="AG32" i="95"/>
  <c r="AF32" i="95"/>
  <c r="AH31" i="95"/>
  <c r="AG31" i="95"/>
  <c r="W40" i="95"/>
  <c r="Y40" i="95"/>
  <c r="X40" i="95"/>
  <c r="Y32" i="95"/>
  <c r="X32" i="95"/>
  <c r="W32" i="95"/>
  <c r="S32" i="95"/>
  <c r="G32" i="95"/>
  <c r="U32" i="95"/>
  <c r="T32" i="95"/>
  <c r="AE40" i="95"/>
  <c r="AD40" i="95"/>
  <c r="AC40" i="95"/>
  <c r="AE32" i="95"/>
  <c r="AD32" i="95"/>
  <c r="AC32" i="95"/>
  <c r="V32" i="95"/>
  <c r="AK31" i="95"/>
  <c r="AJ31" i="95"/>
  <c r="AI31" i="95"/>
  <c r="AE31" i="95"/>
  <c r="AD31" i="95"/>
  <c r="AC31" i="95"/>
  <c r="Y31" i="95"/>
  <c r="X31" i="95"/>
  <c r="W31" i="95"/>
  <c r="V31" i="95"/>
  <c r="U31" i="95"/>
  <c r="T31" i="95"/>
  <c r="Z12" i="92"/>
  <c r="AB12" i="92"/>
  <c r="AC12" i="92"/>
  <c r="J31" i="95"/>
  <c r="I31" i="95"/>
  <c r="H31" i="95"/>
  <c r="AK12" i="95"/>
  <c r="AJ12" i="95"/>
  <c r="AI12" i="95"/>
  <c r="AH12" i="95"/>
  <c r="AG12" i="95"/>
  <c r="AF12" i="95"/>
  <c r="AE12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G12" i="95"/>
  <c r="F12" i="95"/>
  <c r="E12" i="95"/>
  <c r="AT12" i="92"/>
  <c r="AV12" i="92"/>
  <c r="AW12" i="92"/>
  <c r="AP12" i="92"/>
  <c r="AR12" i="92"/>
  <c r="AS12" i="92"/>
  <c r="AD12" i="92"/>
  <c r="AF12" i="92"/>
  <c r="AG12" i="92"/>
  <c r="V12" i="92"/>
  <c r="X12" i="92"/>
  <c r="Y12" i="92"/>
  <c r="V31" i="92"/>
  <c r="X31" i="92"/>
  <c r="Y31" i="92"/>
  <c r="V40" i="92"/>
  <c r="X40" i="92"/>
  <c r="Y40" i="92"/>
  <c r="R12" i="92"/>
  <c r="T12" i="92"/>
  <c r="U12" i="92"/>
  <c r="N12" i="92"/>
  <c r="P12" i="92"/>
  <c r="Q12" i="92"/>
  <c r="N31" i="92"/>
  <c r="P31" i="92"/>
  <c r="Q31" i="92"/>
  <c r="F12" i="92"/>
  <c r="H12" i="92"/>
  <c r="I12" i="92"/>
  <c r="G31" i="95"/>
  <c r="J12" i="92"/>
  <c r="L12" i="92"/>
  <c r="M12" i="92"/>
  <c r="DE6" i="92"/>
  <c r="DE24" i="92"/>
  <c r="AX14" i="92"/>
  <c r="AX5" i="92"/>
  <c r="B18" i="94"/>
  <c r="B24" i="94" s="1"/>
  <c r="C18" i="94"/>
  <c r="C24" i="94" s="1"/>
  <c r="DE8" i="92"/>
  <c r="DE27" i="92"/>
  <c r="DE30" i="92"/>
  <c r="DE32" i="92"/>
  <c r="BG28" i="92"/>
  <c r="DE7" i="92"/>
  <c r="DE33" i="92"/>
  <c r="DE25" i="92"/>
  <c r="DE17" i="92"/>
  <c r="DE14" i="92"/>
  <c r="DE11" i="92"/>
  <c r="DE26" i="92"/>
  <c r="DE18" i="92"/>
  <c r="DE9" i="92"/>
  <c r="DE19" i="92"/>
  <c r="DE16" i="92"/>
  <c r="DE29" i="92"/>
  <c r="DE21" i="92"/>
  <c r="DE13" i="92"/>
  <c r="DE10" i="92"/>
  <c r="DE31" i="92"/>
  <c r="DE23" i="92"/>
  <c r="DE15" i="92"/>
  <c r="DE28" i="92"/>
  <c r="DE20" i="92"/>
  <c r="DE12" i="92"/>
  <c r="AY14" i="92"/>
  <c r="AY5" i="92"/>
  <c r="CR34" i="92"/>
  <c r="CR33" i="92"/>
  <c r="CQ33" i="92"/>
  <c r="CO33" i="92"/>
  <c r="CO21" i="92"/>
  <c r="CR21" i="92"/>
  <c r="CO34" i="92"/>
  <c r="CQ34" i="92"/>
  <c r="CQ21" i="92"/>
  <c r="CM33" i="92"/>
  <c r="CK33" i="92"/>
  <c r="CK34" i="92"/>
  <c r="CM34" i="92"/>
  <c r="CN34" i="92"/>
  <c r="CN33" i="92"/>
  <c r="CG21" i="92"/>
  <c r="CG34" i="92"/>
  <c r="CI21" i="92"/>
  <c r="CJ21" i="92"/>
  <c r="CJ33" i="92"/>
  <c r="CI33" i="92"/>
  <c r="CG33" i="92"/>
  <c r="CI34" i="92"/>
  <c r="CJ34" i="92"/>
  <c r="CC33" i="92"/>
  <c r="CE34" i="92"/>
  <c r="CE33" i="92"/>
  <c r="CF34" i="92"/>
  <c r="CC34" i="92"/>
  <c r="CF33" i="92"/>
  <c r="CA21" i="92"/>
  <c r="BY21" i="92"/>
  <c r="CB21" i="92"/>
  <c r="CB34" i="92"/>
  <c r="CA34" i="92"/>
  <c r="BY34" i="92"/>
  <c r="BY33" i="92"/>
  <c r="CA33" i="92"/>
  <c r="CB33" i="92"/>
  <c r="BW34" i="92"/>
  <c r="BX34" i="92"/>
  <c r="BW21" i="92"/>
  <c r="BX21" i="92"/>
  <c r="BU21" i="92"/>
  <c r="BU33" i="92"/>
  <c r="BX33" i="92"/>
  <c r="BW33" i="92"/>
  <c r="BU34" i="92"/>
  <c r="BQ34" i="92"/>
  <c r="BS34" i="92"/>
  <c r="BT33" i="92"/>
  <c r="BS33" i="92"/>
  <c r="BQ33" i="92"/>
  <c r="BT21" i="92"/>
  <c r="BS21" i="92"/>
  <c r="BQ21" i="92"/>
  <c r="BT34" i="92"/>
  <c r="BO34" i="92"/>
  <c r="BP34" i="92"/>
  <c r="BP33" i="92"/>
  <c r="BO33" i="92"/>
  <c r="BI34" i="92"/>
  <c r="BK34" i="92"/>
  <c r="BL34" i="92"/>
  <c r="BM34" i="92"/>
  <c r="BK33" i="92"/>
  <c r="BI33" i="92"/>
  <c r="BM33" i="92"/>
  <c r="BL33" i="92"/>
  <c r="BH33" i="92"/>
  <c r="BG33" i="92"/>
  <c r="BE33" i="92"/>
  <c r="BE34" i="92"/>
  <c r="BG34" i="92"/>
  <c r="BH34" i="92"/>
  <c r="CS33" i="92"/>
  <c r="CU33" i="92"/>
  <c r="CV33" i="92"/>
  <c r="CS34" i="92"/>
  <c r="CU34" i="92"/>
  <c r="CV34" i="92"/>
  <c r="BY28" i="92"/>
  <c r="CA28" i="92"/>
  <c r="CB28" i="92"/>
  <c r="BO27" i="92"/>
  <c r="BP27" i="92"/>
  <c r="BO28" i="92"/>
  <c r="BP28" i="92"/>
  <c r="BI28" i="92"/>
  <c r="BK28" i="92"/>
  <c r="BL28" i="92"/>
  <c r="BM28" i="92"/>
  <c r="CS28" i="92"/>
  <c r="CU28" i="92"/>
  <c r="CV28" i="92"/>
  <c r="CO28" i="92"/>
  <c r="CQ28" i="92"/>
  <c r="CR28" i="92"/>
  <c r="CK28" i="92"/>
  <c r="CM28" i="92"/>
  <c r="CN28" i="92"/>
  <c r="CG28" i="92"/>
  <c r="CI28" i="92"/>
  <c r="CJ28" i="92"/>
  <c r="CC21" i="92"/>
  <c r="CF21" i="92"/>
  <c r="CE21" i="92"/>
  <c r="CC28" i="92"/>
  <c r="CE28" i="92"/>
  <c r="CF28" i="92"/>
  <c r="BU28" i="92"/>
  <c r="BW28" i="92"/>
  <c r="BX28" i="92"/>
  <c r="BQ28" i="92"/>
  <c r="BS28" i="92"/>
  <c r="BT28" i="92"/>
  <c r="BH21" i="92"/>
  <c r="BE21" i="92"/>
  <c r="BG21" i="92"/>
  <c r="CS27" i="92"/>
  <c r="CU27" i="92"/>
  <c r="CV27" i="92"/>
  <c r="CO27" i="92"/>
  <c r="CQ27" i="92"/>
  <c r="CR27" i="92"/>
  <c r="CM21" i="92"/>
  <c r="CA28" i="95"/>
  <c r="BZ28" i="95"/>
  <c r="BY28" i="95"/>
  <c r="CN21" i="92"/>
  <c r="CK21" i="92"/>
  <c r="CK27" i="92"/>
  <c r="CM27" i="92"/>
  <c r="CN27" i="92"/>
  <c r="BV34" i="95"/>
  <c r="BU34" i="95"/>
  <c r="CG10" i="92"/>
  <c r="CI10" i="92"/>
  <c r="CJ10" i="92"/>
  <c r="CG27" i="92"/>
  <c r="CI27" i="92"/>
  <c r="CJ27" i="92"/>
  <c r="CC27" i="92"/>
  <c r="CE27" i="92"/>
  <c r="CF27" i="92"/>
  <c r="BO28" i="95"/>
  <c r="BY27" i="92"/>
  <c r="CA27" i="92"/>
  <c r="CB27" i="92"/>
  <c r="BJ34" i="95"/>
  <c r="BI34" i="95"/>
  <c r="BU27" i="92"/>
  <c r="BW27" i="92"/>
  <c r="BX27" i="92"/>
  <c r="BQ27" i="92"/>
  <c r="BS27" i="92"/>
  <c r="BT27" i="92"/>
  <c r="BI27" i="92"/>
  <c r="BK27" i="92"/>
  <c r="BL27" i="92"/>
  <c r="BM27" i="92"/>
  <c r="BH28" i="92"/>
  <c r="AS41" i="95"/>
  <c r="AT41" i="95"/>
  <c r="AU41" i="95"/>
  <c r="AU34" i="95"/>
  <c r="AT34" i="95"/>
  <c r="AS34" i="95"/>
  <c r="BE10" i="92"/>
  <c r="BG10" i="92"/>
  <c r="BH10" i="92"/>
  <c r="CG41" i="95"/>
  <c r="CH41" i="95"/>
  <c r="CI41" i="95"/>
  <c r="CI34" i="95"/>
  <c r="CH34" i="95"/>
  <c r="CG34" i="95"/>
  <c r="CI28" i="95"/>
  <c r="CH28" i="95"/>
  <c r="CG28" i="95"/>
  <c r="CI27" i="95"/>
  <c r="CH27" i="95"/>
  <c r="CG27" i="95"/>
  <c r="CS10" i="92"/>
  <c r="CU10" i="92"/>
  <c r="CV10" i="92"/>
  <c r="CS21" i="92"/>
  <c r="CU21" i="92"/>
  <c r="CV21" i="92"/>
  <c r="CC41" i="95"/>
  <c r="CD41" i="95"/>
  <c r="CE41" i="95"/>
  <c r="CE34" i="95"/>
  <c r="CD34" i="95"/>
  <c r="CC34" i="95"/>
  <c r="CO10" i="92"/>
  <c r="CQ10" i="92"/>
  <c r="CR10" i="92"/>
  <c r="BY41" i="95"/>
  <c r="BZ41" i="95"/>
  <c r="CA41" i="95"/>
  <c r="CA34" i="95"/>
  <c r="BZ34" i="95"/>
  <c r="BY34" i="95"/>
  <c r="CK10" i="92"/>
  <c r="CM10" i="92"/>
  <c r="CN10" i="92"/>
  <c r="BU41" i="95"/>
  <c r="BV41" i="95"/>
  <c r="BW41" i="95"/>
  <c r="BW34" i="95"/>
  <c r="BQ41" i="95"/>
  <c r="BR41" i="95"/>
  <c r="BS41" i="95"/>
  <c r="BS34" i="95"/>
  <c r="BR34" i="95"/>
  <c r="BQ34" i="95"/>
  <c r="CC10" i="92"/>
  <c r="CE10" i="92"/>
  <c r="CF10" i="92"/>
  <c r="BM41" i="95"/>
  <c r="BN41" i="95"/>
  <c r="BO41" i="95"/>
  <c r="BO34" i="95"/>
  <c r="BN34" i="95"/>
  <c r="BM34" i="95"/>
  <c r="BY10" i="92"/>
  <c r="CA10" i="92"/>
  <c r="CB10" i="92"/>
  <c r="BI41" i="95"/>
  <c r="BJ41" i="95"/>
  <c r="BK41" i="95"/>
  <c r="BU10" i="92"/>
  <c r="BW10" i="92"/>
  <c r="BX10" i="92"/>
  <c r="BE41" i="95"/>
  <c r="BF41" i="95"/>
  <c r="BG41" i="95"/>
  <c r="BG34" i="95"/>
  <c r="BF34" i="95"/>
  <c r="BE34" i="95"/>
  <c r="BQ10" i="92"/>
  <c r="BS10" i="92"/>
  <c r="BT10" i="92"/>
  <c r="BB41" i="95"/>
  <c r="BC41" i="95"/>
  <c r="BC34" i="95"/>
  <c r="BB34" i="95"/>
  <c r="BC28" i="95"/>
  <c r="BB28" i="95"/>
  <c r="BC27" i="95"/>
  <c r="BB27" i="95"/>
  <c r="BP21" i="92"/>
  <c r="BO10" i="92"/>
  <c r="BP10" i="92"/>
  <c r="BO21" i="92"/>
  <c r="BA41" i="95"/>
  <c r="AW41" i="95"/>
  <c r="AX41" i="95"/>
  <c r="BA34" i="95"/>
  <c r="AY34" i="95"/>
  <c r="AX34" i="95"/>
  <c r="AW34" i="95"/>
  <c r="BA28" i="95"/>
  <c r="AY28" i="95"/>
  <c r="AX28" i="95"/>
  <c r="AW28" i="95"/>
  <c r="BA27" i="95"/>
  <c r="AY27" i="95"/>
  <c r="AX27" i="95"/>
  <c r="AW27" i="95"/>
  <c r="BK21" i="92"/>
  <c r="BI21" i="92"/>
  <c r="BI10" i="92"/>
  <c r="BK10" i="92"/>
  <c r="BL10" i="92"/>
  <c r="BM10" i="92"/>
  <c r="BL21" i="92"/>
  <c r="BM21" i="92"/>
  <c r="AL43" i="95"/>
  <c r="AL42" i="95"/>
  <c r="CR21" i="95"/>
  <c r="CR20" i="95"/>
  <c r="CR19" i="95"/>
  <c r="CR18" i="95"/>
  <c r="CR10" i="95"/>
  <c r="CR9" i="95"/>
  <c r="CR8" i="95"/>
  <c r="CR17" i="95"/>
  <c r="CR16" i="95"/>
  <c r="CR15" i="95"/>
  <c r="AL14" i="95"/>
  <c r="CR7" i="95"/>
  <c r="CR6" i="95"/>
  <c r="CR5" i="95"/>
  <c r="AL5" i="95"/>
  <c r="CR4" i="95"/>
  <c r="CJ31" i="95"/>
  <c r="CJ30" i="95"/>
  <c r="CJ29" i="95"/>
  <c r="CJ18" i="95"/>
  <c r="CJ8" i="95"/>
  <c r="CJ32" i="95"/>
  <c r="CJ16" i="95"/>
  <c r="CJ15" i="95"/>
  <c r="CJ17" i="95"/>
  <c r="CJ13" i="95"/>
  <c r="CJ6" i="95"/>
  <c r="CJ5" i="95"/>
  <c r="BH27" i="92"/>
  <c r="BE28" i="92"/>
  <c r="BE27" i="92"/>
  <c r="BG27" i="92"/>
  <c r="CW37" i="92"/>
  <c r="G18" i="94"/>
  <c r="C25" i="94" s="1"/>
  <c r="CW23" i="92"/>
  <c r="F18" i="94"/>
  <c r="B25" i="94" s="1"/>
  <c r="CW22" i="92"/>
  <c r="CW20" i="92"/>
  <c r="CW17" i="92"/>
  <c r="CW24" i="92"/>
  <c r="CW16" i="92"/>
  <c r="CW8" i="92"/>
  <c r="CW38" i="92"/>
  <c r="CW19" i="92"/>
  <c r="CW4" i="92"/>
  <c r="CW40" i="92"/>
  <c r="CW15" i="92"/>
  <c r="CW39" i="92"/>
  <c r="CW5" i="92"/>
  <c r="CW13" i="92"/>
  <c r="CW18" i="92"/>
  <c r="AL41" i="95" l="1"/>
  <c r="CR14" i="95"/>
  <c r="CR30" i="95"/>
  <c r="CR33" i="95"/>
  <c r="CR25" i="95"/>
  <c r="CR27" i="95"/>
  <c r="DE5" i="92"/>
  <c r="CW32" i="92"/>
  <c r="CW35" i="92"/>
  <c r="CJ7" i="95"/>
  <c r="CJ20" i="95"/>
  <c r="CJ36" i="95"/>
  <c r="CR13" i="95"/>
  <c r="CR32" i="95"/>
  <c r="CR28" i="95"/>
  <c r="CR12" i="95"/>
  <c r="DE4" i="92"/>
  <c r="CR23" i="95"/>
  <c r="CR31" i="95"/>
  <c r="CR26" i="95"/>
  <c r="CQ34" i="95"/>
  <c r="CQ35" i="95"/>
  <c r="DD35" i="92"/>
  <c r="DD34" i="92"/>
  <c r="CE42" i="95"/>
  <c r="CW25" i="92"/>
  <c r="BW42" i="95"/>
  <c r="BS42" i="95"/>
  <c r="CJ38" i="95"/>
  <c r="CW31" i="92"/>
  <c r="CJ37" i="95"/>
  <c r="CJ25" i="95"/>
  <c r="CJ24" i="95"/>
  <c r="CW29" i="92"/>
  <c r="CW6" i="92"/>
  <c r="BG42" i="95"/>
  <c r="CW11" i="92"/>
  <c r="CW12" i="92"/>
  <c r="CW7" i="92"/>
  <c r="CJ14" i="95"/>
  <c r="CJ12" i="95"/>
  <c r="CJ40" i="95"/>
  <c r="CJ39" i="95"/>
  <c r="CW26" i="92"/>
  <c r="CJ26" i="95"/>
  <c r="CW30" i="92"/>
  <c r="AU42" i="95"/>
  <c r="AL27" i="95"/>
  <c r="AL26" i="95"/>
  <c r="AL15" i="95"/>
  <c r="AL4" i="95"/>
  <c r="AB45" i="95"/>
  <c r="AX41" i="92"/>
  <c r="AY41" i="92"/>
  <c r="AX4" i="92"/>
  <c r="AY4" i="92"/>
  <c r="AY42" i="92"/>
  <c r="AX42" i="92"/>
  <c r="AY33" i="92"/>
  <c r="AX33" i="92"/>
  <c r="AX35" i="92"/>
  <c r="AY35" i="92"/>
  <c r="AX32" i="92"/>
  <c r="AY32" i="92"/>
  <c r="AX34" i="92"/>
  <c r="AY34" i="92"/>
  <c r="AY36" i="92"/>
  <c r="AX36" i="92"/>
  <c r="AX38" i="92"/>
  <c r="AY38" i="92"/>
  <c r="AX43" i="92"/>
  <c r="AY43" i="92"/>
  <c r="AL39" i="95"/>
  <c r="AL33" i="95"/>
  <c r="AL30" i="95"/>
  <c r="AL29" i="95"/>
  <c r="AL28" i="95"/>
  <c r="AL18" i="95"/>
  <c r="AL17" i="95"/>
  <c r="AL16" i="95"/>
  <c r="AL6" i="95"/>
  <c r="AY17" i="92"/>
  <c r="AY23" i="92"/>
  <c r="AY26" i="92"/>
  <c r="AX26" i="92"/>
  <c r="AX28" i="92"/>
  <c r="AY28" i="92"/>
  <c r="AX27" i="92"/>
  <c r="AY27" i="92"/>
  <c r="AX30" i="92"/>
  <c r="AY30" i="92"/>
  <c r="AY29" i="92"/>
  <c r="AL20" i="95"/>
  <c r="AL19" i="95"/>
  <c r="AL8" i="95"/>
  <c r="AL7" i="95"/>
  <c r="AX17" i="92"/>
  <c r="AY18" i="92"/>
  <c r="AX18" i="92"/>
  <c r="AX20" i="92"/>
  <c r="AY20" i="92"/>
  <c r="AX19" i="92"/>
  <c r="AY19" i="92"/>
  <c r="AY21" i="92"/>
  <c r="AX21" i="92"/>
  <c r="AY39" i="92"/>
  <c r="AY8" i="92"/>
  <c r="AL36" i="95"/>
  <c r="AL34" i="95"/>
  <c r="AL25" i="95"/>
  <c r="AL24" i="95"/>
  <c r="AX37" i="92"/>
  <c r="AL23" i="95"/>
  <c r="AL22" i="95"/>
  <c r="AL21" i="95"/>
  <c r="AL38" i="95"/>
  <c r="AX23" i="92"/>
  <c r="AX22" i="92"/>
  <c r="AY22" i="92"/>
  <c r="AX24" i="92"/>
  <c r="AY24" i="92"/>
  <c r="AX25" i="92"/>
  <c r="AY25" i="92"/>
  <c r="AY9" i="92"/>
  <c r="AY6" i="92"/>
  <c r="M44" i="95"/>
  <c r="AL35" i="95"/>
  <c r="AY11" i="92"/>
  <c r="AX29" i="92"/>
  <c r="AX39" i="92"/>
  <c r="AY37" i="92"/>
  <c r="AY13" i="92"/>
  <c r="AY15" i="92"/>
  <c r="AX15" i="92"/>
  <c r="AX13" i="92"/>
  <c r="AY7" i="92"/>
  <c r="AX10" i="92"/>
  <c r="AY10" i="92"/>
  <c r="AL37" i="95"/>
  <c r="AL13" i="95"/>
  <c r="AL11" i="95"/>
  <c r="AL9" i="95"/>
  <c r="AX6" i="92"/>
  <c r="AX7" i="92"/>
  <c r="AX8" i="92"/>
  <c r="AX9" i="92"/>
  <c r="AX11" i="92"/>
  <c r="AX16" i="92"/>
  <c r="AY16" i="92"/>
  <c r="AL10" i="95"/>
  <c r="M45" i="95"/>
  <c r="J44" i="95"/>
  <c r="J45" i="95"/>
  <c r="AL40" i="95"/>
  <c r="AL32" i="95"/>
  <c r="AK44" i="95"/>
  <c r="AK45" i="95"/>
  <c r="AB44" i="95"/>
  <c r="Y44" i="95"/>
  <c r="Y45" i="95"/>
  <c r="V45" i="95"/>
  <c r="V44" i="95"/>
  <c r="AE44" i="95"/>
  <c r="AE45" i="95"/>
  <c r="AL31" i="95"/>
  <c r="P45" i="95"/>
  <c r="P44" i="95"/>
  <c r="G44" i="95"/>
  <c r="G45" i="95"/>
  <c r="AH44" i="95"/>
  <c r="AH45" i="95"/>
  <c r="AL12" i="95"/>
  <c r="S44" i="95"/>
  <c r="S45" i="95"/>
  <c r="AX31" i="92"/>
  <c r="AY31" i="92"/>
  <c r="AX40" i="92"/>
  <c r="AY40" i="92"/>
  <c r="AX12" i="92"/>
  <c r="AY12" i="92"/>
  <c r="AY44" i="92"/>
  <c r="AX44" i="92"/>
  <c r="AX45" i="92"/>
  <c r="AY45" i="92"/>
  <c r="C27" i="94"/>
  <c r="B27" i="94"/>
  <c r="BC42" i="95"/>
  <c r="CW33" i="92"/>
  <c r="BO42" i="95"/>
  <c r="CW34" i="92"/>
  <c r="CB41" i="92"/>
  <c r="CB42" i="92"/>
  <c r="CI42" i="95"/>
  <c r="CR41" i="92"/>
  <c r="CR42" i="92"/>
  <c r="CA42" i="95"/>
  <c r="CJ41" i="92"/>
  <c r="CJ42" i="92"/>
  <c r="CW28" i="92"/>
  <c r="CN41" i="92"/>
  <c r="CN42" i="92"/>
  <c r="CV41" i="92"/>
  <c r="CV42" i="92"/>
  <c r="CF42" i="92"/>
  <c r="CF41" i="92"/>
  <c r="BX41" i="92"/>
  <c r="BX42" i="92"/>
  <c r="BT41" i="92"/>
  <c r="BT42" i="92"/>
  <c r="BP41" i="92"/>
  <c r="BP42" i="92"/>
  <c r="CJ34" i="95"/>
  <c r="CJ27" i="95"/>
  <c r="CJ28" i="95"/>
  <c r="CW10" i="92"/>
  <c r="CW21" i="92"/>
  <c r="AY42" i="95"/>
  <c r="AY41" i="95"/>
  <c r="BL41" i="92"/>
  <c r="BL42" i="92"/>
  <c r="CW27" i="92"/>
  <c r="BH41" i="92"/>
  <c r="BH42" i="92"/>
  <c r="CJ4" i="95" l="1"/>
</calcChain>
</file>

<file path=xl/sharedStrings.xml><?xml version="1.0" encoding="utf-8"?>
<sst xmlns="http://schemas.openxmlformats.org/spreadsheetml/2006/main" count="14157" uniqueCount="1085">
  <si>
    <t>📊 RESUMO ANALÍTICO - VÁLVULAS DIAFRAGMA</t>
  </si>
  <si>
    <t>🔧 FERMENTADORES (FTD01-FTD12)</t>
  </si>
  <si>
    <t>🧪 PROPAGADORES (PGD01-PGD12)</t>
  </si>
  <si>
    <t>⚙️ BLENDERS (BLD01-BLD02)</t>
  </si>
  <si>
    <t>Equipamento</t>
  </si>
  <si>
    <t>GEMÜ</t>
  </si>
  <si>
    <t>ZDL</t>
  </si>
  <si>
    <t>FTD01</t>
  </si>
  <si>
    <t>PGD01</t>
  </si>
  <si>
    <t>BLD01</t>
  </si>
  <si>
    <t>FTD02</t>
  </si>
  <si>
    <t>PGD02</t>
  </si>
  <si>
    <t>BLD02</t>
  </si>
  <si>
    <t>FTD03</t>
  </si>
  <si>
    <t>PGD03</t>
  </si>
  <si>
    <t>TOTAL BLD</t>
  </si>
  <si>
    <t>FTD04</t>
  </si>
  <si>
    <t>PGD04</t>
  </si>
  <si>
    <t>FTD05</t>
  </si>
  <si>
    <t>PGD05</t>
  </si>
  <si>
    <t>FTD06</t>
  </si>
  <si>
    <t>PGD06</t>
  </si>
  <si>
    <t>FTD07</t>
  </si>
  <si>
    <t>PGD07</t>
  </si>
  <si>
    <t>FTD08</t>
  </si>
  <si>
    <t>PGD08</t>
  </si>
  <si>
    <t>FTD09</t>
  </si>
  <si>
    <t>PGD09</t>
  </si>
  <si>
    <t>FTD10</t>
  </si>
  <si>
    <t>PGD10</t>
  </si>
  <si>
    <t>FTD11</t>
  </si>
  <si>
    <t>PGD11</t>
  </si>
  <si>
    <t>FTD12</t>
  </si>
  <si>
    <t>PGD12</t>
  </si>
  <si>
    <t>TOTAL FTD</t>
  </si>
  <si>
    <t>TOTAL PGD</t>
  </si>
  <si>
    <t>📈 CONSOLIDADO GERAL</t>
  </si>
  <si>
    <t>Categoria</t>
  </si>
  <si>
    <t>Fermentadores (FTD)</t>
  </si>
  <si>
    <t>Propagadores (PGD)</t>
  </si>
  <si>
    <t>Blenders (BLD)</t>
  </si>
  <si>
    <t>TOTAL GERAL</t>
  </si>
  <si>
    <t>DESCRIÇÃO</t>
  </si>
  <si>
    <t>DN</t>
  </si>
  <si>
    <t>MARCA</t>
  </si>
  <si>
    <t>LOCAL</t>
  </si>
  <si>
    <t>TAG</t>
  </si>
  <si>
    <t xml:space="preserve">Alimentação de vapor fundo do tanque e bloco de amostra </t>
  </si>
  <si>
    <t>DN-8</t>
  </si>
  <si>
    <t xml:space="preserve">Inferior </t>
  </si>
  <si>
    <t>Bloco 2 vias fundo –  Vapor</t>
  </si>
  <si>
    <t>DN-40</t>
  </si>
  <si>
    <t>BV-09.22</t>
  </si>
  <si>
    <t>Bloco válv. 3 vias coletor de amostra Entrada tanque</t>
  </si>
  <si>
    <t>DN-15</t>
  </si>
  <si>
    <t>Bloco 2 vias fundo –  fundo</t>
  </si>
  <si>
    <t xml:space="preserve">Bloco válv. 3 vias coletor de amostra Dreno vapor </t>
  </si>
  <si>
    <t>Válvula manual</t>
  </si>
  <si>
    <t xml:space="preserve">Bloco válv. 3 vias coletor de amostra Entrada vapor </t>
  </si>
  <si>
    <t>Bloco 2 vias fundo –  vapor</t>
  </si>
  <si>
    <t>Bloco 2 vias fundo - fundo</t>
  </si>
  <si>
    <t>CIP BV</t>
  </si>
  <si>
    <t>BV - 09.25-2</t>
  </si>
  <si>
    <t>Transferência BV</t>
  </si>
  <si>
    <t xml:space="preserve">Descarte BV  </t>
  </si>
  <si>
    <t>BV - 09.25-3</t>
  </si>
  <si>
    <t xml:space="preserve">CIP BV </t>
  </si>
  <si>
    <t xml:space="preserve">CIP BV  fundo </t>
  </si>
  <si>
    <t>Superior</t>
  </si>
  <si>
    <t xml:space="preserve">Bloqueio entrada de ar pré filtro absoluto </t>
  </si>
  <si>
    <t xml:space="preserve">Descarte BV </t>
  </si>
  <si>
    <t>Descarte  BV  fundo</t>
  </si>
  <si>
    <t xml:space="preserve">Válvula injetora de vapor </t>
  </si>
  <si>
    <t>XV-09.22</t>
  </si>
  <si>
    <t>Bloco 2 vias fundo - vapor</t>
  </si>
  <si>
    <t>Entrada de vapor linha de ar pós filtro absoluto</t>
  </si>
  <si>
    <t>DN-80</t>
  </si>
  <si>
    <t>Linha vapor fundo esterilização</t>
  </si>
  <si>
    <t>BV-09.25-3 B</t>
  </si>
  <si>
    <t>Entrada de água fria</t>
  </si>
  <si>
    <t>DN-50</t>
  </si>
  <si>
    <t xml:space="preserve">Trasnferência BV </t>
  </si>
  <si>
    <t>BV - 09.25-1</t>
  </si>
  <si>
    <t xml:space="preserve">Entrada bloco BV água quente </t>
  </si>
  <si>
    <t>Trasnferência BV fundo</t>
  </si>
  <si>
    <t>Dreno BV  alimentação carbono</t>
  </si>
  <si>
    <t>DN-25</t>
  </si>
  <si>
    <t>BV - 09.07-3</t>
  </si>
  <si>
    <t xml:space="preserve">Entrada blender água quente </t>
  </si>
  <si>
    <t xml:space="preserve">Bloqueio pós gasout válvula proporcional </t>
  </si>
  <si>
    <t>Dreno BV  alimentação nitrogênio</t>
  </si>
  <si>
    <t>BV - 09.10-3</t>
  </si>
  <si>
    <t xml:space="preserve">Dreno BV alimentção água quente </t>
  </si>
  <si>
    <t>Entrada bloco BV transferência do propagador</t>
  </si>
  <si>
    <t>BV 09.16-1</t>
  </si>
  <si>
    <t xml:space="preserve">Válvula de limpeza na linha de amostra </t>
  </si>
  <si>
    <t>Dreno BV  alimentação CIP</t>
  </si>
  <si>
    <t>Entrada propagador BV transferência do propagador</t>
  </si>
  <si>
    <t>BV 09.16-2</t>
  </si>
  <si>
    <t xml:space="preserve">Entrada de ar no tanque </t>
  </si>
  <si>
    <t>Dreno BV  transferência do propagador</t>
  </si>
  <si>
    <t>BV - 09.16-3</t>
  </si>
  <si>
    <t xml:space="preserve">Dreno da linha de vapor antes do filtro absoluto </t>
  </si>
  <si>
    <t>Dreno BV alimentação água quente</t>
  </si>
  <si>
    <t>BV - 09.04-3</t>
  </si>
  <si>
    <t xml:space="preserve">Válvula de bloqueio vapor linha de ar pré filtro absoluto </t>
  </si>
  <si>
    <t>Dreno BV alimentação sais</t>
  </si>
  <si>
    <t>BV - 09.01-3</t>
  </si>
  <si>
    <t xml:space="preserve">Válvula linha de ar após filtro absoluto </t>
  </si>
  <si>
    <t xml:space="preserve">Dreno de vapor da linha de ar pré filtro absoluto </t>
  </si>
  <si>
    <t xml:space="preserve">Válvula linha de ar antes do filtro absoluto </t>
  </si>
  <si>
    <t xml:space="preserve">Dreno da linha de vapor pré filtro absoluto </t>
  </si>
  <si>
    <t xml:space="preserve">Dreno linha de ar após o filtro absoluto </t>
  </si>
  <si>
    <t xml:space="preserve">Dreno da linha de ar após do filtro absoluto </t>
  </si>
  <si>
    <t>Dreno de ar gasout</t>
  </si>
  <si>
    <t>Entrada bloco BV alimentação água quente</t>
  </si>
  <si>
    <t>BV - 09.04-1</t>
  </si>
  <si>
    <t>Linha de recebimento e transferência de produto</t>
  </si>
  <si>
    <t>Dreno de vapor da linha de ar após filtro absoluto</t>
  </si>
  <si>
    <t>Entrada bloco BV alimentação carbono</t>
  </si>
  <si>
    <t>BV - 09.07-1</t>
  </si>
  <si>
    <t xml:space="preserve">Entrada bloco BV trasferencia do fermentador </t>
  </si>
  <si>
    <t>Entrada bloco BV alimentação nitrogênio</t>
  </si>
  <si>
    <t>BV - 09.10-1</t>
  </si>
  <si>
    <t xml:space="preserve">Entrada blender  BV trasferencia do fermentador </t>
  </si>
  <si>
    <t>Entrada bloco BV alimentação sais</t>
  </si>
  <si>
    <t>BV - 09.01-1</t>
  </si>
  <si>
    <t xml:space="preserve">Dreno BV trasnferência do fermentador </t>
  </si>
  <si>
    <t>Entrada bloco BV alimentação CIP</t>
  </si>
  <si>
    <t>Entrada de ar no tanque após filtro absoluto</t>
  </si>
  <si>
    <t>XV - 09.13</t>
  </si>
  <si>
    <t>DN-65</t>
  </si>
  <si>
    <t>Entrada de vapor na linha de ar após filtro absoluto</t>
  </si>
  <si>
    <t>XV 09.10</t>
  </si>
  <si>
    <t>Entrada de vapor na linha de ar</t>
  </si>
  <si>
    <t>Entrada propagador BV alimentação água quente</t>
  </si>
  <si>
    <t>BV - 09.04-2</t>
  </si>
  <si>
    <t>Entrada propagador BV alimentação carbono</t>
  </si>
  <si>
    <t>BV - 09.07-2</t>
  </si>
  <si>
    <t xml:space="preserve">Entrada de ar pré filtro absoluto </t>
  </si>
  <si>
    <t>Entrada propagador BV alimentação nitrogênio</t>
  </si>
  <si>
    <t>BV - 09.10-2</t>
  </si>
  <si>
    <t>Entrada blender BV alimentação CIP</t>
  </si>
  <si>
    <t xml:space="preserve">Entrada espumante / inoculante </t>
  </si>
  <si>
    <t>Entrada propagador BV alimentação sais</t>
  </si>
  <si>
    <t>BV - 09.01-2</t>
  </si>
  <si>
    <t>Dreno BV alimentação CIP</t>
  </si>
  <si>
    <t>Entrada fermentador BV alimentação água quente</t>
  </si>
  <si>
    <t xml:space="preserve">Válvula de bloqueio de vapor da linha de ar pré filtro absoluto </t>
  </si>
  <si>
    <t xml:space="preserve">Entrada de vapor na linha de produto </t>
  </si>
  <si>
    <t>Entrada fermentador BV alimentação carbono</t>
  </si>
  <si>
    <t>Válvula de bloqueio linha de ar pós filtro absoluto</t>
  </si>
  <si>
    <t>Entrada fermentador BV alimentação CIP</t>
  </si>
  <si>
    <t>Vapor linha alimentação nitrogênio</t>
  </si>
  <si>
    <t>XV-09.04</t>
  </si>
  <si>
    <t>Entrada fermentador BV alimentação nitrogênio</t>
  </si>
  <si>
    <t>Vapor linha de sais</t>
  </si>
  <si>
    <t>XV-09.01</t>
  </si>
  <si>
    <t>Entrada fermentador BV alimentação sais</t>
  </si>
  <si>
    <t>Vapor linha transferência</t>
  </si>
  <si>
    <t>XV-09.07</t>
  </si>
  <si>
    <t>Entrada fermentador BV transferência do propagador</t>
  </si>
  <si>
    <t xml:space="preserve">Entrada bloco BV alimentação CIP </t>
  </si>
  <si>
    <t>XV-09.13-1</t>
  </si>
  <si>
    <t xml:space="preserve">Entrada propagador BV alimentação CIP </t>
  </si>
  <si>
    <t>XV-09.13-2</t>
  </si>
  <si>
    <t>Válvula linha de ar após filtro absoluto</t>
  </si>
  <si>
    <t xml:space="preserve">Dreno BV alimentação CIP </t>
  </si>
  <si>
    <t>XV-09.13-3</t>
  </si>
  <si>
    <t xml:space="preserve">Válvla de bloqueio de vapor fundo tanque e bloco 3 vias de amostra </t>
  </si>
  <si>
    <t xml:space="preserve">Manual </t>
  </si>
  <si>
    <t xml:space="preserve">Local </t>
  </si>
  <si>
    <t>Inferior/superior</t>
  </si>
  <si>
    <t>Qnt. Diafragma</t>
  </si>
  <si>
    <t>Inferior</t>
  </si>
  <si>
    <t>Entrada de ar no tanque pós filtro absoluto</t>
  </si>
  <si>
    <t>Bloqueio entrada de ar pré filtro absoluto</t>
  </si>
  <si>
    <t>Bloqueio entrada de ar pós filtro absoluto</t>
  </si>
  <si>
    <t xml:space="preserve">Dreno linha de ar pós filtro absoluto </t>
  </si>
  <si>
    <t xml:space="preserve">Dreno linha de ar pré filtro absoluto </t>
  </si>
  <si>
    <t>Entrada de ar pré filtro absoluto</t>
  </si>
  <si>
    <t>Inferior ou Superior?</t>
  </si>
  <si>
    <t>Sup</t>
  </si>
  <si>
    <t>Dreno BV  alimentação CIP</t>
  </si>
  <si>
    <t>Tem um a mais no F11 e no F12</t>
  </si>
  <si>
    <t>OK</t>
  </si>
  <si>
    <t>Só no F9 ta como DN-40</t>
  </si>
  <si>
    <t>F9 Ñ usa DN50</t>
  </si>
  <si>
    <t>Só no F9 tá como DN-40</t>
  </si>
  <si>
    <t>Espumante</t>
  </si>
  <si>
    <t>F7, 8 e 9 como DN-15, F10 DN-25</t>
  </si>
  <si>
    <t>Entrada espumante / inoculante</t>
  </si>
  <si>
    <t>PRONTUÁRIO REVISÃO VÁLVULAS DIAFRAGMA FERMENTADOR</t>
  </si>
  <si>
    <t xml:space="preserve">Equipamento: </t>
  </si>
  <si>
    <t>Fermentador 1</t>
  </si>
  <si>
    <t>Data Abertura Documento:</t>
  </si>
  <si>
    <t>CAMM: 2</t>
  </si>
  <si>
    <t>N° OM:</t>
  </si>
  <si>
    <t>Estado (vida util).</t>
  </si>
  <si>
    <t>LOCAL DO TANQUE</t>
  </si>
  <si>
    <t>MEDIDA</t>
  </si>
  <si>
    <t>CÓDIGO</t>
  </si>
  <si>
    <t>MARCA DIAFR.</t>
  </si>
  <si>
    <t>TROCAR / AVALIAR</t>
  </si>
  <si>
    <t>DATA:</t>
  </si>
  <si>
    <t>TROCADO? (S/N)</t>
  </si>
  <si>
    <t>TÉCNICO</t>
  </si>
  <si>
    <t>BV - 14.24</t>
  </si>
  <si>
    <t xml:space="preserve"> 1 ½”</t>
  </si>
  <si>
    <t>MAN8921</t>
  </si>
  <si>
    <t>Trocar</t>
  </si>
  <si>
    <t>BV - 14.27-1</t>
  </si>
  <si>
    <t>BV - 14.27-2</t>
  </si>
  <si>
    <t>BV - 14.27-3</t>
  </si>
  <si>
    <t>BV - 14.27-3B</t>
  </si>
  <si>
    <t>1/2"</t>
  </si>
  <si>
    <t>MAN10487</t>
  </si>
  <si>
    <t xml:space="preserve"> ½”</t>
  </si>
  <si>
    <t>Avaliar</t>
  </si>
  <si>
    <t>MAN3918</t>
  </si>
  <si>
    <t>XV - 14.15</t>
  </si>
  <si>
    <t>4"</t>
  </si>
  <si>
    <t>MAN10113</t>
  </si>
  <si>
    <t>XV - 14.24</t>
  </si>
  <si>
    <t>BV - 14.03-1</t>
  </si>
  <si>
    <t>1 ½”</t>
  </si>
  <si>
    <t>BV - 14.03-2</t>
  </si>
  <si>
    <t>BV - 14.03-3</t>
  </si>
  <si>
    <t>BV - 14.06-1</t>
  </si>
  <si>
    <t>2"</t>
  </si>
  <si>
    <t>MAN2089</t>
  </si>
  <si>
    <t>BV - 14.06-2</t>
  </si>
  <si>
    <t>BV - 14.06-3</t>
  </si>
  <si>
    <t>BV - 14.09-1</t>
  </si>
  <si>
    <t>BV - 14.09-2</t>
  </si>
  <si>
    <t>BV - 14.09-3</t>
  </si>
  <si>
    <t>BV - 14.12-1</t>
  </si>
  <si>
    <t>BV - 14.12-2</t>
  </si>
  <si>
    <t>BV - 14.12-3</t>
  </si>
  <si>
    <t>BV - 14.15-1</t>
  </si>
  <si>
    <t>1"</t>
  </si>
  <si>
    <t>MAN2440</t>
  </si>
  <si>
    <t>BV - 14.15-2</t>
  </si>
  <si>
    <t>BV - 14.15-3</t>
  </si>
  <si>
    <t>BV - 14.18-1</t>
  </si>
  <si>
    <t>BV - 14.18-2</t>
  </si>
  <si>
    <t>BV - 14.18-3</t>
  </si>
  <si>
    <t>XV  - 14.12</t>
  </si>
  <si>
    <t>XV - 14.03</t>
  </si>
  <si>
    <t>XV - 14.06</t>
  </si>
  <si>
    <t>XV - 14.09</t>
  </si>
  <si>
    <t>INSTRUÇÕES/ OBSERVAÇÕES</t>
  </si>
  <si>
    <t>OS NIVEIS DE ESTADOS (VIDA UTIL DO DIAFRAGMA) PODEM SER AVALIADOS DE MANEIRA VISUAL PELO TECNICO DE ACORDO COM O DESGASTE DO DIAFRAGMA</t>
  </si>
  <si>
    <t xml:space="preserve">1 - 0% - DIAFRAGMA ESTA ROMPIDO OU MUITO DEFORMADO COM VAZAMENTOS ; </t>
  </si>
  <si>
    <t>2 - 25% - DIAFRAGMA Avaliar ESTA ROMPIDO MAS ESTA DEFORMADO PODENDO CAUSAR VAZAMENTOS;</t>
  </si>
  <si>
    <t xml:space="preserve">3 - 50% - DIAFRAGMA ESTA COM "MEIA VIDA" USADO POREM AINDA BOM; </t>
  </si>
  <si>
    <t>4 - 90% - DIAFRAGMA EM BOM ESTADO DE CONSERVAÇÃO;</t>
  </si>
  <si>
    <t>OBSERVAÇÕES TÉCNICOS (Campo de uso exclusivo técnicos)</t>
  </si>
  <si>
    <t>PLANO TROCA DE PRODUTO</t>
  </si>
  <si>
    <t>MAN</t>
  </si>
  <si>
    <t>QNT</t>
  </si>
  <si>
    <t>PLANO TROCA POR BATELADAS</t>
  </si>
  <si>
    <t>Fermentador 2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</si>
  <si>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17/07/2026</t>
    </r>
  </si>
  <si>
    <r>
      <t xml:space="preserve">N° OM: </t>
    </r>
    <r>
      <rPr>
        <sz val="11"/>
        <color theme="1"/>
        <rFont val="Aptos Narrow"/>
        <family val="2"/>
        <scheme val="minor"/>
      </rPr>
      <t>42694</t>
    </r>
  </si>
  <si>
    <t>BV - 13.24</t>
  </si>
  <si>
    <t>SIM</t>
  </si>
  <si>
    <t>X</t>
  </si>
  <si>
    <t>ROBSON</t>
  </si>
  <si>
    <t>BV - 13.27-1</t>
  </si>
  <si>
    <t>BV - 13.27-2</t>
  </si>
  <si>
    <t>BV - 13.27-3</t>
  </si>
  <si>
    <t>BV - 13.27-3B</t>
  </si>
  <si>
    <t>NÃO</t>
  </si>
  <si>
    <t>XV - 13.24</t>
  </si>
  <si>
    <t>BV - 13.03-1</t>
  </si>
  <si>
    <t>BV - 13.03-2</t>
  </si>
  <si>
    <t>BV - 13.03-3</t>
  </si>
  <si>
    <t>BV - 13.06-1</t>
  </si>
  <si>
    <t>BV - 13.06-2</t>
  </si>
  <si>
    <t>BV - 13.06-3</t>
  </si>
  <si>
    <t>BV - 13.09-1</t>
  </si>
  <si>
    <t>BV - 13.09-2</t>
  </si>
  <si>
    <t>BV - 13.09-3</t>
  </si>
  <si>
    <t>BV - 13.12-1</t>
  </si>
  <si>
    <t>BV - 13.12-2</t>
  </si>
  <si>
    <t>BV - 13.12-3</t>
  </si>
  <si>
    <t>BV - 13.15-1</t>
  </si>
  <si>
    <t>BV - 13.15-2</t>
  </si>
  <si>
    <t>BV - 13.15-3</t>
  </si>
  <si>
    <t>BV - 13.18-1</t>
  </si>
  <si>
    <t>BV - 13.18-2</t>
  </si>
  <si>
    <t>BV - 13.18-3</t>
  </si>
  <si>
    <t>XV  - 13.12</t>
  </si>
  <si>
    <t>XV - 13.03</t>
  </si>
  <si>
    <t>XV - 13.06</t>
  </si>
  <si>
    <t>XV - 13.09</t>
  </si>
  <si>
    <t>XV - 13.15</t>
  </si>
  <si>
    <t>Fermentador 3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</si>
  <si>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22/07/2026</t>
    </r>
  </si>
  <si>
    <r>
      <t xml:space="preserve">N° OM: </t>
    </r>
    <r>
      <rPr>
        <sz val="11"/>
        <color theme="1"/>
        <rFont val="Aptos Narrow"/>
        <family val="2"/>
        <scheme val="minor"/>
      </rPr>
      <t>OM00042704</t>
    </r>
  </si>
  <si>
    <t>BV - 12.24</t>
  </si>
  <si>
    <t>BV - 12.27-1</t>
  </si>
  <si>
    <t>BV - 12.27-2</t>
  </si>
  <si>
    <t>BV - 12.27-3</t>
  </si>
  <si>
    <t>BV 12.27-3B</t>
  </si>
  <si>
    <t>XV - 12.15</t>
  </si>
  <si>
    <t>XV - 12.24</t>
  </si>
  <si>
    <t>BV - 12.03-1</t>
  </si>
  <si>
    <t>AGNALDO</t>
  </si>
  <si>
    <t>BV - 12.03-2</t>
  </si>
  <si>
    <t>BV - 12.03-3</t>
  </si>
  <si>
    <t>BV - 12.06-1</t>
  </si>
  <si>
    <t>BV - 12.06-2</t>
  </si>
  <si>
    <t>BV - 12.06-3</t>
  </si>
  <si>
    <t>BV - 12.09-1</t>
  </si>
  <si>
    <t>BV - 12.09-2</t>
  </si>
  <si>
    <t>BV - 12.09-3</t>
  </si>
  <si>
    <t>BV - 12.12-1</t>
  </si>
  <si>
    <t>BV - 12.12-2</t>
  </si>
  <si>
    <t>BV - 12.12-3</t>
  </si>
  <si>
    <t>BV - 12.15-1</t>
  </si>
  <si>
    <t>BV - 12.15-2</t>
  </si>
  <si>
    <t>BV - 12.15-3</t>
  </si>
  <si>
    <t>BV - 12.18-1</t>
  </si>
  <si>
    <t>MOTTA</t>
  </si>
  <si>
    <t>BV - 12.18-2</t>
  </si>
  <si>
    <t>BV - 12.18-3</t>
  </si>
  <si>
    <t>XV - 12.03</t>
  </si>
  <si>
    <t>XV - 12.07</t>
  </si>
  <si>
    <t>XV - 12.09</t>
  </si>
  <si>
    <t>XV - 12.12</t>
  </si>
  <si>
    <t>Fermentador 4</t>
  </si>
  <si>
    <t xml:space="preserve">Data Abertura Documento: </t>
  </si>
  <si>
    <t>BV - 15.24</t>
  </si>
  <si>
    <t>BV - 15.27-1</t>
  </si>
  <si>
    <t>BV - 15.27-2</t>
  </si>
  <si>
    <t>BV - 15.27-3</t>
  </si>
  <si>
    <t>BV - 15.27-3B</t>
  </si>
  <si>
    <t>REVISADO</t>
  </si>
  <si>
    <t>XV - 15.15</t>
  </si>
  <si>
    <t>LUCAS</t>
  </si>
  <si>
    <t>XV - 15.24</t>
  </si>
  <si>
    <t>BV - 15.03-1</t>
  </si>
  <si>
    <t>BV - 15.03-2</t>
  </si>
  <si>
    <t>BV - 15.03-3</t>
  </si>
  <si>
    <t>BV - 15.06-1</t>
  </si>
  <si>
    <t>BV - 15.06-2</t>
  </si>
  <si>
    <t>BV - 15.06-3</t>
  </si>
  <si>
    <t>BV - 15.09-1</t>
  </si>
  <si>
    <t>BV - 15.09-2</t>
  </si>
  <si>
    <t>BV - 15.09-3</t>
  </si>
  <si>
    <t>BV - 15.12-1</t>
  </si>
  <si>
    <t>BV - 15.12-2</t>
  </si>
  <si>
    <t>BV - 15.12-3</t>
  </si>
  <si>
    <t>BV - 15.15-1</t>
  </si>
  <si>
    <t>BV - 15.15-2</t>
  </si>
  <si>
    <t>BV - 15.15-3</t>
  </si>
  <si>
    <t>BV - 15.18-1</t>
  </si>
  <si>
    <t>BV - 15.18-2</t>
  </si>
  <si>
    <t>BV - 15.18-3</t>
  </si>
  <si>
    <t>XV - 15.03</t>
  </si>
  <si>
    <t>XV - 15.06</t>
  </si>
  <si>
    <t>XV - 15.09</t>
  </si>
  <si>
    <t>XV-15.12</t>
  </si>
  <si>
    <t>Fermentador 5</t>
  </si>
  <si>
    <t>BV - 13.23</t>
  </si>
  <si>
    <t>MARCOS</t>
  </si>
  <si>
    <t>BV - 13.26-1</t>
  </si>
  <si>
    <t>BV - 13.26-2</t>
  </si>
  <si>
    <t>BV - 13.26-3</t>
  </si>
  <si>
    <t>BV - 13.26-3B</t>
  </si>
  <si>
    <t>XV - 13.14</t>
  </si>
  <si>
    <t>XV - 13.23</t>
  </si>
  <si>
    <t>BV - 13.02-1</t>
  </si>
  <si>
    <t>BV - 13.02-2</t>
  </si>
  <si>
    <t>BV - 13.02-3</t>
  </si>
  <si>
    <t>BV - 13.05-1</t>
  </si>
  <si>
    <t>BV - 13.05-2</t>
  </si>
  <si>
    <t>BV - 13.05-3</t>
  </si>
  <si>
    <t>BV - 13.08-1</t>
  </si>
  <si>
    <t>BV - 13.08-2</t>
  </si>
  <si>
    <t>BV - 13.08-3</t>
  </si>
  <si>
    <t>BV - 13.11-1</t>
  </si>
  <si>
    <t>BV - 13.11-2</t>
  </si>
  <si>
    <t>BV - 13.11-3</t>
  </si>
  <si>
    <t>BV - 13.14-1</t>
  </si>
  <si>
    <t>BV - 13.14-2</t>
  </si>
  <si>
    <t>BV - 13.14-3</t>
  </si>
  <si>
    <t>BV - 13.17-1</t>
  </si>
  <si>
    <t>BV - 13.17-2</t>
  </si>
  <si>
    <t>BV - 13.17-3</t>
  </si>
  <si>
    <t>XV - 13.02</t>
  </si>
  <si>
    <t>XV - 13.05</t>
  </si>
  <si>
    <t>XV - 13.08</t>
  </si>
  <si>
    <t>XV 13.11</t>
  </si>
  <si>
    <t>Fermentador 6</t>
  </si>
  <si>
    <t>BV - 12.23</t>
  </si>
  <si>
    <t>BV - 12.26-1</t>
  </si>
  <si>
    <t>BV - 12.26-2</t>
  </si>
  <si>
    <t>BV - 12.26-3</t>
  </si>
  <si>
    <t>BV-12.26-3B</t>
  </si>
  <si>
    <t>½”</t>
  </si>
  <si>
    <t>XV - 12.14</t>
  </si>
  <si>
    <t>XV - 12.23</t>
  </si>
  <si>
    <t>BV - 12.02-1</t>
  </si>
  <si>
    <t>BV - 12.02-2</t>
  </si>
  <si>
    <t>BV - 12.02-3</t>
  </si>
  <si>
    <t>BV - 12.05-1</t>
  </si>
  <si>
    <t>BV - 12.05-2</t>
  </si>
  <si>
    <t>BV - 12.05-3</t>
  </si>
  <si>
    <t>BV - 12.08-1</t>
  </si>
  <si>
    <t>BV - 12.08-2</t>
  </si>
  <si>
    <t>BV - 12.08-3</t>
  </si>
  <si>
    <t>BV - 12.11-1</t>
  </si>
  <si>
    <t>BV - 12.11-2</t>
  </si>
  <si>
    <t>BV - 12.11-3</t>
  </si>
  <si>
    <t>BV - 12.14-1</t>
  </si>
  <si>
    <t>BV - 12.14-2</t>
  </si>
  <si>
    <t>BV - 12.14-3</t>
  </si>
  <si>
    <t>BV - 12.17-1</t>
  </si>
  <si>
    <t>BV - 12.17-2</t>
  </si>
  <si>
    <t>BV - 12.17-3</t>
  </si>
  <si>
    <t>XV - 12.02</t>
  </si>
  <si>
    <t>XV - 12.05</t>
  </si>
  <si>
    <t>XV - 12.08</t>
  </si>
  <si>
    <t>XV-12.11</t>
  </si>
  <si>
    <t>Fermentador 7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</si>
  <si>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24/07/2026</t>
    </r>
  </si>
  <si>
    <r>
      <t xml:space="preserve">N° OM: </t>
    </r>
    <r>
      <rPr>
        <sz val="11"/>
        <color theme="1"/>
        <rFont val="Aptos Narrow"/>
        <family val="2"/>
        <scheme val="minor"/>
      </rPr>
      <t>42700</t>
    </r>
  </si>
  <si>
    <t>BV - 15.22</t>
  </si>
  <si>
    <t>BV - 15.25-1</t>
  </si>
  <si>
    <t>BV - 15.25-2</t>
  </si>
  <si>
    <t>BV - 15.25-3</t>
  </si>
  <si>
    <t>BV - 15.25-3B</t>
  </si>
  <si>
    <t>XV - 15.13</t>
  </si>
  <si>
    <t>XV - 15.22</t>
  </si>
  <si>
    <t>BV - 15.01-1</t>
  </si>
  <si>
    <t>BV - 15.01-2</t>
  </si>
  <si>
    <t>BV - 15.01-3</t>
  </si>
  <si>
    <t>BV - 15.04-1</t>
  </si>
  <si>
    <t>BV - 15.04-2</t>
  </si>
  <si>
    <t>BV - 15.04-3</t>
  </si>
  <si>
    <t>BV - 15.07-1</t>
  </si>
  <si>
    <t>BV - 15.07-2</t>
  </si>
  <si>
    <t>BV - 15.07-3</t>
  </si>
  <si>
    <t>BV - 15.10-1</t>
  </si>
  <si>
    <t>BV - 15.10-2</t>
  </si>
  <si>
    <t>BV - 15.10-3</t>
  </si>
  <si>
    <t>BV - 15.13-1</t>
  </si>
  <si>
    <t>BV - 15.13-2</t>
  </si>
  <si>
    <t>BV - 15.13-3</t>
  </si>
  <si>
    <t>BV - 15.16-1</t>
  </si>
  <si>
    <t>BV - 15.16-2</t>
  </si>
  <si>
    <t>BV - 15.16-3</t>
  </si>
  <si>
    <t xml:space="preserve">Válvula manual </t>
  </si>
  <si>
    <t xml:space="preserve">Espumante </t>
  </si>
  <si>
    <t>XV - 15.01</t>
  </si>
  <si>
    <t>XV - 15.04</t>
  </si>
  <si>
    <t>XV - 15.07</t>
  </si>
  <si>
    <t>XV 15.10</t>
  </si>
  <si>
    <t>Fermentador 8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</si>
  <si>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22/04/202</t>
    </r>
    <r>
      <rPr>
        <b/>
        <sz val="11"/>
        <color theme="1"/>
        <rFont val="Aptos Narrow"/>
        <family val="2"/>
        <scheme val="minor"/>
      </rPr>
      <t>6</t>
    </r>
  </si>
  <si>
    <t>BV - 15.23</t>
  </si>
  <si>
    <t>BV - 15.26-1</t>
  </si>
  <si>
    <t>BV - 15.26-2</t>
  </si>
  <si>
    <t>BV - 15.26-3</t>
  </si>
  <si>
    <t>BV - 15.26-3B</t>
  </si>
  <si>
    <t>XV - 15.14</t>
  </si>
  <si>
    <t>XV - 15.23</t>
  </si>
  <si>
    <t>BV - 15.02-1</t>
  </si>
  <si>
    <t>BV - 15.02-2</t>
  </si>
  <si>
    <t>BV - 15.02-3</t>
  </si>
  <si>
    <t>BV - 15.05-1</t>
  </si>
  <si>
    <t>BV - 15.05-2</t>
  </si>
  <si>
    <t>BV - 15.05-3</t>
  </si>
  <si>
    <t>BV - 15.08-1</t>
  </si>
  <si>
    <t>BV - 15.08-2</t>
  </si>
  <si>
    <t>BV - 15.08-3</t>
  </si>
  <si>
    <t>BV - 15.11-1</t>
  </si>
  <si>
    <t>BV - 15.11-2</t>
  </si>
  <si>
    <t>BV - 15.11-3</t>
  </si>
  <si>
    <t>BV - 15.14-1</t>
  </si>
  <si>
    <t>BV - 15.14-2</t>
  </si>
  <si>
    <t>BV - 15.14-3</t>
  </si>
  <si>
    <t>BV - 15.17-1</t>
  </si>
  <si>
    <t>BV - 15.17-2</t>
  </si>
  <si>
    <t>BV - 15.17-3</t>
  </si>
  <si>
    <t>XV - 15.02</t>
  </si>
  <si>
    <t>XV - 15.05</t>
  </si>
  <si>
    <t>XV - 15.08</t>
  </si>
  <si>
    <t>XV 15.11</t>
  </si>
  <si>
    <t>Fermentador 9</t>
  </si>
  <si>
    <t xml:space="preserve"> </t>
  </si>
  <si>
    <t>BV - 14.23</t>
  </si>
  <si>
    <t>BV - 14.26-1</t>
  </si>
  <si>
    <t>BV - 14.26-2</t>
  </si>
  <si>
    <t>BV - 14.26-3</t>
  </si>
  <si>
    <t>BV - 14.26-3B</t>
  </si>
  <si>
    <t>inferior</t>
  </si>
  <si>
    <t>XV - 14.14</t>
  </si>
  <si>
    <t>XV - 14.23</t>
  </si>
  <si>
    <t>BV - 14.02-1</t>
  </si>
  <si>
    <t>BV - 14.02-2</t>
  </si>
  <si>
    <t>BV - 14.02-3</t>
  </si>
  <si>
    <t>BV - 14.05-1</t>
  </si>
  <si>
    <t>BV - 14.05-2</t>
  </si>
  <si>
    <t>BV - 14.05-3</t>
  </si>
  <si>
    <t>BV - 14.08-1</t>
  </si>
  <si>
    <t>BV - 14.08-2</t>
  </si>
  <si>
    <t>BV - 14.08-3</t>
  </si>
  <si>
    <t>BV - 14.11-1</t>
  </si>
  <si>
    <t>BV - 14.11-2</t>
  </si>
  <si>
    <t>BV - 14.11-3</t>
  </si>
  <si>
    <t>BV - 14.14-1</t>
  </si>
  <si>
    <t>BV - 14.14-2</t>
  </si>
  <si>
    <t>BV - 14.14-3</t>
  </si>
  <si>
    <t>BV - 14.17-1</t>
  </si>
  <si>
    <t>BV - 14.17-2</t>
  </si>
  <si>
    <t>BV - 14.17-3</t>
  </si>
  <si>
    <t>XV - 14.02</t>
  </si>
  <si>
    <t>XV - 14.05</t>
  </si>
  <si>
    <t>XV - 14.08</t>
  </si>
  <si>
    <t>XV 14.11</t>
  </si>
  <si>
    <t>Fermentador 10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</si>
  <si>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03/07/2026</t>
    </r>
  </si>
  <si>
    <r>
      <t xml:space="preserve">N° OM: </t>
    </r>
    <r>
      <rPr>
        <sz val="11"/>
        <color theme="1"/>
        <rFont val="Aptos Narrow"/>
        <family val="2"/>
        <scheme val="minor"/>
      </rPr>
      <t>42516</t>
    </r>
  </si>
  <si>
    <t>BV - 12.22</t>
  </si>
  <si>
    <t>BV - 12.25-1</t>
  </si>
  <si>
    <t>ALEXANDRO</t>
  </si>
  <si>
    <t>BV - 12.25-2</t>
  </si>
  <si>
    <t>BV - 12.25-3</t>
  </si>
  <si>
    <t>BV - 12.25-3B</t>
  </si>
  <si>
    <t>XV - 12.13</t>
  </si>
  <si>
    <t>XV - 12.22</t>
  </si>
  <si>
    <t>BV - 12.01-1</t>
  </si>
  <si>
    <t>BV - 12.01-2</t>
  </si>
  <si>
    <t>BV - 12.01-3</t>
  </si>
  <si>
    <t>BV - 12.04-1</t>
  </si>
  <si>
    <t>BV - 12.04-2</t>
  </si>
  <si>
    <t>BV - 12.04-3</t>
  </si>
  <si>
    <t>BV - 12.07-1</t>
  </si>
  <si>
    <t>BV - 12.07-2</t>
  </si>
  <si>
    <t>BV - 12.07-3</t>
  </si>
  <si>
    <t>BV - 12.10-1</t>
  </si>
  <si>
    <t>BV - 12.10-2</t>
  </si>
  <si>
    <t>BV - 12.10-3</t>
  </si>
  <si>
    <t>BV - 12.13-1</t>
  </si>
  <si>
    <t>BV - 12.13-2</t>
  </si>
  <si>
    <t>BV - 12.13-3</t>
  </si>
  <si>
    <t>BV - 12.16-1</t>
  </si>
  <si>
    <t>BV - 12.16-2</t>
  </si>
  <si>
    <t>BV - 12.16-3</t>
  </si>
  <si>
    <t>XV - 12.01</t>
  </si>
  <si>
    <t>XV - 12.04</t>
  </si>
  <si>
    <t>XV 12.10</t>
  </si>
  <si>
    <t>Fermentador 11</t>
  </si>
  <si>
    <t>BV - 14.22</t>
  </si>
  <si>
    <t>BV - 14.25-1</t>
  </si>
  <si>
    <t>BV - 14.25-2</t>
  </si>
  <si>
    <t>BV - 14.25-3</t>
  </si>
  <si>
    <t>BV - 14.25-3B</t>
  </si>
  <si>
    <t>XV - 14.13</t>
  </si>
  <si>
    <t>XV - 14.22</t>
  </si>
  <si>
    <t>BV - 14.01-1</t>
  </si>
  <si>
    <t>BV - 14.01-2</t>
  </si>
  <si>
    <t>BV - 14.01-3</t>
  </si>
  <si>
    <t>BV - 14.04-1</t>
  </si>
  <si>
    <t>BV - 14.04-2</t>
  </si>
  <si>
    <t>BV - 14.04-3</t>
  </si>
  <si>
    <t>BV - 14.07-1</t>
  </si>
  <si>
    <t>BV - 14.07-2</t>
  </si>
  <si>
    <t>BV - 14.07-3</t>
  </si>
  <si>
    <t>BV - 14.10-1</t>
  </si>
  <si>
    <t>BV - 14.10-2</t>
  </si>
  <si>
    <t>BV - 14.10-3</t>
  </si>
  <si>
    <t>BV - 14.13-1</t>
  </si>
  <si>
    <t>BV - 14.13-2</t>
  </si>
  <si>
    <t>BV - 14.13-3</t>
  </si>
  <si>
    <t>BV - 14.16-1</t>
  </si>
  <si>
    <t>BV - 14.16-2</t>
  </si>
  <si>
    <t>BV - 14.16-3</t>
  </si>
  <si>
    <t>XV - 14.01</t>
  </si>
  <si>
    <t>XV - 14.04</t>
  </si>
  <si>
    <t>XV - 14.07</t>
  </si>
  <si>
    <t>XV 14.10</t>
  </si>
  <si>
    <t>Fermentador 12</t>
  </si>
  <si>
    <r>
      <t xml:space="preserve">N° OM: </t>
    </r>
    <r>
      <rPr>
        <sz val="11"/>
        <color theme="1"/>
        <rFont val="Aptos Narrow"/>
        <family val="2"/>
        <scheme val="minor"/>
      </rPr>
      <t>42144</t>
    </r>
  </si>
  <si>
    <t>BV - 13.22</t>
  </si>
  <si>
    <t>BV - 13.25-1</t>
  </si>
  <si>
    <t>BV - 13.25-2</t>
  </si>
  <si>
    <t>BV - 13.25-3</t>
  </si>
  <si>
    <t>BV - 13.25-3B</t>
  </si>
  <si>
    <t xml:space="preserve">ZDL </t>
  </si>
  <si>
    <t>XV - 13.13</t>
  </si>
  <si>
    <t>XV - 13.22</t>
  </si>
  <si>
    <t>BV - 13.01-1</t>
  </si>
  <si>
    <t>BV - 13.01-2</t>
  </si>
  <si>
    <t>BV - 13.01-3</t>
  </si>
  <si>
    <t>BV - 13.04-1</t>
  </si>
  <si>
    <t>BV - 13.04-2</t>
  </si>
  <si>
    <t>BV - 13.04-3</t>
  </si>
  <si>
    <t>BV - 13.07-1</t>
  </si>
  <si>
    <t>BV - 13.07-2</t>
  </si>
  <si>
    <t>BV - 13.07-3</t>
  </si>
  <si>
    <t>BV - 13.10-1</t>
  </si>
  <si>
    <t>BV - 13.10-2</t>
  </si>
  <si>
    <t>BV - 13.10-3</t>
  </si>
  <si>
    <t>BV - 13.13-1</t>
  </si>
  <si>
    <t>BV - 13.13-2</t>
  </si>
  <si>
    <t>BV - 13.13-3</t>
  </si>
  <si>
    <t>BV - 13.16-1</t>
  </si>
  <si>
    <t>BV - 13.16-2</t>
  </si>
  <si>
    <t>BV - 13.16-3</t>
  </si>
  <si>
    <t>FELIPE F.</t>
  </si>
  <si>
    <t>XV - 13.01</t>
  </si>
  <si>
    <t>XV - 13.04</t>
  </si>
  <si>
    <t>XV - 13.07</t>
  </si>
  <si>
    <t>XV 13.10</t>
  </si>
  <si>
    <t>MAN10114</t>
  </si>
  <si>
    <t xml:space="preserve">   </t>
  </si>
  <si>
    <t>Propagador 1</t>
  </si>
  <si>
    <t>BV - 09.25-3 B</t>
  </si>
  <si>
    <t>Propagador 2</t>
  </si>
  <si>
    <r>
      <t xml:space="preserve">N° OM: </t>
    </r>
    <r>
      <rPr>
        <sz val="11"/>
        <color theme="1"/>
        <rFont val="Aptos Narrow"/>
        <family val="2"/>
        <scheme val="minor"/>
      </rPr>
      <t>42704</t>
    </r>
  </si>
  <si>
    <t>OM:</t>
  </si>
  <si>
    <t>BV - 10.26-1</t>
  </si>
  <si>
    <t>BV - 10.26-2</t>
  </si>
  <si>
    <t>BV - 10.26-3</t>
  </si>
  <si>
    <t>BV - 10.26-3B</t>
  </si>
  <si>
    <t>BV-10.23</t>
  </si>
  <si>
    <t>XV - 10.14</t>
  </si>
  <si>
    <t>XV-10.23</t>
  </si>
  <si>
    <t>BV - 10.02-1</t>
  </si>
  <si>
    <t>BV - 10.02-2</t>
  </si>
  <si>
    <t>BV - 10.02-3</t>
  </si>
  <si>
    <t>BV - 10.05-1</t>
  </si>
  <si>
    <t>BV - 10.05-2</t>
  </si>
  <si>
    <t>BV - 10.05-3</t>
  </si>
  <si>
    <t>BV - 10.08-1</t>
  </si>
  <si>
    <t>BV - 10.08-2</t>
  </si>
  <si>
    <t>BV - 10.08-3</t>
  </si>
  <si>
    <t>BV - 10.11-1</t>
  </si>
  <si>
    <t>BV - 10.11-2</t>
  </si>
  <si>
    <t>BV - 10.11-3</t>
  </si>
  <si>
    <t>BV - 10.17-1</t>
  </si>
  <si>
    <t>BV - 10.17-2</t>
  </si>
  <si>
    <t>BV - 10.17-3</t>
  </si>
  <si>
    <t>BV-10.14-1</t>
  </si>
  <si>
    <t>BV-10.14-2</t>
  </si>
  <si>
    <t>BV-10.14-3</t>
  </si>
  <si>
    <t>XV 10.08</t>
  </si>
  <si>
    <t>XV 10.11</t>
  </si>
  <si>
    <t>XV-10.02</t>
  </si>
  <si>
    <t>XV-10.05</t>
  </si>
  <si>
    <t>Propagador 3</t>
  </si>
  <si>
    <t>BV - 11.27-1</t>
  </si>
  <si>
    <t>BV - 11.27-2</t>
  </si>
  <si>
    <t>BV - 11.27-3</t>
  </si>
  <si>
    <t>BV - 11-27-3B</t>
  </si>
  <si>
    <t>BV-11.24</t>
  </si>
  <si>
    <t>XV - 11.15</t>
  </si>
  <si>
    <t>XV-11.24</t>
  </si>
  <si>
    <t>BV - 11.03-1</t>
  </si>
  <si>
    <t>BV - 11.03-2</t>
  </si>
  <si>
    <t>BV - 11.03-3</t>
  </si>
  <si>
    <t>BV - 11.06-1</t>
  </si>
  <si>
    <t>BV - 11.06-2</t>
  </si>
  <si>
    <t>BV - 11.06-3</t>
  </si>
  <si>
    <t>BV - 11.09-1</t>
  </si>
  <si>
    <t>BV - 11.09-2</t>
  </si>
  <si>
    <t>BV - 11.09-3</t>
  </si>
  <si>
    <t>BV - 11.12-1</t>
  </si>
  <si>
    <t>BV - 11.12-2</t>
  </si>
  <si>
    <t>BV - 11.12-3</t>
  </si>
  <si>
    <t>BV - 11.18-1</t>
  </si>
  <si>
    <t>BV - 11.18-2</t>
  </si>
  <si>
    <t>BV 11.18-3</t>
  </si>
  <si>
    <t>XV 11.09</t>
  </si>
  <si>
    <t>XV 11.12</t>
  </si>
  <si>
    <t>XV-11.03</t>
  </si>
  <si>
    <t>XV-11.06</t>
  </si>
  <si>
    <t>XV-11.15-1</t>
  </si>
  <si>
    <t>XV-11.15-2</t>
  </si>
  <si>
    <t>XV-11.15-3</t>
  </si>
  <si>
    <t>Propagador 4</t>
  </si>
  <si>
    <t>Data Abertura Documento: 30/07/2026</t>
  </si>
  <si>
    <r>
      <t xml:space="preserve">N° OM: </t>
    </r>
    <r>
      <rPr>
        <sz val="11"/>
        <color theme="1"/>
        <rFont val="Aptos Narrow"/>
        <family val="2"/>
        <scheme val="minor"/>
      </rPr>
      <t>44089</t>
    </r>
  </si>
  <si>
    <t>BV - 08.27-1</t>
  </si>
  <si>
    <t>BV - 08.27-2</t>
  </si>
  <si>
    <t>BV - 08.27-3</t>
  </si>
  <si>
    <t>BV - 08-27-3B</t>
  </si>
  <si>
    <t>BV-08.24</t>
  </si>
  <si>
    <t>XV - 08.15</t>
  </si>
  <si>
    <t>XV-08.24</t>
  </si>
  <si>
    <t>BV - 08.03-1</t>
  </si>
  <si>
    <t>BV - 08.03-2</t>
  </si>
  <si>
    <t>BV - 08.03-3</t>
  </si>
  <si>
    <t>BV - 08.06-1</t>
  </si>
  <si>
    <t>BV - 08.06-2</t>
  </si>
  <si>
    <t>BV - 08.06-3</t>
  </si>
  <si>
    <t>BV - 08.09-1</t>
  </si>
  <si>
    <t>BV - 08.09-2</t>
  </si>
  <si>
    <t>BV - 08.09-3</t>
  </si>
  <si>
    <t>BV - 08.12-1</t>
  </si>
  <si>
    <t>BV - 08.12-2</t>
  </si>
  <si>
    <t>BV - 08.12-3</t>
  </si>
  <si>
    <t>BV - 08.18-1</t>
  </si>
  <si>
    <t>BV - 08.18-2</t>
  </si>
  <si>
    <t>BV 08.18-3</t>
  </si>
  <si>
    <t>XV 08.09</t>
  </si>
  <si>
    <t>XV 08.12</t>
  </si>
  <si>
    <t>XV-08.03</t>
  </si>
  <si>
    <t>XV-08.06</t>
  </si>
  <si>
    <t>XV-08.15-1</t>
  </si>
  <si>
    <t>XV-08.15-2</t>
  </si>
  <si>
    <t>XV-08.15-3</t>
  </si>
  <si>
    <t>Propagador 5</t>
  </si>
  <si>
    <t>BV - 10.25-1</t>
  </si>
  <si>
    <t>BV - 10.25-2</t>
  </si>
  <si>
    <t>BV - 10.25-3</t>
  </si>
  <si>
    <t>BV - 10.25-3B</t>
  </si>
  <si>
    <t xml:space="preserve">  ½”</t>
  </si>
  <si>
    <t>BV-10.22</t>
  </si>
  <si>
    <t>1 1/2"</t>
  </si>
  <si>
    <t>XV - 10.13</t>
  </si>
  <si>
    <t>XV-10.22</t>
  </si>
  <si>
    <t>BV 10.16-3</t>
  </si>
  <si>
    <t>XV 10.10</t>
  </si>
  <si>
    <t>XV-10,13-3</t>
  </si>
  <si>
    <t>XV-10.13-1</t>
  </si>
  <si>
    <t>XV-10.13-2</t>
  </si>
  <si>
    <t xml:space="preserve">Superior </t>
  </si>
  <si>
    <t>BV - 10.01-1</t>
  </si>
  <si>
    <t>BV - 10.01-2</t>
  </si>
  <si>
    <t>BV - 10.01-3</t>
  </si>
  <si>
    <t>BV - 10.04-1</t>
  </si>
  <si>
    <t>BV - 10.04-2</t>
  </si>
  <si>
    <t>BV - 10.04-3</t>
  </si>
  <si>
    <t>BV - 10.07-1</t>
  </si>
  <si>
    <t>BV - 10.07-2</t>
  </si>
  <si>
    <t>BV - 10.07-3</t>
  </si>
  <si>
    <t>BV - 10.10-1</t>
  </si>
  <si>
    <t>BV - 10.10-2</t>
  </si>
  <si>
    <t>BV - 10.10-3</t>
  </si>
  <si>
    <t>BV - 10.16-1</t>
  </si>
  <si>
    <t>BV - 10.16-2</t>
  </si>
  <si>
    <t>XV 10.07</t>
  </si>
  <si>
    <t>XV-10.01</t>
  </si>
  <si>
    <t>XV-10.04</t>
  </si>
  <si>
    <t>Propagador 6</t>
  </si>
  <si>
    <t>BV - 11.26-1</t>
  </si>
  <si>
    <t>BV - 11.26-2</t>
  </si>
  <si>
    <t>BV - 11.26-3</t>
  </si>
  <si>
    <t>BV -1 1.26-3B</t>
  </si>
  <si>
    <t>BV-11.23</t>
  </si>
  <si>
    <t>XV - 11.14</t>
  </si>
  <si>
    <t>XV-11.23</t>
  </si>
  <si>
    <t>BV - 11.02-1</t>
  </si>
  <si>
    <t>BV - 11.02-2</t>
  </si>
  <si>
    <t>BV - 11.02-3</t>
  </si>
  <si>
    <t>BV - 11.05-1</t>
  </si>
  <si>
    <t>BV - 11.05-2</t>
  </si>
  <si>
    <t>BV - 11.05-3</t>
  </si>
  <si>
    <t>BV - 11.08-1</t>
  </si>
  <si>
    <t>BV - 11.08-2</t>
  </si>
  <si>
    <t>BV - 11.08-3</t>
  </si>
  <si>
    <t>BV - 11.11-1</t>
  </si>
  <si>
    <t>BV - 11.11-2</t>
  </si>
  <si>
    <t>BV - 11.11-3</t>
  </si>
  <si>
    <t>BV - 11.17-1</t>
  </si>
  <si>
    <t>BV - 11.17-2</t>
  </si>
  <si>
    <t>BV 11.17-3</t>
  </si>
  <si>
    <t>XV 11.08</t>
  </si>
  <si>
    <t>XV 11.11</t>
  </si>
  <si>
    <t>XV-11.02</t>
  </si>
  <si>
    <t>XV-11.05</t>
  </si>
  <si>
    <t>XV-11.14-1</t>
  </si>
  <si>
    <t>XV-11.14-2</t>
  </si>
  <si>
    <t>XV-11.14-3</t>
  </si>
  <si>
    <t>Propagador 7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</si>
  <si>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05/08/2026</t>
    </r>
  </si>
  <si>
    <r>
      <t xml:space="preserve">N° OM: </t>
    </r>
    <r>
      <rPr>
        <sz val="11"/>
        <color theme="1"/>
        <rFont val="Aptos Narrow"/>
        <family val="2"/>
        <scheme val="minor"/>
      </rPr>
      <t>44619</t>
    </r>
  </si>
  <si>
    <t>BV - 08.26-1</t>
  </si>
  <si>
    <t>BV - 08.26-2</t>
  </si>
  <si>
    <t>BV - 08.26-3</t>
  </si>
  <si>
    <t>BV - 08.26-3B</t>
  </si>
  <si>
    <t>BV-08.23</t>
  </si>
  <si>
    <t>XV - 08.14</t>
  </si>
  <si>
    <t>XV- 08.23</t>
  </si>
  <si>
    <t>BV - 08.02-1</t>
  </si>
  <si>
    <t>BV - 08.02-2</t>
  </si>
  <si>
    <t>BV - 08.02-3</t>
  </si>
  <si>
    <t>BV - 08.05-1</t>
  </si>
  <si>
    <t>BV - 08.05-2</t>
  </si>
  <si>
    <t>BV - 08.05-3</t>
  </si>
  <si>
    <t>BV - 08.08-1</t>
  </si>
  <si>
    <t>BV - 08.08-2</t>
  </si>
  <si>
    <t>BV - 08.08-3</t>
  </si>
  <si>
    <t>BV - 08.11-1</t>
  </si>
  <si>
    <t>BV - 08.11-2</t>
  </si>
  <si>
    <t>BV - 08.11-3</t>
  </si>
  <si>
    <t>BV - 08.17-1</t>
  </si>
  <si>
    <t>BV - 08.17-2</t>
  </si>
  <si>
    <t>BV 08.17-3</t>
  </si>
  <si>
    <t>XV 08.08</t>
  </si>
  <si>
    <t>XV 08.11</t>
  </si>
  <si>
    <t>XV-08.02</t>
  </si>
  <si>
    <t>XV-08.05</t>
  </si>
  <si>
    <t>XV-08.14-1</t>
  </si>
  <si>
    <t>XV-08.14-2</t>
  </si>
  <si>
    <t>XV-08.14-3</t>
  </si>
  <si>
    <t>Propagador 8</t>
  </si>
  <si>
    <t>BV - 09.27-1</t>
  </si>
  <si>
    <t>BV - 09.27-2</t>
  </si>
  <si>
    <t>BV - 09.27-3</t>
  </si>
  <si>
    <t>BV - 09.27-3B</t>
  </si>
  <si>
    <t>BV-09.24</t>
  </si>
  <si>
    <t>XV - 09.15</t>
  </si>
  <si>
    <t>XV-09.24</t>
  </si>
  <si>
    <t>XV 09.09</t>
  </si>
  <si>
    <t>XV 09.12</t>
  </si>
  <si>
    <t>XV-09.15-1</t>
  </si>
  <si>
    <t>XV-09.15-2</t>
  </si>
  <si>
    <t>XV-09.15-3</t>
  </si>
  <si>
    <t>BV - 09.03-1</t>
  </si>
  <si>
    <t>BV - 09.03-2</t>
  </si>
  <si>
    <t>BV - 09.03-3</t>
  </si>
  <si>
    <t>BV - 09.06-1</t>
  </si>
  <si>
    <t>BV - 09.06-2</t>
  </si>
  <si>
    <t>BV - 09.06-3</t>
  </si>
  <si>
    <t>BV - 09.09-1</t>
  </si>
  <si>
    <t>BV - 09.09-2</t>
  </si>
  <si>
    <t>BV - 09.09-3</t>
  </si>
  <si>
    <t>BV - 09.12-1</t>
  </si>
  <si>
    <t>BV - 09.12-2</t>
  </si>
  <si>
    <t>BV - 09.12-3</t>
  </si>
  <si>
    <t>BV - 09.18-1</t>
  </si>
  <si>
    <t>BV - 09.18-2</t>
  </si>
  <si>
    <t>BV 09.18-3</t>
  </si>
  <si>
    <t>XV-09.03</t>
  </si>
  <si>
    <t>XV-09.06</t>
  </si>
  <si>
    <t>Propagador 9</t>
  </si>
  <si>
    <t>BV - 11.25-1</t>
  </si>
  <si>
    <t>Sim</t>
  </si>
  <si>
    <t>Alexandro</t>
  </si>
  <si>
    <t>BV - 11.25-2</t>
  </si>
  <si>
    <t>BV - 11.25-3</t>
  </si>
  <si>
    <t>BV - 11.25-3B</t>
  </si>
  <si>
    <t>BV-11.22</t>
  </si>
  <si>
    <t>Não</t>
  </si>
  <si>
    <t>XV - 11.13</t>
  </si>
  <si>
    <t>XV-11.22</t>
  </si>
  <si>
    <t>BV 11.16-3</t>
  </si>
  <si>
    <t>Agnaldo</t>
  </si>
  <si>
    <t>XV 11.10</t>
  </si>
  <si>
    <t>XV-11.13-1</t>
  </si>
  <si>
    <t>XV-11.13-2</t>
  </si>
  <si>
    <t>XV-11.13-3</t>
  </si>
  <si>
    <t>BV - 11.01-1</t>
  </si>
  <si>
    <t>BV - 11.01-2</t>
  </si>
  <si>
    <t>BV - 11.01-3</t>
  </si>
  <si>
    <t>BV - 11.04-1</t>
  </si>
  <si>
    <t>BV - 11.04-2</t>
  </si>
  <si>
    <t>BV - 11.04-3</t>
  </si>
  <si>
    <t>BV - 11.07-1</t>
  </si>
  <si>
    <t>BV - 11.07-2</t>
  </si>
  <si>
    <t>BV - 11.07-3</t>
  </si>
  <si>
    <t>BV - 11.10-1</t>
  </si>
  <si>
    <t>BV - 11.10-2</t>
  </si>
  <si>
    <t>BV - 11.10-3</t>
  </si>
  <si>
    <t>BV - 11.16-1</t>
  </si>
  <si>
    <t>BV - 11.16-2</t>
  </si>
  <si>
    <t>XV 11.07</t>
  </si>
  <si>
    <t>XV-11.01</t>
  </si>
  <si>
    <t>XV-11.04</t>
  </si>
  <si>
    <t>Propagador 10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</si>
  <si>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25/05/2026</t>
    </r>
  </si>
  <si>
    <r>
      <t xml:space="preserve">N° OM: </t>
    </r>
    <r>
      <rPr>
        <sz val="11"/>
        <color theme="1"/>
        <rFont val="Aptos Narrow"/>
        <family val="2"/>
        <scheme val="minor"/>
      </rPr>
      <t>41999</t>
    </r>
  </si>
  <si>
    <t>BV - 10.27-1</t>
  </si>
  <si>
    <t>BV - 10.27-2</t>
  </si>
  <si>
    <t>BV - 10.27-3</t>
  </si>
  <si>
    <t>BV - 10.27-3B</t>
  </si>
  <si>
    <t>BV-10.24</t>
  </si>
  <si>
    <t>XV - 10.15</t>
  </si>
  <si>
    <t>XV - 10.24</t>
  </si>
  <si>
    <t>XV 10.12</t>
  </si>
  <si>
    <t>XV-10.15-1</t>
  </si>
  <si>
    <t>XV-10.15-2</t>
  </si>
  <si>
    <t>XV-10.15-3</t>
  </si>
  <si>
    <t>BV - 10.03-1</t>
  </si>
  <si>
    <t>BV - 10.03-2</t>
  </si>
  <si>
    <t>BV - 10.03-3</t>
  </si>
  <si>
    <t>BV - 10.06-1</t>
  </si>
  <si>
    <t>BV - 10.06-2</t>
  </si>
  <si>
    <t>BV - 10.06-3</t>
  </si>
  <si>
    <t>BV - 10.09-1</t>
  </si>
  <si>
    <t>BV - 10.09-2</t>
  </si>
  <si>
    <t>BV - 10.09-3</t>
  </si>
  <si>
    <t>BV - 10.12-1</t>
  </si>
  <si>
    <t>BV - 10.12-2</t>
  </si>
  <si>
    <t>BV - 10.12-3</t>
  </si>
  <si>
    <t>BV - 10.18-1</t>
  </si>
  <si>
    <t>BV - 10.18-2</t>
  </si>
  <si>
    <t>BV 10.18-3</t>
  </si>
  <si>
    <t>XV-10.03</t>
  </si>
  <si>
    <t>XV-10.06</t>
  </si>
  <si>
    <t>Propagador 11</t>
  </si>
  <si>
    <t>BV-8.22</t>
  </si>
  <si>
    <t>BV-8.25-1</t>
  </si>
  <si>
    <t>BV-8.25-2</t>
  </si>
  <si>
    <t>BV-8.25-3</t>
  </si>
  <si>
    <t>BV-8.25-3B</t>
  </si>
  <si>
    <t>XV - 08.13</t>
  </si>
  <si>
    <t>XV-08.22</t>
  </si>
  <si>
    <t>XV 08.07</t>
  </si>
  <si>
    <t>XV 08.10</t>
  </si>
  <si>
    <t>XV-08.13-1</t>
  </si>
  <si>
    <t>XV-08.13-2</t>
  </si>
  <si>
    <t>XV-08.13-3</t>
  </si>
  <si>
    <t>BV 8.16-03</t>
  </si>
  <si>
    <t>BV-8.01-1</t>
  </si>
  <si>
    <t>BV-8.01-2</t>
  </si>
  <si>
    <t>BV-8.01-3</t>
  </si>
  <si>
    <t>BV-8.04-1</t>
  </si>
  <si>
    <t>BV-8.04-2</t>
  </si>
  <si>
    <t>BV-8.04-3</t>
  </si>
  <si>
    <t>BV-8.07-1</t>
  </si>
  <si>
    <t>BV-8.07-2</t>
  </si>
  <si>
    <t>BV-8.07-3</t>
  </si>
  <si>
    <t>BV-8.10-1</t>
  </si>
  <si>
    <t>BV-8.10-2</t>
  </si>
  <si>
    <t>BV-8.10-3</t>
  </si>
  <si>
    <t>BV-8.16-01</t>
  </si>
  <si>
    <t>BV-8.16-02</t>
  </si>
  <si>
    <t>XV-8.01</t>
  </si>
  <si>
    <t>XV-8.04</t>
  </si>
  <si>
    <t>Propagador 12</t>
  </si>
  <si>
    <t>BV-9.23</t>
  </si>
  <si>
    <t>BV-9.26-1</t>
  </si>
  <si>
    <t>BV-9.26-2</t>
  </si>
  <si>
    <t>BV-9.26-3</t>
  </si>
  <si>
    <t>BV-9.26-3B</t>
  </si>
  <si>
    <t>XV - 09.14</t>
  </si>
  <si>
    <t>XV-09.23</t>
  </si>
  <si>
    <t>XV 09.11</t>
  </si>
  <si>
    <t>XV-09.14-1</t>
  </si>
  <si>
    <t>XV-09.14-2</t>
  </si>
  <si>
    <t>XV-09.14-3</t>
  </si>
  <si>
    <t>BV-9.02-1</t>
  </si>
  <si>
    <t>BV-9.02-2</t>
  </si>
  <si>
    <t>BV-9.02-3</t>
  </si>
  <si>
    <t>BV-9.05-1</t>
  </si>
  <si>
    <t>BV-9.05-2</t>
  </si>
  <si>
    <t>BV-9.05-3</t>
  </si>
  <si>
    <t>BV-9.08-1</t>
  </si>
  <si>
    <t>BV-9.08-2</t>
  </si>
  <si>
    <t>BV-9.08-3</t>
  </si>
  <si>
    <t>BV-9.11-01</t>
  </si>
  <si>
    <t>BV-9.11-02</t>
  </si>
  <si>
    <t>BV-9.11-03</t>
  </si>
  <si>
    <t>BV-9.17-01</t>
  </si>
  <si>
    <t>BV-9.17-02</t>
  </si>
  <si>
    <t>BV-9.17-03</t>
  </si>
  <si>
    <t>XV-09.02</t>
  </si>
  <si>
    <t>XV-9.05</t>
  </si>
  <si>
    <t>XV-9.08</t>
  </si>
  <si>
    <t>Blender 1</t>
  </si>
  <si>
    <t>BV-18.06</t>
  </si>
  <si>
    <t>BV-18.06-1</t>
  </si>
  <si>
    <t>BV-18.06-2</t>
  </si>
  <si>
    <t>BV-18.06-3</t>
  </si>
  <si>
    <t>BV-18.06-3B</t>
  </si>
  <si>
    <t>XV-18.05</t>
  </si>
  <si>
    <t>XV-18.06</t>
  </si>
  <si>
    <t>3"</t>
  </si>
  <si>
    <t>MAN8920</t>
  </si>
  <si>
    <t>BV-18.01-1</t>
  </si>
  <si>
    <t>BV-18.01-2</t>
  </si>
  <si>
    <t>BV-18.01-3</t>
  </si>
  <si>
    <t>BV-18.02-1</t>
  </si>
  <si>
    <t>BV-18.02-2</t>
  </si>
  <si>
    <t>BV-18.02-3</t>
  </si>
  <si>
    <t>BV-18.03-1</t>
  </si>
  <si>
    <t>BV-18.03-2</t>
  </si>
  <si>
    <t>BV-18.03-3</t>
  </si>
  <si>
    <t>XV-18.02</t>
  </si>
  <si>
    <t>XV-18.04</t>
  </si>
  <si>
    <t>XV-18.21</t>
  </si>
  <si>
    <t>XV-18.22</t>
  </si>
  <si>
    <t>BV-18.15</t>
  </si>
  <si>
    <t>BV-18.16-1</t>
  </si>
  <si>
    <t>BV-18.16-2</t>
  </si>
  <si>
    <t>BV-18.16-3</t>
  </si>
  <si>
    <t>BV-18.16-3B</t>
  </si>
  <si>
    <t>bloco 2 vias fundo - vapor</t>
  </si>
  <si>
    <t>BV-18.11-1</t>
  </si>
  <si>
    <t>BV-18.11-2</t>
  </si>
  <si>
    <t>BV-18.11-3</t>
  </si>
  <si>
    <t>1.1/2"</t>
  </si>
  <si>
    <t>BV-18.12-1</t>
  </si>
  <si>
    <t>BV-18.12-2</t>
  </si>
  <si>
    <t>BV-18.12-3</t>
  </si>
  <si>
    <t>BV-18.13-1</t>
  </si>
  <si>
    <t>BV-18.13-2</t>
  </si>
  <si>
    <t>BV-18.13-3</t>
  </si>
  <si>
    <t>XV-18.12</t>
  </si>
  <si>
    <t>XV-18.13</t>
  </si>
  <si>
    <t>XV-18.14</t>
  </si>
  <si>
    <t>XV-18.16</t>
  </si>
  <si>
    <t>XV-18.23</t>
  </si>
  <si>
    <t>XV-18.24</t>
  </si>
  <si>
    <t>Equipamento:  TLP01</t>
  </si>
  <si>
    <t>Tubulação Propagador (S2,S1,S6,S8,S10,S12).</t>
  </si>
  <si>
    <t>BV-1.01-3</t>
  </si>
  <si>
    <t xml:space="preserve">Bloqueio de alimentação bloco 3 vias alimentação de Carbono </t>
  </si>
  <si>
    <t>BV-2.03-3</t>
  </si>
  <si>
    <t>Bloqueio de alimentação bloco 3 vias alimentação de Sais</t>
  </si>
  <si>
    <t>BV-3.07-3</t>
  </si>
  <si>
    <t>Bloqueio de alimentação bloco 3 vias alimentação de Nitrogênio</t>
  </si>
  <si>
    <t>Bloqueio de alimentação de Carbono para TLP02</t>
  </si>
  <si>
    <t>Bloqueio de alimentação de Sais para TLP02</t>
  </si>
  <si>
    <t>Bloqueio de alimentação de nitrogênio para TLP02</t>
  </si>
  <si>
    <t>Equipamento:  TLP02</t>
  </si>
  <si>
    <t>Tubulação Propagador (S1,S3,S5,S7,S9,S11).</t>
  </si>
  <si>
    <t>BV-1.02-3</t>
  </si>
  <si>
    <t>BV-12.04-3</t>
  </si>
  <si>
    <t>BV-3.08-3</t>
  </si>
  <si>
    <t>Bloqueio de alimentação de Carbono para TLP03</t>
  </si>
  <si>
    <t>Bloqueio de alimentação de Sais para TLP03</t>
  </si>
  <si>
    <t>Bloqueio de alimentação de nitrogênio para TLP03</t>
  </si>
  <si>
    <t>Equipamento:  TLP03</t>
  </si>
  <si>
    <t>Tubulação Propagador (P1,P4,P7,P11).</t>
  </si>
  <si>
    <t>BV-1.03-3</t>
  </si>
  <si>
    <t>BV-2.05-3</t>
  </si>
  <si>
    <t>BV-3.09-3</t>
  </si>
  <si>
    <t>Bloqueio de alimentação de Carbono para TLP04</t>
  </si>
  <si>
    <t>Bloqueio de alimentação de Sais para a TLP04</t>
  </si>
  <si>
    <t>Bloqueio de alimentação de nitrogênio para a TLP04</t>
  </si>
  <si>
    <t>Equipamento:  TLP04</t>
  </si>
  <si>
    <t>Tubulação Propagador (P2,P5,P8,P12).</t>
  </si>
  <si>
    <t>BV-1.04-3</t>
  </si>
  <si>
    <t>BV-2.06-3</t>
  </si>
  <si>
    <t>BV-3.10-3</t>
  </si>
  <si>
    <t>Bloqueio de alimentação de Carbono para TLP05</t>
  </si>
  <si>
    <t>Bloqueio de alimentação de Sais para a TLP05</t>
  </si>
  <si>
    <t>Bloqueio de alimentação de nitrogênio para a TLP05</t>
  </si>
  <si>
    <t>Equipamento:  TLF01</t>
  </si>
  <si>
    <t>Tubulação Fermentador (F3,F6,F10).</t>
  </si>
  <si>
    <t>Bloqueio de alimentação de Carbono para TLF02</t>
  </si>
  <si>
    <t>Bloqueio de alimentação de Sais para a TLF02</t>
  </si>
  <si>
    <t>Bloqueio de alimentação de nitrogênio para a TLF02</t>
  </si>
  <si>
    <t>Equipamento:  TLF02</t>
  </si>
  <si>
    <t>Tubulação Fermentador (F2,F5,F12).</t>
  </si>
  <si>
    <t>Equipamento:  TLF03</t>
  </si>
  <si>
    <t>Tubulação Fermentador (F1,F9,F11).</t>
  </si>
  <si>
    <t>Equipamento:  TLF04</t>
  </si>
  <si>
    <t>Tubulação Fermentador (F4,F7,F8).</t>
  </si>
  <si>
    <t>N° OM: 45129</t>
  </si>
  <si>
    <t>Data Abertura Documento: 13/08/2026</t>
  </si>
  <si>
    <r>
      <t xml:space="preserve">Data Abertura Documento: </t>
    </r>
    <r>
      <rPr>
        <sz val="11"/>
        <color theme="1"/>
        <rFont val="Aptos Narrow"/>
        <family val="2"/>
        <scheme val="minor"/>
      </rPr>
      <t>18/08/2026</t>
    </r>
  </si>
  <si>
    <t>Propagador 13</t>
  </si>
  <si>
    <t>Propagador 15</t>
  </si>
  <si>
    <t>Fermentador 15</t>
  </si>
  <si>
    <t>Fermentador 14</t>
  </si>
  <si>
    <t>Felipe F.</t>
  </si>
  <si>
    <t>Robson</t>
  </si>
  <si>
    <t>Fermentador 13</t>
  </si>
  <si>
    <t>Propagador 14</t>
  </si>
  <si>
    <t>Blender 3</t>
  </si>
  <si>
    <t>NÂO</t>
  </si>
  <si>
    <t>ODAIR</t>
  </si>
  <si>
    <t xml:space="preserve">ODAIR </t>
  </si>
  <si>
    <t>Blender 4</t>
  </si>
  <si>
    <t>Blender 5</t>
  </si>
  <si>
    <t xml:space="preserve">N° OM: </t>
  </si>
  <si>
    <r>
      <t xml:space="preserve">Data Abertura Documento:  </t>
    </r>
    <r>
      <rPr>
        <sz val="11"/>
        <color theme="1"/>
        <rFont val="Aptos Narrow"/>
        <family val="2"/>
        <scheme val="minor"/>
      </rPr>
      <t>31/08/2026</t>
    </r>
  </si>
  <si>
    <t>Data Abertura Documento: 02/09/2026</t>
  </si>
  <si>
    <t>N° OM: 46691</t>
  </si>
  <si>
    <t>N° OM: 47126</t>
  </si>
  <si>
    <t>OM00047586</t>
  </si>
  <si>
    <r>
      <t>Data Abertura Documento: 25</t>
    </r>
    <r>
      <rPr>
        <sz val="11"/>
        <color theme="1"/>
        <rFont val="Aptos Narrow"/>
        <family val="2"/>
        <scheme val="minor"/>
      </rPr>
      <t>/09/2026</t>
    </r>
  </si>
  <si>
    <t>N° OM: 48524</t>
  </si>
  <si>
    <r>
      <t xml:space="preserve">N° OM: </t>
    </r>
    <r>
      <rPr>
        <sz val="11"/>
        <color theme="1"/>
        <rFont val="Aptos Narrow"/>
        <family val="2"/>
        <scheme val="minor"/>
      </rPr>
      <t>48576</t>
    </r>
  </si>
  <si>
    <t>Data Abertura Documento: 29/09/2026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</si>
</sst>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874A6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6B6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" fontId="0" fillId="4" borderId="4" xfId="0" applyNumberForma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2" xfId="0" applyBorder="1"/>
    <xf numFmtId="0" fontId="0" fillId="11" borderId="2" xfId="0" applyFill="1" applyBorder="1"/>
    <xf numFmtId="0" fontId="2" fillId="2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11" borderId="19" xfId="0" applyFill="1" applyBorder="1"/>
    <xf numFmtId="0" fontId="0" fillId="0" borderId="20" xfId="0" applyBorder="1"/>
    <xf numFmtId="0" fontId="0" fillId="2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/>
    <xf numFmtId="0" fontId="0" fillId="0" borderId="24" xfId="0" applyBorder="1"/>
    <xf numFmtId="0" fontId="2" fillId="2" borderId="17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17" xfId="0" applyFill="1" applyBorder="1" applyAlignment="1">
      <alignment horizontal="right" vertical="center"/>
    </xf>
    <xf numFmtId="0" fontId="0" fillId="11" borderId="20" xfId="0" applyFill="1" applyBorder="1" applyAlignment="1">
      <alignment horizontal="right"/>
    </xf>
    <xf numFmtId="0" fontId="0" fillId="11" borderId="17" xfId="0" applyFill="1" applyBorder="1"/>
    <xf numFmtId="0" fontId="0" fillId="11" borderId="20" xfId="0" applyFill="1" applyBorder="1"/>
    <xf numFmtId="0" fontId="0" fillId="0" borderId="3" xfId="0" applyBorder="1"/>
    <xf numFmtId="0" fontId="0" fillId="11" borderId="3" xfId="0" applyFill="1" applyBorder="1"/>
    <xf numFmtId="0" fontId="0" fillId="11" borderId="25" xfId="0" applyFill="1" applyBorder="1"/>
    <xf numFmtId="0" fontId="2" fillId="2" borderId="4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6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5" fillId="0" borderId="0" xfId="0" applyFont="1"/>
    <xf numFmtId="0" fontId="9" fillId="0" borderId="0" xfId="0" applyFont="1"/>
    <xf numFmtId="0" fontId="2" fillId="12" borderId="0" xfId="0" applyFont="1" applyFill="1"/>
    <xf numFmtId="0" fontId="2" fillId="15" borderId="0" xfId="0" applyFont="1" applyFill="1"/>
    <xf numFmtId="0" fontId="2" fillId="18" borderId="0" xfId="0" applyFont="1" applyFill="1"/>
    <xf numFmtId="0" fontId="8" fillId="13" borderId="2" xfId="0" applyFont="1" applyFill="1" applyBorder="1"/>
    <xf numFmtId="0" fontId="3" fillId="14" borderId="2" xfId="0" applyFont="1" applyFill="1" applyBorder="1"/>
    <xf numFmtId="0" fontId="8" fillId="16" borderId="2" xfId="0" applyFont="1" applyFill="1" applyBorder="1"/>
    <xf numFmtId="0" fontId="3" fillId="17" borderId="2" xfId="0" applyFont="1" applyFill="1" applyBorder="1"/>
    <xf numFmtId="0" fontId="8" fillId="19" borderId="2" xfId="0" applyFont="1" applyFill="1" applyBorder="1"/>
    <xf numFmtId="0" fontId="3" fillId="20" borderId="2" xfId="0" applyFont="1" applyFill="1" applyBorder="1"/>
    <xf numFmtId="0" fontId="8" fillId="21" borderId="2" xfId="0" applyFont="1" applyFill="1" applyBorder="1"/>
    <xf numFmtId="0" fontId="8" fillId="22" borderId="2" xfId="0" applyFont="1" applyFill="1" applyBorder="1"/>
    <xf numFmtId="0" fontId="3" fillId="2" borderId="26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16" fontId="0" fillId="4" borderId="26" xfId="0" applyNumberForma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11" borderId="4" xfId="0" applyFill="1" applyBorder="1"/>
    <xf numFmtId="0" fontId="0" fillId="11" borderId="18" xfId="0" applyFill="1" applyBorder="1"/>
    <xf numFmtId="0" fontId="0" fillId="23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24" borderId="2" xfId="0" applyFill="1" applyBorder="1"/>
    <xf numFmtId="0" fontId="10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0" fillId="11" borderId="0" xfId="0" applyFill="1"/>
    <xf numFmtId="0" fontId="0" fillId="5" borderId="2" xfId="0" applyFill="1" applyBorder="1"/>
    <xf numFmtId="0" fontId="2" fillId="25" borderId="17" xfId="0" applyFont="1" applyFill="1" applyBorder="1" applyAlignment="1">
      <alignment horizontal="center" vertical="center" wrapText="1"/>
    </xf>
    <xf numFmtId="0" fontId="0" fillId="25" borderId="17" xfId="0" applyFill="1" applyBorder="1"/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1" borderId="16" xfId="0" applyFill="1" applyBorder="1"/>
    <xf numFmtId="16" fontId="0" fillId="2" borderId="4" xfId="0" applyNumberFormat="1" applyFill="1" applyBorder="1" applyAlignment="1">
      <alignment horizontal="center" vertical="center" wrapText="1"/>
    </xf>
    <xf numFmtId="16" fontId="0" fillId="5" borderId="4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16" fontId="0" fillId="6" borderId="4" xfId="0" applyNumberFormat="1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16" fontId="0" fillId="26" borderId="4" xfId="0" applyNumberFormat="1" applyFill="1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 wrapText="1"/>
    </xf>
    <xf numFmtId="16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8" borderId="22" xfId="0" applyFill="1" applyBorder="1" applyAlignment="1">
      <alignment horizontal="center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1" borderId="0" xfId="0" applyFill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microsoft.com/office/2022/11/relationships/FeaturePropertyBag" Target="featurePropertyBag/featurePropertyBag.xml"/><Relationship Id="rId55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🔧 FTD - Válvulas por Marca (Fermentadores)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Resumo_Analise!$B$5</c:f>
              <c:strCache>
                <c:ptCount val="1"/>
                <c:pt idx="0">
                  <c:v>GEMÜ</c:v>
                </c:pt>
              </c:strCache>
            </c:strRef>
          </c:tx>
          <c:spPr>
            <a:solidFill>
              <a:srgbClr val="2874A6"/>
            </a:solidFill>
            <a:ln>
              <a:noFill/>
            </a:ln>
            <a:effectLst/>
          </c:spPr>
          <c:invertIfNegative val="0"/>
          <c:cat>
            <c:strRef>
              <c:f>Resumo_Analise!$A$6:$A$17</c:f>
              <c:strCache>
                <c:ptCount val="12"/>
                <c:pt idx="0">
                  <c:v>FTD01</c:v>
                </c:pt>
                <c:pt idx="1">
                  <c:v>FTD02</c:v>
                </c:pt>
                <c:pt idx="2">
                  <c:v>FTD03</c:v>
                </c:pt>
                <c:pt idx="3">
                  <c:v>FTD04</c:v>
                </c:pt>
                <c:pt idx="4">
                  <c:v>FTD05</c:v>
                </c:pt>
                <c:pt idx="5">
                  <c:v>FTD06</c:v>
                </c:pt>
                <c:pt idx="6">
                  <c:v>FTD07</c:v>
                </c:pt>
                <c:pt idx="7">
                  <c:v>FTD08</c:v>
                </c:pt>
                <c:pt idx="8">
                  <c:v>FTD09</c:v>
                </c:pt>
                <c:pt idx="9">
                  <c:v>FTD10</c:v>
                </c:pt>
                <c:pt idx="10">
                  <c:v>FTD11</c:v>
                </c:pt>
                <c:pt idx="11">
                  <c:v>FTD12</c:v>
                </c:pt>
              </c:strCache>
            </c:strRef>
          </c:cat>
          <c:val>
            <c:numRef>
              <c:f>Resumo_Analise!$B$6:$B$17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34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34</c:v>
                </c:pt>
                <c:pt idx="9">
                  <c:v>34</c:v>
                </c:pt>
                <c:pt idx="10">
                  <c:v>35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A-4A64-830F-209E5F7A3FBC}"/>
            </c:ext>
          </c:extLst>
        </c:ser>
        <c:ser>
          <c:idx val="1"/>
          <c:order val="1"/>
          <c:tx>
            <c:strRef>
              <c:f>Resumo_Analise!$C$5</c:f>
              <c:strCache>
                <c:ptCount val="1"/>
                <c:pt idx="0">
                  <c:v>ZDL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cat>
            <c:strRef>
              <c:f>Resumo_Analise!$A$6:$A$17</c:f>
              <c:strCache>
                <c:ptCount val="12"/>
                <c:pt idx="0">
                  <c:v>FTD01</c:v>
                </c:pt>
                <c:pt idx="1">
                  <c:v>FTD02</c:v>
                </c:pt>
                <c:pt idx="2">
                  <c:v>FTD03</c:v>
                </c:pt>
                <c:pt idx="3">
                  <c:v>FTD04</c:v>
                </c:pt>
                <c:pt idx="4">
                  <c:v>FTD05</c:v>
                </c:pt>
                <c:pt idx="5">
                  <c:v>FTD06</c:v>
                </c:pt>
                <c:pt idx="6">
                  <c:v>FTD07</c:v>
                </c:pt>
                <c:pt idx="7">
                  <c:v>FTD08</c:v>
                </c:pt>
                <c:pt idx="8">
                  <c:v>FTD09</c:v>
                </c:pt>
                <c:pt idx="9">
                  <c:v>FTD10</c:v>
                </c:pt>
                <c:pt idx="10">
                  <c:v>FTD11</c:v>
                </c:pt>
                <c:pt idx="11">
                  <c:v>FTD12</c:v>
                </c:pt>
              </c:strCache>
            </c:strRef>
          </c:cat>
          <c:val>
            <c:numRef>
              <c:f>Resumo_Analise!$C$6:$C$17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A-4A64-830F-209E5F7A3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932112"/>
        <c:axId val="1793939792"/>
      </c:barChart>
      <c:catAx>
        <c:axId val="179393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939792"/>
        <c:crosses val="autoZero"/>
        <c:auto val="1"/>
        <c:lblAlgn val="ctr"/>
        <c:lblOffset val="100"/>
        <c:noMultiLvlLbl val="0"/>
      </c:catAx>
      <c:valAx>
        <c:axId val="17939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39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🧪 PGD - Válvulas por Marca (Propagadores)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Resumo_Analise!$F$5</c:f>
              <c:strCache>
                <c:ptCount val="1"/>
                <c:pt idx="0">
                  <c:v>GEMÜ</c:v>
                </c:pt>
              </c:strCache>
            </c:strRef>
          </c:tx>
          <c:spPr>
            <a:solidFill>
              <a:srgbClr val="1E8449"/>
            </a:solidFill>
            <a:ln>
              <a:noFill/>
            </a:ln>
            <a:effectLst/>
          </c:spPr>
          <c:invertIfNegative val="0"/>
          <c:cat>
            <c:strRef>
              <c:f>Resumo_Analise!$E$6:$E$17</c:f>
              <c:strCache>
                <c:ptCount val="12"/>
                <c:pt idx="0">
                  <c:v>PGD01</c:v>
                </c:pt>
                <c:pt idx="1">
                  <c:v>PGD02</c:v>
                </c:pt>
                <c:pt idx="2">
                  <c:v>PGD03</c:v>
                </c:pt>
                <c:pt idx="3">
                  <c:v>PGD04</c:v>
                </c:pt>
                <c:pt idx="4">
                  <c:v>PGD05</c:v>
                </c:pt>
                <c:pt idx="5">
                  <c:v>PGD06</c:v>
                </c:pt>
                <c:pt idx="6">
                  <c:v>PGD07</c:v>
                </c:pt>
                <c:pt idx="7">
                  <c:v>PGD08</c:v>
                </c:pt>
                <c:pt idx="8">
                  <c:v>PGD09</c:v>
                </c:pt>
                <c:pt idx="9">
                  <c:v>PGD10</c:v>
                </c:pt>
                <c:pt idx="10">
                  <c:v>PGD11</c:v>
                </c:pt>
                <c:pt idx="11">
                  <c:v>PGD12</c:v>
                </c:pt>
              </c:strCache>
            </c:strRef>
          </c:cat>
          <c:val>
            <c:numRef>
              <c:f>Resumo_Analise!$F$6:$F$17</c:f>
              <c:numCache>
                <c:formatCode>General</c:formatCode>
                <c:ptCount val="12"/>
                <c:pt idx="0">
                  <c:v>32</c:v>
                </c:pt>
                <c:pt idx="1">
                  <c:v>34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8-417D-9154-53A84ED587F9}"/>
            </c:ext>
          </c:extLst>
        </c:ser>
        <c:ser>
          <c:idx val="1"/>
          <c:order val="1"/>
          <c:tx>
            <c:strRef>
              <c:f>Resumo_Analise!$G$5</c:f>
              <c:strCache>
                <c:ptCount val="1"/>
                <c:pt idx="0">
                  <c:v>ZDL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</c:spPr>
          <c:invertIfNegative val="0"/>
          <c:cat>
            <c:strRef>
              <c:f>Resumo_Analise!$E$6:$E$17</c:f>
              <c:strCache>
                <c:ptCount val="12"/>
                <c:pt idx="0">
                  <c:v>PGD01</c:v>
                </c:pt>
                <c:pt idx="1">
                  <c:v>PGD02</c:v>
                </c:pt>
                <c:pt idx="2">
                  <c:v>PGD03</c:v>
                </c:pt>
                <c:pt idx="3">
                  <c:v>PGD04</c:v>
                </c:pt>
                <c:pt idx="4">
                  <c:v>PGD05</c:v>
                </c:pt>
                <c:pt idx="5">
                  <c:v>PGD06</c:v>
                </c:pt>
                <c:pt idx="6">
                  <c:v>PGD07</c:v>
                </c:pt>
                <c:pt idx="7">
                  <c:v>PGD08</c:v>
                </c:pt>
                <c:pt idx="8">
                  <c:v>PGD09</c:v>
                </c:pt>
                <c:pt idx="9">
                  <c:v>PGD10</c:v>
                </c:pt>
                <c:pt idx="10">
                  <c:v>PGD11</c:v>
                </c:pt>
                <c:pt idx="11">
                  <c:v>PGD12</c:v>
                </c:pt>
              </c:strCache>
            </c:strRef>
          </c:cat>
          <c:val>
            <c:numRef>
              <c:f>Resumo_Analise!$G$6:$G$17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8-417D-9154-53A84ED5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742384"/>
        <c:axId val="644744304"/>
      </c:barChart>
      <c:catAx>
        <c:axId val="64474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744304"/>
        <c:crosses val="autoZero"/>
        <c:auto val="1"/>
        <c:lblAlgn val="ctr"/>
        <c:lblOffset val="100"/>
        <c:noMultiLvlLbl val="0"/>
      </c:catAx>
      <c:valAx>
        <c:axId val="6447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7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Distribuição Total GEMÜ vs ZDL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F2-45AE-A72B-C9AD2C3D4A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F2-45AE-A72B-C9AD2C3D4A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2-45AE-A72B-C9AD2C3D4A9F}"/>
              </c:ext>
            </c:extLst>
          </c:dPt>
          <c:cat>
            <c:strRef>
              <c:f>Resumo_Analise!$A$24:$A$26</c:f>
              <c:strCache>
                <c:ptCount val="3"/>
                <c:pt idx="0">
                  <c:v>Fermentadores (FTD)</c:v>
                </c:pt>
                <c:pt idx="1">
                  <c:v>Propagadores (PGD)</c:v>
                </c:pt>
                <c:pt idx="2">
                  <c:v>Blenders (BLD)</c:v>
                </c:pt>
              </c:strCache>
            </c:strRef>
          </c:cat>
          <c:val>
            <c:numRef>
              <c:f>Resumo_Analise!$B$24:$B$26</c:f>
              <c:numCache>
                <c:formatCode>General</c:formatCode>
                <c:ptCount val="3"/>
                <c:pt idx="0">
                  <c:v>419</c:v>
                </c:pt>
                <c:pt idx="1">
                  <c:v>395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E-4BCA-88EA-B9E23A8279D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2-45AE-A72B-C9AD2C3D4A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F2-45AE-A72B-C9AD2C3D4A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F2-45AE-A72B-C9AD2C3D4A9F}"/>
              </c:ext>
            </c:extLst>
          </c:dPt>
          <c:cat>
            <c:strRef>
              <c:f>Resumo_Analise!$A$24:$A$26</c:f>
              <c:strCache>
                <c:ptCount val="3"/>
                <c:pt idx="0">
                  <c:v>Fermentadores (FTD)</c:v>
                </c:pt>
                <c:pt idx="1">
                  <c:v>Propagadores (PGD)</c:v>
                </c:pt>
                <c:pt idx="2">
                  <c:v>Blenders (BLD)</c:v>
                </c:pt>
              </c:strCache>
            </c:strRef>
          </c:cat>
          <c:val>
            <c:numRef>
              <c:f>Resumo_Analise!$C$24:$C$26</c:f>
              <c:numCache>
                <c:formatCode>General</c:formatCode>
                <c:ptCount val="3"/>
                <c:pt idx="0">
                  <c:v>80</c:v>
                </c:pt>
                <c:pt idx="1">
                  <c:v>61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E-4BCA-88EA-B9E23A827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Comparativo por Categoria de Equipamento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Resumo_Analise!$B$23</c:f>
              <c:strCache>
                <c:ptCount val="1"/>
                <c:pt idx="0">
                  <c:v>GEMÜ</c:v>
                </c:pt>
              </c:strCache>
            </c:strRef>
          </c:tx>
          <c:spPr>
            <a:solidFill>
              <a:srgbClr val="3498DB"/>
            </a:solidFill>
            <a:ln>
              <a:noFill/>
            </a:ln>
            <a:effectLst/>
          </c:spPr>
          <c:invertIfNegative val="0"/>
          <c:cat>
            <c:strRef>
              <c:f>Resumo_Analise!$A$24:$A$26</c:f>
              <c:strCache>
                <c:ptCount val="3"/>
                <c:pt idx="0">
                  <c:v>Fermentadores (FTD)</c:v>
                </c:pt>
                <c:pt idx="1">
                  <c:v>Propagadores (PGD)</c:v>
                </c:pt>
                <c:pt idx="2">
                  <c:v>Blenders (BLD)</c:v>
                </c:pt>
              </c:strCache>
            </c:strRef>
          </c:cat>
          <c:val>
            <c:numRef>
              <c:f>Resumo_Analise!$B$24:$B$26</c:f>
              <c:numCache>
                <c:formatCode>General</c:formatCode>
                <c:ptCount val="3"/>
                <c:pt idx="0">
                  <c:v>419</c:v>
                </c:pt>
                <c:pt idx="1">
                  <c:v>395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C-49F9-BA27-9565454EA642}"/>
            </c:ext>
          </c:extLst>
        </c:ser>
        <c:ser>
          <c:idx val="1"/>
          <c:order val="1"/>
          <c:tx>
            <c:strRef>
              <c:f>Resumo_Analise!$C$23</c:f>
              <c:strCache>
                <c:ptCount val="1"/>
                <c:pt idx="0">
                  <c:v>ZDL</c:v>
                </c:pt>
              </c:strCache>
            </c:strRef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cat>
            <c:strRef>
              <c:f>Resumo_Analise!$A$24:$A$26</c:f>
              <c:strCache>
                <c:ptCount val="3"/>
                <c:pt idx="0">
                  <c:v>Fermentadores (FTD)</c:v>
                </c:pt>
                <c:pt idx="1">
                  <c:v>Propagadores (PGD)</c:v>
                </c:pt>
                <c:pt idx="2">
                  <c:v>Blenders (BLD)</c:v>
                </c:pt>
              </c:strCache>
            </c:strRef>
          </c:cat>
          <c:val>
            <c:numRef>
              <c:f>Resumo_Analise!$C$24:$C$26</c:f>
              <c:numCache>
                <c:formatCode>General</c:formatCode>
                <c:ptCount val="3"/>
                <c:pt idx="0">
                  <c:v>80</c:v>
                </c:pt>
                <c:pt idx="1">
                  <c:v>61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C-49F9-BA27-9565454E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742864"/>
        <c:axId val="644748624"/>
      </c:barChart>
      <c:catAx>
        <c:axId val="64474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748624"/>
        <c:crosses val="autoZero"/>
        <c:auto val="1"/>
        <c:lblAlgn val="ctr"/>
        <c:lblOffset val="100"/>
        <c:noMultiLvlLbl val="0"/>
      </c:catAx>
      <c:valAx>
        <c:axId val="6447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474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EE1550-5809-AE67-A2A1-30ECBC254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FDE84F-EB40-7A31-0ADC-4C8FB5D09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91B17B-76AD-4C66-1AA8-23B8A5200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46</xdr:row>
      <xdr:rowOff>9525</xdr:rowOff>
    </xdr:from>
    <xdr:to>
      <xdr:col>12</xdr:col>
      <xdr:colOff>19050</xdr:colOff>
      <xdr:row>60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9EC6B1-8E0B-2C08-998C-F23A5B81B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124B10-CB67-4EDF-8BEB-9A551150CCC1}">
  <we:reference id="29673e3c-d826-4f00-92ee-162334a52b1a" version="1.0.0.8" store="EXCatalog" storeType="EXCatalog"/>
  <we:alternateReferences>
    <we:reference id="WA200009404" version="1.0.0.8" store="pt-B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86EF-162C-445E-AA16-3F4C0803E92D}">
  <sheetPr codeName="Planilha1"/>
  <dimension ref="A1:K27"/>
  <sheetViews>
    <sheetView zoomScale="85" zoomScaleNormal="85" workbookViewId="0">
      <selection activeCell="AT33" sqref="AT33"/>
    </sheetView>
  </sheetViews>
  <sheetFormatPr defaultRowHeight="15" x14ac:dyDescent="0.25"/>
  <cols>
    <col min="1" max="11" width="22.85546875" customWidth="1"/>
  </cols>
  <sheetData>
    <row r="1" spans="1:11" ht="21" x14ac:dyDescent="0.35">
      <c r="A1" s="88" t="s">
        <v>0</v>
      </c>
    </row>
    <row r="3" spans="1:11" ht="15.75" x14ac:dyDescent="0.25">
      <c r="A3" s="89" t="s">
        <v>1</v>
      </c>
      <c r="E3" s="90" t="s">
        <v>2</v>
      </c>
      <c r="I3" s="91" t="s">
        <v>3</v>
      </c>
    </row>
    <row r="5" spans="1:11" x14ac:dyDescent="0.25">
      <c r="A5" s="92" t="s">
        <v>4</v>
      </c>
      <c r="B5" s="92" t="s">
        <v>5</v>
      </c>
      <c r="C5" s="92" t="s">
        <v>6</v>
      </c>
      <c r="E5" s="94" t="s">
        <v>4</v>
      </c>
      <c r="F5" s="94" t="s">
        <v>5</v>
      </c>
      <c r="G5" s="94" t="s">
        <v>6</v>
      </c>
      <c r="I5" s="96" t="s">
        <v>4</v>
      </c>
      <c r="J5" s="96" t="s">
        <v>5</v>
      </c>
      <c r="K5" s="96" t="s">
        <v>6</v>
      </c>
    </row>
    <row r="6" spans="1:11" x14ac:dyDescent="0.25">
      <c r="A6" s="53" t="s">
        <v>7</v>
      </c>
      <c r="B6" s="53">
        <f>COUNTIF('FTD01'!G:G,"GEMÜ")</f>
        <v>35</v>
      </c>
      <c r="C6" s="53">
        <f>COUNTIF('FTD01'!G:G,"ZDL")</f>
        <v>7</v>
      </c>
      <c r="E6" s="53" t="s">
        <v>8</v>
      </c>
      <c r="F6" s="53">
        <f>COUNTIF('PGD01'!G:G,"GEMÜ")</f>
        <v>32</v>
      </c>
      <c r="G6" s="53">
        <f>COUNTIF('PGD01'!G:G,"ZDL")</f>
        <v>6</v>
      </c>
      <c r="I6" s="53" t="s">
        <v>9</v>
      </c>
      <c r="J6" s="53">
        <f>COUNTIF('BLD02'!G:G,"GEMÜ")</f>
        <v>22</v>
      </c>
      <c r="K6" s="53">
        <f>COUNTIF('BLD02'!G:G,"ZDL")</f>
        <v>8</v>
      </c>
    </row>
    <row r="7" spans="1:11" x14ac:dyDescent="0.25">
      <c r="A7" s="53" t="s">
        <v>10</v>
      </c>
      <c r="B7" s="53">
        <f>COUNTIF('FTD02'!G:G,"GEMÜ")</f>
        <v>35</v>
      </c>
      <c r="C7" s="53">
        <f>COUNTIF('FTD02'!G:G,"ZDL")</f>
        <v>7</v>
      </c>
      <c r="E7" s="53" t="s">
        <v>11</v>
      </c>
      <c r="F7" s="53">
        <f>COUNTIF('PGD02'!G:G,"GEMÜ")</f>
        <v>34</v>
      </c>
      <c r="G7" s="53">
        <f>COUNTIF('PGD02'!G:G,"ZDL")</f>
        <v>4</v>
      </c>
      <c r="I7" s="53" t="s">
        <v>12</v>
      </c>
      <c r="J7" s="53">
        <v>22</v>
      </c>
      <c r="K7" s="53">
        <v>8</v>
      </c>
    </row>
    <row r="8" spans="1:11" x14ac:dyDescent="0.25">
      <c r="A8" s="53" t="s">
        <v>13</v>
      </c>
      <c r="B8" s="53">
        <f>COUNTIF('FTD03'!G:G,"GEMÜ")</f>
        <v>35</v>
      </c>
      <c r="C8" s="53">
        <f>COUNTIF('FTD03'!G:G,"ZDL")</f>
        <v>7</v>
      </c>
      <c r="E8" s="53" t="s">
        <v>14</v>
      </c>
      <c r="F8" s="53">
        <f>COUNTIF('PGD03'!G:G,"GEMÜ")</f>
        <v>33</v>
      </c>
      <c r="G8" s="53">
        <f>COUNTIF('PGD03'!G:G,"ZDL")</f>
        <v>5</v>
      </c>
      <c r="I8" s="97" t="s">
        <v>15</v>
      </c>
      <c r="J8" s="97">
        <f>SUM(J6:J7)</f>
        <v>44</v>
      </c>
      <c r="K8" s="97">
        <f>SUM(K6:K7)</f>
        <v>16</v>
      </c>
    </row>
    <row r="9" spans="1:11" x14ac:dyDescent="0.25">
      <c r="A9" s="53" t="s">
        <v>16</v>
      </c>
      <c r="B9" s="53">
        <f>COUNTIF('FTD04'!G:G,"GEMÜ")</f>
        <v>35</v>
      </c>
      <c r="C9" s="53">
        <f>COUNTIF('FTD04'!G:G,"ZDL")</f>
        <v>7</v>
      </c>
      <c r="E9" s="53" t="s">
        <v>17</v>
      </c>
      <c r="F9" s="53">
        <f>COUNTIF('PGD04'!G:G,"GEMÜ")</f>
        <v>33</v>
      </c>
      <c r="G9" s="53">
        <f>COUNTIF('PGD04'!G:G,"ZDL")</f>
        <v>5</v>
      </c>
    </row>
    <row r="10" spans="1:11" x14ac:dyDescent="0.25">
      <c r="A10" s="53" t="s">
        <v>18</v>
      </c>
      <c r="B10" s="53">
        <f>COUNTIF('FTD05'!G:G,"GEMÜ")</f>
        <v>34</v>
      </c>
      <c r="C10" s="53">
        <f>COUNTIF('FTD05'!G:G,"ZDL")</f>
        <v>8</v>
      </c>
      <c r="E10" s="53" t="s">
        <v>19</v>
      </c>
      <c r="F10" s="53">
        <f>COUNTIF('PGD05'!G:G,"GEMÜ")</f>
        <v>33</v>
      </c>
      <c r="G10" s="53">
        <f>COUNTIF('PGD05'!G:G,"ZDL")</f>
        <v>5</v>
      </c>
    </row>
    <row r="11" spans="1:11" x14ac:dyDescent="0.25">
      <c r="A11" s="53" t="s">
        <v>20</v>
      </c>
      <c r="B11" s="53">
        <f>COUNTIF('FTD06'!G:G,"GEMÜ")</f>
        <v>36</v>
      </c>
      <c r="C11" s="53">
        <f>COUNTIF('FTD06'!G:G,"ZDL")</f>
        <v>6</v>
      </c>
      <c r="E11" s="53" t="s">
        <v>21</v>
      </c>
      <c r="F11" s="53">
        <f>COUNTIF('PGD06'!G:G,"GEMÜ")</f>
        <v>33</v>
      </c>
      <c r="G11" s="53">
        <f>COUNTIF('PGD06'!G:G,"ZDL")</f>
        <v>5</v>
      </c>
    </row>
    <row r="12" spans="1:11" x14ac:dyDescent="0.25">
      <c r="A12" s="53" t="s">
        <v>22</v>
      </c>
      <c r="B12" s="53">
        <f>COUNTIF('FTD07'!G:G,"GEMÜ")</f>
        <v>36</v>
      </c>
      <c r="C12" s="53">
        <f>COUNTIF('FTD07'!G:G,"ZDL")</f>
        <v>7</v>
      </c>
      <c r="E12" s="53" t="s">
        <v>23</v>
      </c>
      <c r="F12" s="53">
        <f>COUNTIF('PGD07'!G:G,"GEMÜ")</f>
        <v>33</v>
      </c>
      <c r="G12" s="53">
        <f>COUNTIF('PGD07'!G:G,"ZDL")</f>
        <v>5</v>
      </c>
    </row>
    <row r="13" spans="1:11" x14ac:dyDescent="0.25">
      <c r="A13" s="53" t="s">
        <v>24</v>
      </c>
      <c r="B13" s="53">
        <f>COUNTIF('FTD08'!G:G,"GEMÜ")</f>
        <v>36</v>
      </c>
      <c r="C13" s="53">
        <f>COUNTIF('FTD08'!G:G,"ZDL")</f>
        <v>6</v>
      </c>
      <c r="E13" s="53" t="s">
        <v>25</v>
      </c>
      <c r="F13" s="53">
        <f>COUNTIF('PGD08'!G:G,"GEMÜ")</f>
        <v>32</v>
      </c>
      <c r="G13" s="53">
        <f>COUNTIF('PGD08'!G:G,"ZDL")</f>
        <v>6</v>
      </c>
    </row>
    <row r="14" spans="1:11" x14ac:dyDescent="0.25">
      <c r="A14" s="53" t="s">
        <v>26</v>
      </c>
      <c r="B14" s="53">
        <f>COUNTIF('FTD09'!G:G,"GEMÜ")</f>
        <v>34</v>
      </c>
      <c r="C14" s="53">
        <f>COUNTIF('FTD09'!G:G,"ZDL")</f>
        <v>9</v>
      </c>
      <c r="E14" s="53" t="s">
        <v>27</v>
      </c>
      <c r="F14" s="53">
        <f>COUNTIF('PGD09'!G:G,"GEMÜ")</f>
        <v>33</v>
      </c>
      <c r="G14" s="53">
        <f>COUNTIF('PGD09'!G:G,"ZDL")</f>
        <v>5</v>
      </c>
    </row>
    <row r="15" spans="1:11" x14ac:dyDescent="0.25">
      <c r="A15" s="53" t="s">
        <v>28</v>
      </c>
      <c r="B15" s="53">
        <f>COUNTIF('FTD10'!G:G,"GEMÜ")</f>
        <v>34</v>
      </c>
      <c r="C15" s="53">
        <f>COUNTIF('FTD10'!G:G,"ZDL")</f>
        <v>9</v>
      </c>
      <c r="E15" s="53" t="s">
        <v>29</v>
      </c>
      <c r="F15" s="53">
        <f>COUNTIF('PGD10'!G:G,"GEMÜ")</f>
        <v>33</v>
      </c>
      <c r="G15" s="53">
        <f>COUNTIF('PGD10'!G:G,"ZDL")</f>
        <v>5</v>
      </c>
    </row>
    <row r="16" spans="1:11" x14ac:dyDescent="0.25">
      <c r="A16" s="53" t="s">
        <v>30</v>
      </c>
      <c r="B16" s="53">
        <f>COUNTIF('FTD11'!G:G,"GEMÜ")</f>
        <v>35</v>
      </c>
      <c r="C16" s="53">
        <f>COUNTIF('FTD11'!G:G,"ZDL")</f>
        <v>7</v>
      </c>
      <c r="E16" s="53" t="s">
        <v>31</v>
      </c>
      <c r="F16" s="53">
        <f>COUNTIF('PGD11'!G:G,"GEMÜ")</f>
        <v>33</v>
      </c>
      <c r="G16" s="53">
        <f>COUNTIF('PGD11'!G:G,"ZDL")</f>
        <v>5</v>
      </c>
    </row>
    <row r="17" spans="1:7" x14ac:dyDescent="0.25">
      <c r="A17" s="53" t="s">
        <v>32</v>
      </c>
      <c r="B17" s="53">
        <f>COUNTIF('FTD12'!G:G,"GEMÜ")</f>
        <v>34</v>
      </c>
      <c r="C17" s="53">
        <f>COUNTIF('FTD12'!G:G,"ZDL")</f>
        <v>0</v>
      </c>
      <c r="E17" s="53" t="s">
        <v>33</v>
      </c>
      <c r="F17" s="53">
        <f>COUNTIF('PGD12'!G:G,"GEMÜ")</f>
        <v>33</v>
      </c>
      <c r="G17" s="53">
        <f>COUNTIF('PGD12'!G:G,"ZDL")</f>
        <v>5</v>
      </c>
    </row>
    <row r="18" spans="1:7" x14ac:dyDescent="0.25">
      <c r="A18" s="93" t="s">
        <v>34</v>
      </c>
      <c r="B18" s="93">
        <f>SUM(B6:B17)</f>
        <v>419</v>
      </c>
      <c r="C18" s="93">
        <f>SUM(C6:C17)</f>
        <v>80</v>
      </c>
      <c r="E18" s="95" t="s">
        <v>35</v>
      </c>
      <c r="F18" s="95">
        <f>SUM(F6:F17)</f>
        <v>395</v>
      </c>
      <c r="G18" s="95">
        <f>SUM(G6:G17)</f>
        <v>61</v>
      </c>
    </row>
    <row r="21" spans="1:7" ht="18.75" x14ac:dyDescent="0.3">
      <c r="A21" s="87" t="s">
        <v>36</v>
      </c>
    </row>
    <row r="23" spans="1:7" x14ac:dyDescent="0.25">
      <c r="A23" s="98" t="s">
        <v>37</v>
      </c>
      <c r="B23" s="98" t="s">
        <v>5</v>
      </c>
      <c r="C23" s="98" t="s">
        <v>6</v>
      </c>
    </row>
    <row r="24" spans="1:7" x14ac:dyDescent="0.25">
      <c r="A24" s="53" t="s">
        <v>38</v>
      </c>
      <c r="B24" s="53">
        <f>B18</f>
        <v>419</v>
      </c>
      <c r="C24" s="53">
        <f>C18</f>
        <v>80</v>
      </c>
    </row>
    <row r="25" spans="1:7" x14ac:dyDescent="0.25">
      <c r="A25" s="53" t="s">
        <v>39</v>
      </c>
      <c r="B25" s="53">
        <f>F18</f>
        <v>395</v>
      </c>
      <c r="C25" s="53">
        <f>G18</f>
        <v>61</v>
      </c>
    </row>
    <row r="26" spans="1:7" x14ac:dyDescent="0.25">
      <c r="A26" s="53" t="s">
        <v>40</v>
      </c>
      <c r="B26" s="53">
        <f>J8</f>
        <v>44</v>
      </c>
      <c r="C26" s="53">
        <f>K8</f>
        <v>16</v>
      </c>
    </row>
    <row r="27" spans="1:7" x14ac:dyDescent="0.25">
      <c r="A27" s="99" t="s">
        <v>41</v>
      </c>
      <c r="B27" s="99">
        <f>SUM(B24:B26)</f>
        <v>858</v>
      </c>
      <c r="C27" s="99">
        <f>SUM(C24:C26)</f>
        <v>157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5FE7-0897-47D7-AEF1-D0EFFD5DFEE2}">
  <sheetPr codeName="Planilha2"/>
  <dimension ref="B1:CR45"/>
  <sheetViews>
    <sheetView topLeftCell="AM1" zoomScale="70" zoomScaleNormal="70" workbookViewId="0">
      <selection activeCell="AT33" sqref="AT33"/>
    </sheetView>
  </sheetViews>
  <sheetFormatPr defaultRowHeight="15" x14ac:dyDescent="0.25"/>
  <cols>
    <col min="1" max="1" width="0" hidden="1" customWidth="1"/>
    <col min="2" max="2" width="54.140625" hidden="1" customWidth="1"/>
    <col min="3" max="4" width="0" hidden="1" customWidth="1"/>
    <col min="5" max="5" width="50.7109375" hidden="1" customWidth="1"/>
    <col min="6" max="6" width="9.140625" hidden="1" customWidth="1"/>
    <col min="7" max="7" width="11.140625" hidden="1" customWidth="1"/>
    <col min="8" max="8" width="50.7109375" hidden="1" customWidth="1"/>
    <col min="9" max="10" width="9.140625" hidden="1" customWidth="1"/>
    <col min="11" max="11" width="50.7109375" hidden="1" customWidth="1"/>
    <col min="12" max="13" width="9.140625" hidden="1" customWidth="1"/>
    <col min="14" max="14" width="50.7109375" hidden="1" customWidth="1"/>
    <col min="15" max="16" width="9.140625" hidden="1" customWidth="1"/>
    <col min="17" max="17" width="50.7109375" hidden="1" customWidth="1"/>
    <col min="18" max="19" width="9.140625" hidden="1" customWidth="1"/>
    <col min="20" max="20" width="50.7109375" hidden="1" customWidth="1"/>
    <col min="21" max="22" width="9.140625" hidden="1" customWidth="1"/>
    <col min="23" max="23" width="50.7109375" hidden="1" customWidth="1"/>
    <col min="24" max="25" width="9.140625" hidden="1" customWidth="1"/>
    <col min="26" max="26" width="50.7109375" hidden="1" customWidth="1"/>
    <col min="27" max="28" width="0" hidden="1" customWidth="1"/>
    <col min="29" max="29" width="50.7109375" hidden="1" customWidth="1"/>
    <col min="30" max="31" width="0" hidden="1" customWidth="1"/>
    <col min="32" max="32" width="50.7109375" hidden="1" customWidth="1"/>
    <col min="33" max="34" width="0" hidden="1" customWidth="1"/>
    <col min="35" max="35" width="50.7109375" hidden="1" customWidth="1"/>
    <col min="36" max="37" width="0" hidden="1" customWidth="1"/>
    <col min="38" max="38" width="6.85546875" hidden="1" customWidth="1"/>
    <col min="39" max="39" width="2.7109375" customWidth="1"/>
    <col min="40" max="40" width="28.42578125" customWidth="1"/>
    <col min="41" max="41" width="59.7109375" bestFit="1" customWidth="1"/>
    <col min="43" max="43" width="21.28515625" customWidth="1"/>
    <col min="44" max="44" width="15.7109375" customWidth="1"/>
    <col min="45" max="45" width="54.140625" bestFit="1" customWidth="1"/>
    <col min="46" max="46" width="7.7109375" bestFit="1" customWidth="1"/>
    <col min="47" max="48" width="8.7109375" customWidth="1"/>
    <col min="49" max="49" width="51.7109375" bestFit="1" customWidth="1"/>
    <col min="53" max="53" width="24.7109375" bestFit="1" customWidth="1"/>
    <col min="57" max="57" width="24.7109375" bestFit="1" customWidth="1"/>
    <col min="61" max="61" width="24.7109375" bestFit="1" customWidth="1"/>
    <col min="62" max="62" width="6.42578125" bestFit="1" customWidth="1"/>
    <col min="63" max="64" width="7.7109375" customWidth="1"/>
    <col min="65" max="65" width="24.7109375" bestFit="1" customWidth="1"/>
    <col min="69" max="69" width="24.7109375" bestFit="1" customWidth="1"/>
    <col min="73" max="73" width="24.7109375" bestFit="1" customWidth="1"/>
    <col min="77" max="77" width="24.7109375" bestFit="1" customWidth="1"/>
    <col min="81" max="81" width="24.7109375" bestFit="1" customWidth="1"/>
    <col min="85" max="85" width="24.7109375" bestFit="1" customWidth="1"/>
    <col min="86" max="86" width="5.85546875" customWidth="1"/>
    <col min="88" max="88" width="5.42578125" customWidth="1"/>
    <col min="89" max="89" width="2.7109375" customWidth="1"/>
    <col min="90" max="90" width="54.140625" customWidth="1"/>
    <col min="91" max="92" width="9.140625" customWidth="1"/>
    <col min="93" max="93" width="48" customWidth="1"/>
    <col min="94" max="95" width="9.140625" customWidth="1"/>
    <col min="96" max="96" width="3" customWidth="1"/>
  </cols>
  <sheetData>
    <row r="1" spans="2:96" ht="15.75" thickBot="1" x14ac:dyDescent="0.3"/>
    <row r="2" spans="2:96" x14ac:dyDescent="0.25">
      <c r="B2" s="178" t="s">
        <v>7</v>
      </c>
      <c r="C2" s="179"/>
      <c r="D2" s="180"/>
      <c r="E2" s="181" t="s">
        <v>10</v>
      </c>
      <c r="F2" s="177"/>
      <c r="G2" s="182"/>
      <c r="H2" s="181" t="s">
        <v>13</v>
      </c>
      <c r="I2" s="177"/>
      <c r="J2" s="182"/>
      <c r="K2" s="181" t="s">
        <v>16</v>
      </c>
      <c r="L2" s="177"/>
      <c r="M2" s="182"/>
      <c r="N2" s="181" t="s">
        <v>18</v>
      </c>
      <c r="O2" s="177"/>
      <c r="P2" s="182"/>
      <c r="Q2" s="177" t="s">
        <v>20</v>
      </c>
      <c r="R2" s="177"/>
      <c r="S2" s="177"/>
      <c r="T2" s="181" t="s">
        <v>22</v>
      </c>
      <c r="U2" s="177"/>
      <c r="V2" s="182"/>
      <c r="W2" s="177" t="s">
        <v>24</v>
      </c>
      <c r="X2" s="177"/>
      <c r="Y2" s="177"/>
      <c r="Z2" s="181" t="s">
        <v>26</v>
      </c>
      <c r="AA2" s="177"/>
      <c r="AB2" s="182"/>
      <c r="AC2" s="177" t="s">
        <v>28</v>
      </c>
      <c r="AD2" s="177"/>
      <c r="AE2" s="177"/>
      <c r="AF2" s="181" t="s">
        <v>30</v>
      </c>
      <c r="AG2" s="177"/>
      <c r="AH2" s="182"/>
      <c r="AI2" s="177" t="s">
        <v>32</v>
      </c>
      <c r="AJ2" s="177"/>
      <c r="AK2" s="177"/>
      <c r="AL2" s="182"/>
      <c r="AN2" s="183" t="s">
        <v>8</v>
      </c>
      <c r="AO2" s="184"/>
      <c r="AP2" s="184"/>
      <c r="AQ2" s="185"/>
      <c r="AR2" s="183" t="s">
        <v>11</v>
      </c>
      <c r="AS2" s="184"/>
      <c r="AT2" s="184"/>
      <c r="AU2" s="185"/>
      <c r="AV2" s="183" t="s">
        <v>14</v>
      </c>
      <c r="AW2" s="184"/>
      <c r="AX2" s="184"/>
      <c r="AY2" s="185"/>
      <c r="AZ2" s="183" t="s">
        <v>17</v>
      </c>
      <c r="BA2" s="184"/>
      <c r="BB2" s="184"/>
      <c r="BC2" s="185"/>
      <c r="BD2" s="183" t="s">
        <v>19</v>
      </c>
      <c r="BE2" s="184"/>
      <c r="BF2" s="184"/>
      <c r="BG2" s="185"/>
      <c r="BH2" s="183" t="s">
        <v>21</v>
      </c>
      <c r="BI2" s="184"/>
      <c r="BJ2" s="184"/>
      <c r="BK2" s="185"/>
      <c r="BL2" s="183" t="s">
        <v>23</v>
      </c>
      <c r="BM2" s="184"/>
      <c r="BN2" s="184"/>
      <c r="BO2" s="185"/>
      <c r="BP2" s="183" t="s">
        <v>25</v>
      </c>
      <c r="BQ2" s="184"/>
      <c r="BR2" s="184"/>
      <c r="BS2" s="185"/>
      <c r="BT2" s="183" t="s">
        <v>27</v>
      </c>
      <c r="BU2" s="184"/>
      <c r="BV2" s="184"/>
      <c r="BW2" s="185"/>
      <c r="BX2" s="183" t="s">
        <v>29</v>
      </c>
      <c r="BY2" s="184"/>
      <c r="BZ2" s="184"/>
      <c r="CA2" s="185"/>
      <c r="CB2" s="183" t="s">
        <v>31</v>
      </c>
      <c r="CC2" s="184"/>
      <c r="CD2" s="184"/>
      <c r="CE2" s="185"/>
      <c r="CF2" s="183" t="s">
        <v>33</v>
      </c>
      <c r="CG2" s="184"/>
      <c r="CH2" s="184"/>
      <c r="CI2" s="184"/>
      <c r="CJ2" s="185"/>
      <c r="CL2" s="186" t="s">
        <v>9</v>
      </c>
      <c r="CM2" s="187"/>
      <c r="CN2" s="188"/>
      <c r="CO2" s="187" t="s">
        <v>12</v>
      </c>
      <c r="CP2" s="187"/>
      <c r="CQ2" s="187"/>
      <c r="CR2" s="188"/>
    </row>
    <row r="3" spans="2:96" ht="31.5" x14ac:dyDescent="0.25">
      <c r="B3" s="55" t="s">
        <v>42</v>
      </c>
      <c r="C3" s="32" t="s">
        <v>43</v>
      </c>
      <c r="D3" s="67" t="s">
        <v>44</v>
      </c>
      <c r="E3" s="55" t="s">
        <v>42</v>
      </c>
      <c r="F3" s="32" t="s">
        <v>43</v>
      </c>
      <c r="G3" s="67" t="s">
        <v>44</v>
      </c>
      <c r="H3" s="55" t="s">
        <v>42</v>
      </c>
      <c r="I3" s="32" t="s">
        <v>43</v>
      </c>
      <c r="J3" s="67" t="s">
        <v>44</v>
      </c>
      <c r="K3" s="55" t="s">
        <v>42</v>
      </c>
      <c r="L3" s="32" t="s">
        <v>43</v>
      </c>
      <c r="M3" s="67" t="s">
        <v>44</v>
      </c>
      <c r="N3" s="55" t="s">
        <v>42</v>
      </c>
      <c r="O3" s="32" t="s">
        <v>43</v>
      </c>
      <c r="P3" s="67" t="s">
        <v>44</v>
      </c>
      <c r="Q3" s="55" t="s">
        <v>42</v>
      </c>
      <c r="R3" s="32" t="s">
        <v>43</v>
      </c>
      <c r="S3" s="67" t="s">
        <v>44</v>
      </c>
      <c r="T3" s="55" t="s">
        <v>42</v>
      </c>
      <c r="U3" s="32" t="s">
        <v>43</v>
      </c>
      <c r="V3" s="67" t="s">
        <v>44</v>
      </c>
      <c r="W3" s="55" t="s">
        <v>42</v>
      </c>
      <c r="X3" s="32" t="s">
        <v>43</v>
      </c>
      <c r="Y3" s="67" t="s">
        <v>44</v>
      </c>
      <c r="Z3" s="55" t="s">
        <v>42</v>
      </c>
      <c r="AA3" s="32" t="s">
        <v>43</v>
      </c>
      <c r="AB3" s="67" t="s">
        <v>44</v>
      </c>
      <c r="AC3" s="55" t="s">
        <v>42</v>
      </c>
      <c r="AD3" s="32" t="s">
        <v>43</v>
      </c>
      <c r="AE3" s="67" t="s">
        <v>44</v>
      </c>
      <c r="AF3" s="55" t="s">
        <v>42</v>
      </c>
      <c r="AG3" s="32" t="s">
        <v>43</v>
      </c>
      <c r="AH3" s="67" t="s">
        <v>44</v>
      </c>
      <c r="AI3" s="55" t="s">
        <v>42</v>
      </c>
      <c r="AJ3" s="32" t="s">
        <v>43</v>
      </c>
      <c r="AK3" s="67" t="s">
        <v>44</v>
      </c>
      <c r="AL3" s="82"/>
      <c r="AN3" s="55" t="s">
        <v>45</v>
      </c>
      <c r="AO3" s="32" t="s">
        <v>42</v>
      </c>
      <c r="AP3" s="32" t="s">
        <v>43</v>
      </c>
      <c r="AQ3" s="67" t="s">
        <v>46</v>
      </c>
      <c r="AR3" s="55" t="s">
        <v>45</v>
      </c>
      <c r="AS3" s="32" t="s">
        <v>42</v>
      </c>
      <c r="AT3" s="32" t="s">
        <v>43</v>
      </c>
      <c r="AU3" s="67" t="s">
        <v>44</v>
      </c>
      <c r="AV3" s="55" t="s">
        <v>45</v>
      </c>
      <c r="AW3" s="32" t="s">
        <v>42</v>
      </c>
      <c r="AX3" s="32" t="s">
        <v>43</v>
      </c>
      <c r="AY3" s="67" t="s">
        <v>44</v>
      </c>
      <c r="AZ3" s="55" t="s">
        <v>45</v>
      </c>
      <c r="BA3" s="32" t="s">
        <v>42</v>
      </c>
      <c r="BB3" s="32" t="s">
        <v>43</v>
      </c>
      <c r="BC3" s="67" t="s">
        <v>44</v>
      </c>
      <c r="BD3" s="55" t="s">
        <v>45</v>
      </c>
      <c r="BE3" s="32" t="s">
        <v>42</v>
      </c>
      <c r="BF3" s="32" t="s">
        <v>43</v>
      </c>
      <c r="BG3" s="67" t="s">
        <v>44</v>
      </c>
      <c r="BH3" s="55" t="s">
        <v>45</v>
      </c>
      <c r="BI3" s="32" t="s">
        <v>42</v>
      </c>
      <c r="BJ3" s="32" t="s">
        <v>43</v>
      </c>
      <c r="BK3" s="67" t="s">
        <v>44</v>
      </c>
      <c r="BL3" s="55" t="s">
        <v>45</v>
      </c>
      <c r="BM3" s="32" t="s">
        <v>42</v>
      </c>
      <c r="BN3" s="32" t="s">
        <v>43</v>
      </c>
      <c r="BO3" s="67" t="s">
        <v>44</v>
      </c>
      <c r="BP3" s="55" t="s">
        <v>45</v>
      </c>
      <c r="BQ3" s="32" t="s">
        <v>42</v>
      </c>
      <c r="BR3" s="32" t="s">
        <v>43</v>
      </c>
      <c r="BS3" s="67" t="s">
        <v>44</v>
      </c>
      <c r="BT3" s="55" t="s">
        <v>45</v>
      </c>
      <c r="BU3" s="32" t="s">
        <v>42</v>
      </c>
      <c r="BV3" s="32" t="s">
        <v>43</v>
      </c>
      <c r="BW3" s="67" t="s">
        <v>44</v>
      </c>
      <c r="BX3" s="55" t="s">
        <v>45</v>
      </c>
      <c r="BY3" s="32" t="s">
        <v>42</v>
      </c>
      <c r="BZ3" s="32" t="s">
        <v>43</v>
      </c>
      <c r="CA3" s="67" t="s">
        <v>44</v>
      </c>
      <c r="CB3" s="55" t="s">
        <v>45</v>
      </c>
      <c r="CC3" s="32" t="s">
        <v>42</v>
      </c>
      <c r="CD3" s="32" t="s">
        <v>43</v>
      </c>
      <c r="CE3" s="67" t="s">
        <v>44</v>
      </c>
      <c r="CF3" s="55" t="s">
        <v>45</v>
      </c>
      <c r="CG3" s="32" t="s">
        <v>42</v>
      </c>
      <c r="CH3" s="32" t="s">
        <v>43</v>
      </c>
      <c r="CI3" s="32" t="s">
        <v>44</v>
      </c>
      <c r="CJ3" s="82"/>
      <c r="CL3" s="55" t="s">
        <v>42</v>
      </c>
      <c r="CM3" s="32" t="s">
        <v>43</v>
      </c>
      <c r="CN3" s="67" t="s">
        <v>44</v>
      </c>
      <c r="CO3" s="77" t="s">
        <v>42</v>
      </c>
      <c r="CP3" s="32" t="s">
        <v>43</v>
      </c>
      <c r="CQ3" s="32" t="s">
        <v>44</v>
      </c>
      <c r="CR3" s="82"/>
    </row>
    <row r="4" spans="2:96" x14ac:dyDescent="0.25">
      <c r="B4" s="62" t="s">
        <v>47</v>
      </c>
      <c r="C4" s="14" t="s">
        <v>48</v>
      </c>
      <c r="D4" s="68" t="s">
        <v>6</v>
      </c>
      <c r="E4" s="83" t="str">
        <f>VLOOKUP(B4,'FTD02'!C:E,1,0)</f>
        <v xml:space="preserve">Alimentação de vapor fundo do tanque e bloco de amostra </v>
      </c>
      <c r="F4" s="84" t="str">
        <f>VLOOKUP(B4,'FTD02'!C:E,3,0)</f>
        <v>DN-8</v>
      </c>
      <c r="G4" s="82" t="str">
        <f>VLOOKUP(B4,'FTD02'!C:G,5,0)</f>
        <v>ZDL</v>
      </c>
      <c r="H4" s="83" t="str">
        <f>VLOOKUP(B4,'FTD03'!C:E,1,0)</f>
        <v xml:space="preserve">Alimentação de vapor fundo do tanque e bloco de amostra </v>
      </c>
      <c r="I4" s="84" t="str">
        <f>VLOOKUP(B4,'FTD03'!C:E,3,0)</f>
        <v>DN-8</v>
      </c>
      <c r="J4" s="82" t="str">
        <f>VLOOKUP(B4,'FTD03'!C:G,5,0)</f>
        <v>ZDL</v>
      </c>
      <c r="K4" s="83" t="str">
        <f>VLOOKUP(B4,'FTD04'!C:E,1,0)</f>
        <v xml:space="preserve">Alimentação de vapor fundo do tanque e bloco de amostra </v>
      </c>
      <c r="L4" s="84" t="str">
        <f>VLOOKUP(B4,'FTD04'!C:E,3,0)</f>
        <v>DN-8</v>
      </c>
      <c r="M4" s="82" t="str">
        <f>VLOOKUP(B4,'FTD04'!C:G,5,0)</f>
        <v>GEMÜ</v>
      </c>
      <c r="N4" s="83" t="str">
        <f>VLOOKUP(B4,'FTD05'!C:E,1,0)</f>
        <v xml:space="preserve">Alimentação de vapor fundo do tanque e bloco de amostra </v>
      </c>
      <c r="O4" s="84" t="str">
        <f>VLOOKUP(B4,'FTD05'!C:E,3,0)</f>
        <v>DN-8</v>
      </c>
      <c r="P4" s="82" t="str">
        <f>VLOOKUP(B4,'FTD05'!C:G,5,0)</f>
        <v>ZDL</v>
      </c>
      <c r="Q4" s="85" t="str">
        <f>VLOOKUP(B4,'FTD06'!C:E,1,0)</f>
        <v xml:space="preserve">Alimentação de vapor fundo do tanque e bloco de amostra </v>
      </c>
      <c r="R4" s="84" t="str">
        <f>VLOOKUP(B4,'FTD06'!C:E,3,0)</f>
        <v>DN-8</v>
      </c>
      <c r="S4" s="86" t="str">
        <f>VLOOKUP(B4,'FTD06'!C:G,5,0)</f>
        <v>ZDL</v>
      </c>
      <c r="T4" s="83" t="str">
        <f>VLOOKUP(B4,'FTD07'!C:E,1,0)</f>
        <v xml:space="preserve">Alimentação de vapor fundo do tanque e bloco de amostra </v>
      </c>
      <c r="U4" s="84" t="str">
        <f>VLOOKUP(B4,'FTD07'!C:E,3,0)</f>
        <v>DN-8</v>
      </c>
      <c r="V4" s="82" t="str">
        <f>VLOOKUP(B4,'FTD07'!C:G,5,0)</f>
        <v>GEMÜ</v>
      </c>
      <c r="W4" s="85" t="str">
        <f>VLOOKUP(B4,'FTD08'!C:E,1,0)</f>
        <v xml:space="preserve">Alimentação de vapor fundo do tanque e bloco de amostra </v>
      </c>
      <c r="X4" s="84" t="str">
        <f>VLOOKUP(B4,'FTD08'!C:E,3,0)</f>
        <v>DN-8</v>
      </c>
      <c r="Y4" s="86" t="str">
        <f>VLOOKUP(B4,'FTD08'!C:G,5,0)</f>
        <v>GEMÜ</v>
      </c>
      <c r="Z4" s="83" t="str">
        <f>VLOOKUP(B4,'FTD09'!C:E,1,0)</f>
        <v xml:space="preserve">Alimentação de vapor fundo do tanque e bloco de amostra </v>
      </c>
      <c r="AA4" s="84" t="str">
        <f>VLOOKUP(B4,'FTD09'!C:E,3,0)</f>
        <v>DN-8</v>
      </c>
      <c r="AB4" s="82" t="str">
        <f>VLOOKUP(B4,'FTD09'!C:G,5,0)</f>
        <v>ZDL</v>
      </c>
      <c r="AC4" s="85" t="str">
        <f>VLOOKUP(B4,'FTD10'!C:E,1,0)</f>
        <v xml:space="preserve">Alimentação de vapor fundo do tanque e bloco de amostra </v>
      </c>
      <c r="AD4" s="84" t="str">
        <f>VLOOKUP(B4,'FTD10'!C:E,3,0)</f>
        <v>DN-8</v>
      </c>
      <c r="AE4" s="86" t="str">
        <f>VLOOKUP(B4,'FTD10'!C:G,5,0)</f>
        <v>GEMÜ</v>
      </c>
      <c r="AF4" s="83" t="str">
        <f>VLOOKUP(B4,'FTD11'!C:E,1,0)</f>
        <v xml:space="preserve">Alimentação de vapor fundo do tanque e bloco de amostra </v>
      </c>
      <c r="AG4" s="84" t="str">
        <f>VLOOKUP(B4,'FTD11'!C:E,3,0)</f>
        <v>DN-8</v>
      </c>
      <c r="AH4" s="82" t="str">
        <f>VLOOKUP(B4,'FTD11'!C:G,5,0)</f>
        <v>GEMÜ</v>
      </c>
      <c r="AI4" s="85" t="str">
        <f>VLOOKUP(B4,'FTD12'!C:E,1,0)</f>
        <v xml:space="preserve">Alimentação de vapor fundo do tanque e bloco de amostra </v>
      </c>
      <c r="AJ4" s="84" t="str">
        <f>VLOOKUP(B4,'FTD12'!C:E,3,0)</f>
        <v>DN-8</v>
      </c>
      <c r="AK4" s="84" t="str">
        <f>VLOOKUP(B4,'FTD12'!C:G,5,0)</f>
        <v xml:space="preserve">ZDL </v>
      </c>
      <c r="AL4" s="82">
        <f>COUNTIF(E4:AJ4,AJ4)</f>
        <v>11</v>
      </c>
      <c r="AN4" s="62" t="s">
        <v>49</v>
      </c>
      <c r="AO4" s="14" t="s">
        <v>50</v>
      </c>
      <c r="AP4" s="14" t="s">
        <v>51</v>
      </c>
      <c r="AQ4" s="68" t="s">
        <v>52</v>
      </c>
      <c r="AR4" s="84" t="str">
        <f>VLOOKUP(AN4,'PGD02'!A:E,1,0)</f>
        <v xml:space="preserve">Inferior </v>
      </c>
      <c r="AS4" s="84" t="str">
        <f>VLOOKUP(AO4,'PGD02'!C:E,1,0)</f>
        <v>Bloco 2 vias fundo –  Vapor</v>
      </c>
      <c r="AT4" s="84" t="str">
        <f>VLOOKUP(AO4,'PGD02'!C:E,3,0)</f>
        <v>DN-40</v>
      </c>
      <c r="AU4" s="82" t="str">
        <f>VLOOKUP(AO4,'PGD02'!C:G,5,0)</f>
        <v>GEMÜ</v>
      </c>
      <c r="AV4" s="84" t="str">
        <f>VLOOKUP(AN4,'PGD03'!A:E,1,0)</f>
        <v xml:space="preserve">Inferior </v>
      </c>
      <c r="AW4" s="84" t="str">
        <f>VLOOKUP(AO4,'PGD03'!C:E,1,0)</f>
        <v>Bloco 2 vias fundo –  Vapor</v>
      </c>
      <c r="AX4" s="84" t="str">
        <f>VLOOKUP(AO4,'PGD03'!C:E,3,0)</f>
        <v>DN-40</v>
      </c>
      <c r="AY4" s="82" t="str">
        <f>VLOOKUP(AO4,'PGD03'!C:G,5,0)</f>
        <v>GEMÜ</v>
      </c>
      <c r="AZ4" s="84" t="str">
        <f>VLOOKUP(AN4,'PGD04'!A:E,1,0)</f>
        <v xml:space="preserve">Inferior </v>
      </c>
      <c r="BA4" s="84" t="str">
        <f>VLOOKUP(AO4,'PGD03'!C:E,1,0)</f>
        <v>Bloco 2 vias fundo –  Vapor</v>
      </c>
      <c r="BB4" s="84" t="str">
        <f>VLOOKUP(AO4,'PGD04'!C:E,3,0)</f>
        <v>DN-40</v>
      </c>
      <c r="BC4" s="82" t="str">
        <f>VLOOKUP(AO4,'PGD04'!C:G,5,0)</f>
        <v>GEMÜ</v>
      </c>
      <c r="BD4" s="84" t="str">
        <f>VLOOKUP(AN4,'PGD05'!A:E,1,0)</f>
        <v xml:space="preserve">Inferior </v>
      </c>
      <c r="BE4" s="84" t="str">
        <f>VLOOKUP(AO4,'PGD05'!C:E,1,0)</f>
        <v>Bloco 2 vias fundo –  Vapor</v>
      </c>
      <c r="BF4" s="84" t="str">
        <f>VLOOKUP(AO4,'PGD05'!C:E,3,0)</f>
        <v>DN-40</v>
      </c>
      <c r="BG4" s="82" t="str">
        <f>VLOOKUP(AO4,'PGD05'!C:G,5,0)</f>
        <v>GEMÜ</v>
      </c>
      <c r="BH4" s="84" t="str">
        <f>VLOOKUP(AN4,'PGD06'!A:E,1,0)</f>
        <v xml:space="preserve">Inferior </v>
      </c>
      <c r="BI4" s="84" t="str">
        <f>VLOOKUP(AO4,'PGD06'!C:E,1,0)</f>
        <v>Bloco 2 vias fundo –  Vapor</v>
      </c>
      <c r="BJ4" s="84" t="str">
        <f>VLOOKUP(AO4,'PGD06'!C:E,3,0)</f>
        <v>DN-40</v>
      </c>
      <c r="BK4" s="82" t="str">
        <f>VLOOKUP(AO4,'PGD06'!C:G,5,0)</f>
        <v>GEMÜ</v>
      </c>
      <c r="BL4" s="84" t="str">
        <f>VLOOKUP(AN4,'PGD07'!A:E,1,0)</f>
        <v xml:space="preserve">Inferior </v>
      </c>
      <c r="BM4" s="84" t="str">
        <f>VLOOKUP(AO4,'PGD07'!C:E,1,0)</f>
        <v>Bloco 2 vias fundo –  Vapor</v>
      </c>
      <c r="BN4" s="84" t="str">
        <f>VLOOKUP(AO4,'PGD07'!C:E,3,0)</f>
        <v>DN-40</v>
      </c>
      <c r="BO4" s="82" t="str">
        <f>VLOOKUP(AO4,'PGD07'!C:G,5,0)</f>
        <v>GEMÜ</v>
      </c>
      <c r="BP4" s="84" t="str">
        <f>VLOOKUP(AN4,'PGD08'!A:E,1,0)</f>
        <v xml:space="preserve">Inferior </v>
      </c>
      <c r="BQ4" s="84" t="str">
        <f>VLOOKUP(AO4,'PGD08'!C:E,1,0)</f>
        <v>Bloco 2 vias fundo –  Vapor</v>
      </c>
      <c r="BR4" s="84" t="str">
        <f>VLOOKUP(AO4,'PGD08'!C:E,3,0)</f>
        <v>DN-40</v>
      </c>
      <c r="BS4" s="82" t="str">
        <f>VLOOKUP(AO4,'PGD08'!C:G,5,0)</f>
        <v>GEMÜ</v>
      </c>
      <c r="BT4" s="84" t="str">
        <f>VLOOKUP(AN4,'PGD09'!A:E,1,0)</f>
        <v xml:space="preserve">Inferior </v>
      </c>
      <c r="BU4" s="84" t="str">
        <f>VLOOKUP(AO4,'PGD09'!C:E,1,0)</f>
        <v>Bloco 2 vias fundo –  Vapor</v>
      </c>
      <c r="BV4" s="84" t="str">
        <f>VLOOKUP(AO4,'PGD09'!C:E,3,0)</f>
        <v>DN-40</v>
      </c>
      <c r="BW4" s="82" t="str">
        <f>VLOOKUP(AO4,'PGD09'!C:G,5,0)</f>
        <v>GEMÜ</v>
      </c>
      <c r="BX4" s="84" t="str">
        <f>VLOOKUP(AN4,'PGD10'!A:E,1,0)</f>
        <v xml:space="preserve">Inferior </v>
      </c>
      <c r="BY4" s="84" t="str">
        <f>VLOOKUP(AO4,'PGD10'!C:E,1,0)</f>
        <v>Bloco 2 vias fundo –  Vapor</v>
      </c>
      <c r="BZ4" s="84" t="str">
        <f>VLOOKUP(AO4,'PGD10'!C:E,3,0)</f>
        <v>DN-40</v>
      </c>
      <c r="CA4" s="82" t="str">
        <f>VLOOKUP(AO4,'PGD10'!C:G,5,0)</f>
        <v>GEMÜ</v>
      </c>
      <c r="CB4" s="84" t="str">
        <f>VLOOKUP(AN4,'PGD11'!A:E,1,0)</f>
        <v xml:space="preserve">Inferior </v>
      </c>
      <c r="CC4" s="84" t="str">
        <f>VLOOKUP(AO4,'PGD11'!C:E,1,0)</f>
        <v>Bloco 2 vias fundo –  Vapor</v>
      </c>
      <c r="CD4" s="84" t="str">
        <f>VLOOKUP(AO4,'PGD11'!C:E,3,0)</f>
        <v>DN-40</v>
      </c>
      <c r="CE4" s="82" t="str">
        <f>VLOOKUP(AO4,'PGD11'!C:G,5,0)</f>
        <v>GEMÜ</v>
      </c>
      <c r="CF4" s="84" t="str">
        <f>VLOOKUP(AN4,'PGD12'!A:E,1,0)</f>
        <v xml:space="preserve">Inferior </v>
      </c>
      <c r="CG4" s="84" t="str">
        <f>VLOOKUP(AO4,'PGD12'!C:E,1,0)</f>
        <v>Bloco 2 vias fundo –  Vapor</v>
      </c>
      <c r="CH4" s="84" t="str">
        <f>VLOOKUP(AO4,'PGD12'!C:E,3,0)</f>
        <v>DN-40</v>
      </c>
      <c r="CI4" s="84" t="str">
        <f>VLOOKUP(AO4,'PGD12'!C:G,5,0)</f>
        <v>ZDL</v>
      </c>
      <c r="CJ4" s="82">
        <f t="shared" ref="CJ4:CJ40" si="0">COUNTIF(AS4:CH4,CH4)</f>
        <v>11</v>
      </c>
      <c r="CL4" s="51" t="s">
        <v>53</v>
      </c>
      <c r="CM4" s="6" t="s">
        <v>54</v>
      </c>
      <c r="CN4" s="80" t="s">
        <v>6</v>
      </c>
      <c r="CO4" s="85" t="str">
        <f>VLOOKUP(CL4,'BLD03'!C:E,1,0)</f>
        <v>Bloco válv. 3 vias coletor de amostra Entrada tanque</v>
      </c>
      <c r="CP4" s="84" t="str">
        <f>VLOOKUP(CL4,'BLD03'!C:E,3,0)</f>
        <v>DN-15</v>
      </c>
      <c r="CQ4" s="84" t="str">
        <f>VLOOKUP(CL4,'BLD02'!C:G,5,0)</f>
        <v>ZDL</v>
      </c>
      <c r="CR4" s="82">
        <f>COUNTIF(CL4:CP4,CP4)</f>
        <v>2</v>
      </c>
    </row>
    <row r="5" spans="2:96" x14ac:dyDescent="0.25">
      <c r="B5" s="64" t="s">
        <v>55</v>
      </c>
      <c r="C5" s="7" t="s">
        <v>51</v>
      </c>
      <c r="D5" s="69" t="s">
        <v>5</v>
      </c>
      <c r="E5" s="57" t="str">
        <f>VLOOKUP(B5,'FTD02'!C:E,1,0)</f>
        <v>Bloco 2 vias fundo –  fundo</v>
      </c>
      <c r="F5" s="53" t="str">
        <f>VLOOKUP(B5,'FTD02'!C:E,3,0)</f>
        <v>DN-40</v>
      </c>
      <c r="G5" s="56" t="str">
        <f>VLOOKUP(B5,'FTD02'!C:G,5,0)</f>
        <v>GEMÜ</v>
      </c>
      <c r="H5" s="57" t="str">
        <f>VLOOKUP(B5,'FTD03'!C:E,1,0)</f>
        <v>Bloco 2 vias fundo –  fundo</v>
      </c>
      <c r="I5" s="53" t="str">
        <f>VLOOKUP(B5,'FTD03'!C:E,3,0)</f>
        <v>DN-40</v>
      </c>
      <c r="J5" s="56" t="str">
        <f>VLOOKUP(B5,'FTD03'!C:G,5,0)</f>
        <v>GEMÜ</v>
      </c>
      <c r="K5" s="57" t="str">
        <f>VLOOKUP(B5,'FTD04'!C:E,1,0)</f>
        <v>Bloco 2 vias fundo –  fundo</v>
      </c>
      <c r="L5" s="53" t="str">
        <f>VLOOKUP(B5,'FTD04'!C:E,3,0)</f>
        <v>DN-40</v>
      </c>
      <c r="M5" s="56" t="str">
        <f>VLOOKUP(B5,'FTD04'!C:G,5,0)</f>
        <v>GEMÜ</v>
      </c>
      <c r="N5" s="57" t="str">
        <f>VLOOKUP(B5,'FTD05'!C:E,1,0)</f>
        <v>Bloco 2 vias fundo –  fundo</v>
      </c>
      <c r="O5" s="53" t="str">
        <f>VLOOKUP(B5,'FTD05'!C:E,3,0)</f>
        <v>DN-40</v>
      </c>
      <c r="P5" s="56" t="str">
        <f>VLOOKUP(B5,'FTD05'!C:G,5,0)</f>
        <v>GEMÜ</v>
      </c>
      <c r="Q5" s="65" t="str">
        <f>VLOOKUP(B5,'FTD06'!C:E,1,0)</f>
        <v>Bloco 2 vias fundo –  fundo</v>
      </c>
      <c r="R5" s="53" t="str">
        <f>VLOOKUP(B5,'FTD06'!C:E,3,0)</f>
        <v>DN-40</v>
      </c>
      <c r="S5" s="74" t="str">
        <f>VLOOKUP(B5,'FTD06'!C:G,5,0)</f>
        <v>GEMÜ</v>
      </c>
      <c r="T5" s="57" t="str">
        <f>VLOOKUP(B5,'FTD07'!C:E,1,0)</f>
        <v>Bloco 2 vias fundo –  fundo</v>
      </c>
      <c r="U5" s="53" t="str">
        <f>VLOOKUP(B5,'FTD07'!C:E,3,0)</f>
        <v>DN-40</v>
      </c>
      <c r="V5" s="56" t="str">
        <f>VLOOKUP(B5,'FTD07'!C:G,5,0)</f>
        <v>GEMÜ</v>
      </c>
      <c r="W5" s="65" t="str">
        <f>VLOOKUP(B5,'FTD08'!C:E,1,0)</f>
        <v>Bloco 2 vias fundo –  fundo</v>
      </c>
      <c r="X5" s="53" t="str">
        <f>VLOOKUP(B5,'FTD08'!C:E,3,0)</f>
        <v>DN-40</v>
      </c>
      <c r="Y5" s="74" t="str">
        <f>VLOOKUP(B5,'FTD08'!C:G,5,0)</f>
        <v>GEMÜ</v>
      </c>
      <c r="Z5" s="57" t="str">
        <f>VLOOKUP(B5,'FTD09'!C:E,1,0)</f>
        <v>Bloco 2 vias fundo –  fundo</v>
      </c>
      <c r="AA5" s="53" t="str">
        <f>VLOOKUP(B5,'FTD09'!C:E,3,0)</f>
        <v>DN-40</v>
      </c>
      <c r="AB5" s="56" t="str">
        <f>VLOOKUP(B5,'FTD09'!C:G,5,0)</f>
        <v>GEMÜ</v>
      </c>
      <c r="AC5" s="65" t="str">
        <f>VLOOKUP(B5,'FTD10'!C:E,1,0)</f>
        <v>Bloco 2 vias fundo –  fundo</v>
      </c>
      <c r="AD5" s="53" t="str">
        <f>VLOOKUP(B5,'FTD10'!C:E,3,0)</f>
        <v>DN-40</v>
      </c>
      <c r="AE5" s="74" t="str">
        <f>VLOOKUP(B5,'FTD10'!C:G,5,0)</f>
        <v>GEMÜ</v>
      </c>
      <c r="AF5" s="57" t="str">
        <f>VLOOKUP(B5,'FTD11'!C:E,1,0)</f>
        <v>Bloco 2 vias fundo –  fundo</v>
      </c>
      <c r="AG5" s="53" t="str">
        <f>VLOOKUP(B5,'FTD11'!C:E,3,0)</f>
        <v>DN-40</v>
      </c>
      <c r="AH5" s="56" t="str">
        <f>VLOOKUP(B5,'FTD11'!C:G,5,0)</f>
        <v>GEMÜ</v>
      </c>
      <c r="AI5" s="65" t="str">
        <f>VLOOKUP(B5,'FTD12'!C:E,1,0)</f>
        <v>Bloco 2 vias fundo –  fundo</v>
      </c>
      <c r="AJ5" s="53" t="str">
        <f>VLOOKUP(B5,'FTD12'!C:E,3,0)</f>
        <v>DN-40</v>
      </c>
      <c r="AK5" s="53" t="str">
        <f>VLOOKUP(B5,'FTD12'!C:G,5,0)</f>
        <v>GEMÜ</v>
      </c>
      <c r="AL5" s="56">
        <f t="shared" ref="AL5:AL43" si="1">COUNTIF(E5:AJ5,AJ5)</f>
        <v>11</v>
      </c>
      <c r="AN5" s="63" t="s">
        <v>49</v>
      </c>
      <c r="AO5" s="16" t="s">
        <v>56</v>
      </c>
      <c r="AP5" s="16" t="s">
        <v>54</v>
      </c>
      <c r="AQ5" s="78" t="s">
        <v>57</v>
      </c>
      <c r="AR5" s="84" t="str">
        <f>VLOOKUP(AN5,'PGD02'!A:E,1,0)</f>
        <v xml:space="preserve">Inferior </v>
      </c>
      <c r="AS5" s="53" t="str">
        <f>VLOOKUP(AO5,'PGD02'!C:E,1,0)</f>
        <v xml:space="preserve">Bloco válv. 3 vias coletor de amostra Dreno vapor </v>
      </c>
      <c r="AT5" s="53" t="str">
        <f>VLOOKUP(AO5,'PGD02'!C:E,3,0)</f>
        <v>DN-15</v>
      </c>
      <c r="AU5" s="56" t="str">
        <f>VLOOKUP(AO5,'PGD02'!C:G,5,0)</f>
        <v>ZDL</v>
      </c>
      <c r="AV5" s="84" t="str">
        <f>VLOOKUP(AN5,'PGD03'!A:E,1,0)</f>
        <v xml:space="preserve">Inferior </v>
      </c>
      <c r="AW5" s="53" t="str">
        <f>VLOOKUP(AO5,'PGD03'!C:E,1,0)</f>
        <v xml:space="preserve">Bloco válv. 3 vias coletor de amostra Dreno vapor </v>
      </c>
      <c r="AX5" s="53" t="str">
        <f>VLOOKUP(AO5,'PGD03'!C:E,3,0)</f>
        <v>DN-15</v>
      </c>
      <c r="AY5" s="56" t="str">
        <f>VLOOKUP(AO5,'PGD03'!C:G,5,0)</f>
        <v>ZDL</v>
      </c>
      <c r="AZ5" s="84" t="str">
        <f>VLOOKUP(AN5,'PGD04'!A:E,1,0)</f>
        <v xml:space="preserve">Inferior </v>
      </c>
      <c r="BA5" s="53" t="str">
        <f>VLOOKUP(AO5,'PGD03'!C:E,1,0)</f>
        <v xml:space="preserve">Bloco válv. 3 vias coletor de amostra Dreno vapor </v>
      </c>
      <c r="BB5" s="53" t="str">
        <f>VLOOKUP(AO5,'PGD04'!C:E,3,0)</f>
        <v>DN-15</v>
      </c>
      <c r="BC5" s="56" t="str">
        <f>VLOOKUP(AO5,'PGD04'!C:G,5,0)</f>
        <v>ZDL</v>
      </c>
      <c r="BD5" s="84" t="str">
        <f>VLOOKUP(AN5,'PGD05'!A:E,1,0)</f>
        <v xml:space="preserve">Inferior </v>
      </c>
      <c r="BE5" s="53" t="str">
        <f>VLOOKUP(AO5,'PGD05'!C:E,1,0)</f>
        <v xml:space="preserve">Bloco válv. 3 vias coletor de amostra Dreno vapor </v>
      </c>
      <c r="BF5" s="53" t="str">
        <f>VLOOKUP(AO5,'PGD05'!C:E,3,0)</f>
        <v>DN-15</v>
      </c>
      <c r="BG5" s="56" t="str">
        <f>VLOOKUP(AO5,'PGD05'!C:G,5,0)</f>
        <v>ZDL</v>
      </c>
      <c r="BH5" s="84" t="str">
        <f>VLOOKUP(AN5,'PGD06'!A:E,1,0)</f>
        <v xml:space="preserve">Inferior </v>
      </c>
      <c r="BI5" s="53" t="str">
        <f>VLOOKUP(AO5,'PGD06'!C:E,1,0)</f>
        <v xml:space="preserve">Bloco válv. 3 vias coletor de amostra Dreno vapor </v>
      </c>
      <c r="BJ5" s="53" t="str">
        <f>VLOOKUP(AO5,'PGD06'!C:E,3,0)</f>
        <v>DN-15</v>
      </c>
      <c r="BK5" s="56" t="str">
        <f>VLOOKUP(AO5,'PGD06'!C:G,5,0)</f>
        <v>ZDL</v>
      </c>
      <c r="BL5" s="84" t="str">
        <f>VLOOKUP(AN5,'PGD07'!A:E,1,0)</f>
        <v xml:space="preserve">Inferior </v>
      </c>
      <c r="BM5" s="53" t="str">
        <f>VLOOKUP(AO5,'PGD07'!C:E,1,0)</f>
        <v xml:space="preserve">Bloco válv. 3 vias coletor de amostra Dreno vapor </v>
      </c>
      <c r="BN5" s="53" t="str">
        <f>VLOOKUP(AO5,'PGD07'!C:E,3,0)</f>
        <v>DN-15</v>
      </c>
      <c r="BO5" s="56" t="str">
        <f>VLOOKUP(AO5,'PGD07'!C:G,5,0)</f>
        <v>ZDL</v>
      </c>
      <c r="BP5" s="84" t="str">
        <f>VLOOKUP(AN5,'PGD08'!A:E,1,0)</f>
        <v xml:space="preserve">Inferior </v>
      </c>
      <c r="BQ5" s="53" t="str">
        <f>VLOOKUP(AO5,'PGD08'!C:E,1,0)</f>
        <v xml:space="preserve">Bloco válv. 3 vias coletor de amostra Dreno vapor </v>
      </c>
      <c r="BR5" s="53" t="str">
        <f>VLOOKUP(AO5,'PGD08'!C:E,3,0)</f>
        <v>DN-15</v>
      </c>
      <c r="BS5" s="56" t="str">
        <f>VLOOKUP(AO5,'PGD08'!C:G,5,0)</f>
        <v>ZDL</v>
      </c>
      <c r="BT5" s="84" t="str">
        <f>VLOOKUP(AN5,'PGD09'!A:E,1,0)</f>
        <v xml:space="preserve">Inferior </v>
      </c>
      <c r="BU5" s="53" t="str">
        <f>VLOOKUP(AO5,'PGD09'!C:E,1,0)</f>
        <v xml:space="preserve">Bloco válv. 3 vias coletor de amostra Dreno vapor </v>
      </c>
      <c r="BV5" s="53" t="str">
        <f>VLOOKUP(AO5,'PGD09'!C:E,3,0)</f>
        <v>DN-15</v>
      </c>
      <c r="BW5" s="56" t="str">
        <f>VLOOKUP(AO5,'PGD09'!C:G,5,0)</f>
        <v>ZDL</v>
      </c>
      <c r="BX5" s="84" t="str">
        <f>VLOOKUP(AN5,'PGD10'!A:E,1,0)</f>
        <v xml:space="preserve">Inferior </v>
      </c>
      <c r="BY5" s="53" t="str">
        <f>VLOOKUP(AO5,'PGD10'!C:E,1,0)</f>
        <v xml:space="preserve">Bloco válv. 3 vias coletor de amostra Dreno vapor </v>
      </c>
      <c r="BZ5" s="53" t="str">
        <f>VLOOKUP(AO5,'PGD10'!C:E,3,0)</f>
        <v>DN-15</v>
      </c>
      <c r="CA5" s="56" t="str">
        <f>VLOOKUP(AO5,'PGD10'!C:G,5,0)</f>
        <v>ZDL</v>
      </c>
      <c r="CB5" s="84" t="str">
        <f>VLOOKUP(AN5,'PGD11'!A:E,1,0)</f>
        <v xml:space="preserve">Inferior </v>
      </c>
      <c r="CC5" s="53" t="str">
        <f>VLOOKUP(AO5,'PGD11'!C:E,1,0)</f>
        <v xml:space="preserve">Bloco válv. 3 vias coletor de amostra Dreno vapor </v>
      </c>
      <c r="CD5" s="53" t="str">
        <f>VLOOKUP(AO5,'PGD11'!C:E,3,0)</f>
        <v>DN-15</v>
      </c>
      <c r="CE5" s="56" t="str">
        <f>VLOOKUP(AO5,'PGD11'!C:G,5,0)</f>
        <v>ZDL</v>
      </c>
      <c r="CF5" s="84" t="str">
        <f>VLOOKUP(AN5,'PGD12'!A:E,1,0)</f>
        <v xml:space="preserve">Inferior </v>
      </c>
      <c r="CG5" s="53" t="str">
        <f>VLOOKUP(AO5,'PGD12'!C:E,1,0)</f>
        <v xml:space="preserve">Bloco válv. 3 vias coletor de amostra Dreno vapor </v>
      </c>
      <c r="CH5" s="53" t="str">
        <f>VLOOKUP(AO5,'PGD12'!C:E,3,0)</f>
        <v>DN-15</v>
      </c>
      <c r="CI5" s="53" t="str">
        <f>VLOOKUP(AO5,'PGD12'!C:G,5,0)</f>
        <v>ZDL</v>
      </c>
      <c r="CJ5" s="56">
        <f t="shared" si="0"/>
        <v>11</v>
      </c>
      <c r="CL5" s="52" t="s">
        <v>58</v>
      </c>
      <c r="CM5" s="16" t="s">
        <v>54</v>
      </c>
      <c r="CN5" s="81" t="s">
        <v>6</v>
      </c>
      <c r="CO5" s="65" t="str">
        <f>VLOOKUP(CL5,'BLD03'!C:E,1,0)</f>
        <v xml:space="preserve">Bloco válv. 3 vias coletor de amostra Entrada vapor </v>
      </c>
      <c r="CP5" s="53" t="str">
        <f>VLOOKUP(CL5,'BLD03'!C:E,3,0)</f>
        <v>DN-15</v>
      </c>
      <c r="CQ5" s="53" t="str">
        <f>VLOOKUP(CL5,'BLD02'!C:G,5,0)</f>
        <v>ZDL</v>
      </c>
      <c r="CR5" s="56">
        <f t="shared" ref="CR5:CR33" si="2">COUNTIF(CL5:CP5,CP5)</f>
        <v>2</v>
      </c>
    </row>
    <row r="6" spans="2:96" x14ac:dyDescent="0.25">
      <c r="B6" s="62" t="s">
        <v>59</v>
      </c>
      <c r="C6" s="14" t="s">
        <v>48</v>
      </c>
      <c r="D6" s="68" t="s">
        <v>6</v>
      </c>
      <c r="E6" s="83" t="str">
        <f>VLOOKUP(B6,'FTD02'!C:E,1,0)</f>
        <v>Bloco 2 vias fundo –  vapor</v>
      </c>
      <c r="F6" s="84" t="str">
        <f>VLOOKUP(B6,'FTD02'!C:E,3,0)</f>
        <v>DN-8</v>
      </c>
      <c r="G6" s="82" t="str">
        <f>VLOOKUP(B6,'FTD02'!C:G,5,0)</f>
        <v>ZDL</v>
      </c>
      <c r="H6" s="83" t="str">
        <f>VLOOKUP(B6,'FTD03'!C:E,1,0)</f>
        <v>Bloco 2 vias fundo –  vapor</v>
      </c>
      <c r="I6" s="84" t="str">
        <f>VLOOKUP(B6,'FTD03'!C:E,3,0)</f>
        <v>DN-8</v>
      </c>
      <c r="J6" s="82" t="str">
        <f>VLOOKUP(B6,'FTD03'!C:G,5,0)</f>
        <v>ZDL</v>
      </c>
      <c r="K6" s="83" t="str">
        <f>VLOOKUP(B6,'FTD04'!C:E,1,0)</f>
        <v>Bloco 2 vias fundo –  vapor</v>
      </c>
      <c r="L6" s="84" t="str">
        <f>VLOOKUP(B6,'FTD04'!C:E,3,0)</f>
        <v>DN-8</v>
      </c>
      <c r="M6" s="82" t="str">
        <f>VLOOKUP(B6,'FTD04'!C:G,5,0)</f>
        <v>ZDL</v>
      </c>
      <c r="N6" s="83" t="str">
        <f>VLOOKUP(B6,'FTD05'!C:E,1,0)</f>
        <v>Bloco 2 vias fundo –  vapor</v>
      </c>
      <c r="O6" s="84" t="str">
        <f>VLOOKUP(B6,'FTD05'!C:E,3,0)</f>
        <v>DN-8</v>
      </c>
      <c r="P6" s="82" t="str">
        <f>VLOOKUP(B6,'FTD05'!C:G,5,0)</f>
        <v>ZDL</v>
      </c>
      <c r="Q6" s="85" t="str">
        <f>VLOOKUP(B6,'FTD06'!C:E,1,0)</f>
        <v>Bloco 2 vias fundo –  vapor</v>
      </c>
      <c r="R6" s="84" t="str">
        <f>VLOOKUP(B6,'FTD06'!C:E,3,0)</f>
        <v>DN-8</v>
      </c>
      <c r="S6" s="86" t="str">
        <f>VLOOKUP(B6,'FTD06'!C:G,5,0)</f>
        <v>GEMÜ</v>
      </c>
      <c r="T6" s="83" t="str">
        <f>VLOOKUP(B6,'FTD07'!C:E,1,0)</f>
        <v>Bloco 2 vias fundo –  vapor</v>
      </c>
      <c r="U6" s="84" t="str">
        <f>VLOOKUP(B6,'FTD07'!C:E,3,0)</f>
        <v>DN-8</v>
      </c>
      <c r="V6" s="82" t="str">
        <f>VLOOKUP(B6,'FTD07'!C:G,5,0)</f>
        <v>ZDL</v>
      </c>
      <c r="W6" s="85" t="str">
        <f>VLOOKUP(B6,'FTD08'!C:E,1,0)</f>
        <v>Bloco 2 vias fundo –  vapor</v>
      </c>
      <c r="X6" s="84" t="str">
        <f>VLOOKUP(B6,'FTD08'!C:E,3,0)</f>
        <v>DN-8</v>
      </c>
      <c r="Y6" s="86" t="str">
        <f>VLOOKUP(B6,'FTD08'!C:G,5,0)</f>
        <v>ZDL</v>
      </c>
      <c r="Z6" s="83" t="str">
        <f>VLOOKUP(B6,'FTD09'!C:E,1,0)</f>
        <v>Bloco 2 vias fundo –  vapor</v>
      </c>
      <c r="AA6" s="84" t="str">
        <f>VLOOKUP(B6,'FTD09'!C:E,3,0)</f>
        <v>DN-8</v>
      </c>
      <c r="AB6" s="82" t="str">
        <f>VLOOKUP(B6,'FTD09'!C:G,5,0)</f>
        <v>ZDL</v>
      </c>
      <c r="AC6" s="85" t="str">
        <f>VLOOKUP(B6,'FTD10'!C:E,1,0)</f>
        <v>Bloco 2 vias fundo –  vapor</v>
      </c>
      <c r="AD6" s="84" t="str">
        <f>VLOOKUP(B6,'FTD10'!C:E,3,0)</f>
        <v>DN-8</v>
      </c>
      <c r="AE6" s="86" t="str">
        <f>VLOOKUP(B6,'FTD10'!C:G,5,0)</f>
        <v>ZDL</v>
      </c>
      <c r="AF6" s="83" t="str">
        <f>VLOOKUP(B6,'FTD11'!C:E,1,0)</f>
        <v>Bloco 2 vias fundo –  vapor</v>
      </c>
      <c r="AG6" s="84" t="str">
        <f>VLOOKUP(B6,'FTD11'!C:E,3,0)</f>
        <v>DN-8</v>
      </c>
      <c r="AH6" s="82" t="str">
        <f>VLOOKUP(B6,'FTD11'!C:G,5,0)</f>
        <v>ZDL</v>
      </c>
      <c r="AI6" s="85" t="str">
        <f>VLOOKUP(B6,'FTD12'!C:E,1,0)</f>
        <v>Bloco 2 vias fundo –  vapor</v>
      </c>
      <c r="AJ6" s="84" t="str">
        <f>VLOOKUP(B6,'FTD12'!C:E,3,0)</f>
        <v>DN-8</v>
      </c>
      <c r="AK6" s="84" t="str">
        <f>VLOOKUP(B6,'FTD12'!C:G,5,0)</f>
        <v xml:space="preserve">ZDL </v>
      </c>
      <c r="AL6" s="82">
        <f t="shared" si="1"/>
        <v>11</v>
      </c>
      <c r="AN6" s="62" t="s">
        <v>49</v>
      </c>
      <c r="AO6" s="14" t="s">
        <v>53</v>
      </c>
      <c r="AP6" s="14" t="s">
        <v>54</v>
      </c>
      <c r="AQ6" s="68" t="s">
        <v>57</v>
      </c>
      <c r="AR6" s="84" t="str">
        <f>VLOOKUP(AN6,'PGD02'!A:E,1,0)</f>
        <v xml:space="preserve">Inferior </v>
      </c>
      <c r="AS6" s="84" t="str">
        <f>VLOOKUP(AO6,'PGD02'!C:E,1,0)</f>
        <v>Bloco válv. 3 vias coletor de amostra Entrada tanque</v>
      </c>
      <c r="AT6" s="84" t="str">
        <f>VLOOKUP(AO6,'PGD02'!C:E,3,0)</f>
        <v>DN-15</v>
      </c>
      <c r="AU6" s="82" t="str">
        <f>VLOOKUP(AO6,'PGD02'!C:G,5,0)</f>
        <v>ZDL</v>
      </c>
      <c r="AV6" s="84" t="str">
        <f>VLOOKUP(AN6,'PGD03'!A:E,1,0)</f>
        <v xml:space="preserve">Inferior </v>
      </c>
      <c r="AW6" s="84" t="str">
        <f>VLOOKUP(AO6,'PGD03'!C:E,1,0)</f>
        <v>Bloco válv. 3 vias coletor de amostra Entrada tanque</v>
      </c>
      <c r="AX6" s="84" t="str">
        <f>VLOOKUP(AO6,'PGD03'!C:E,3,0)</f>
        <v>DN-15</v>
      </c>
      <c r="AY6" s="82" t="str">
        <f>VLOOKUP(AO6,'PGD03'!C:G,5,0)</f>
        <v>ZDL</v>
      </c>
      <c r="AZ6" s="84" t="str">
        <f>VLOOKUP(AN6,'PGD04'!A:E,1,0)</f>
        <v xml:space="preserve">Inferior </v>
      </c>
      <c r="BA6" s="84" t="str">
        <f>VLOOKUP(AO6,'PGD03'!C:E,1,0)</f>
        <v>Bloco válv. 3 vias coletor de amostra Entrada tanque</v>
      </c>
      <c r="BB6" s="84" t="str">
        <f>VLOOKUP(AO6,'PGD04'!C:E,3,0)</f>
        <v>DN-15</v>
      </c>
      <c r="BC6" s="82" t="str">
        <f>VLOOKUP(AO6,'PGD04'!C:G,5,0)</f>
        <v>ZDL</v>
      </c>
      <c r="BD6" s="84" t="str">
        <f>VLOOKUP(AN6,'PGD05'!A:E,1,0)</f>
        <v xml:space="preserve">Inferior </v>
      </c>
      <c r="BE6" s="84" t="str">
        <f>VLOOKUP(AO6,'PGD05'!C:E,1,0)</f>
        <v>Bloco válv. 3 vias coletor de amostra Entrada tanque</v>
      </c>
      <c r="BF6" s="84" t="str">
        <f>VLOOKUP(AO6,'PGD05'!C:E,3,0)</f>
        <v>DN-15</v>
      </c>
      <c r="BG6" s="82" t="str">
        <f>VLOOKUP(AO6,'PGD05'!C:G,5,0)</f>
        <v>ZDL</v>
      </c>
      <c r="BH6" s="84" t="str">
        <f>VLOOKUP(AN6,'PGD06'!A:E,1,0)</f>
        <v xml:space="preserve">Inferior </v>
      </c>
      <c r="BI6" s="84" t="str">
        <f>VLOOKUP(AO6,'PGD06'!C:E,1,0)</f>
        <v>Bloco válv. 3 vias coletor de amostra Entrada tanque</v>
      </c>
      <c r="BJ6" s="84" t="str">
        <f>VLOOKUP(AO6,'PGD06'!C:E,3,0)</f>
        <v>DN-15</v>
      </c>
      <c r="BK6" s="82" t="str">
        <f>VLOOKUP(AO6,'PGD06'!C:G,5,0)</f>
        <v>ZDL</v>
      </c>
      <c r="BL6" s="84" t="str">
        <f>VLOOKUP(AN6,'PGD07'!A:E,1,0)</f>
        <v xml:space="preserve">Inferior </v>
      </c>
      <c r="BM6" s="84" t="str">
        <f>VLOOKUP(AO6,'PGD07'!C:E,1,0)</f>
        <v>Bloco válv. 3 vias coletor de amostra Entrada tanque</v>
      </c>
      <c r="BN6" s="84" t="str">
        <f>VLOOKUP(AO6,'PGD07'!C:E,3,0)</f>
        <v>DN-15</v>
      </c>
      <c r="BO6" s="82" t="str">
        <f>VLOOKUP(AO6,'PGD07'!C:G,5,0)</f>
        <v>ZDL</v>
      </c>
      <c r="BP6" s="84" t="str">
        <f>VLOOKUP(AN6,'PGD08'!A:E,1,0)</f>
        <v xml:space="preserve">Inferior </v>
      </c>
      <c r="BQ6" s="84" t="str">
        <f>VLOOKUP(AO6,'PGD08'!C:E,1,0)</f>
        <v>Bloco válv. 3 vias coletor de amostra Entrada tanque</v>
      </c>
      <c r="BR6" s="84" t="str">
        <f>VLOOKUP(AO6,'PGD08'!C:E,3,0)</f>
        <v>DN-15</v>
      </c>
      <c r="BS6" s="82" t="str">
        <f>VLOOKUP(AO6,'PGD08'!C:G,5,0)</f>
        <v>ZDL</v>
      </c>
      <c r="BT6" s="84" t="str">
        <f>VLOOKUP(AN6,'PGD09'!A:E,1,0)</f>
        <v xml:space="preserve">Inferior </v>
      </c>
      <c r="BU6" s="84" t="str">
        <f>VLOOKUP(AO6,'PGD09'!C:E,1,0)</f>
        <v>Bloco válv. 3 vias coletor de amostra Entrada tanque</v>
      </c>
      <c r="BV6" s="84" t="str">
        <f>VLOOKUP(AO6,'PGD09'!C:E,3,0)</f>
        <v>DN-15</v>
      </c>
      <c r="BW6" s="82" t="str">
        <f>VLOOKUP(AO6,'PGD09'!C:G,5,0)</f>
        <v>ZDL</v>
      </c>
      <c r="BX6" s="84" t="str">
        <f>VLOOKUP(AN6,'PGD10'!A:E,1,0)</f>
        <v xml:space="preserve">Inferior </v>
      </c>
      <c r="BY6" s="84" t="str">
        <f>VLOOKUP(AO6,'PGD10'!C:E,1,0)</f>
        <v>Bloco válv. 3 vias coletor de amostra Entrada tanque</v>
      </c>
      <c r="BZ6" s="84" t="str">
        <f>VLOOKUP(AO6,'PGD10'!C:E,3,0)</f>
        <v>DN-15</v>
      </c>
      <c r="CA6" s="82" t="str">
        <f>VLOOKUP(AO6,'PGD10'!C:G,5,0)</f>
        <v>ZDL</v>
      </c>
      <c r="CB6" s="84" t="str">
        <f>VLOOKUP(AN6,'PGD11'!A:E,1,0)</f>
        <v xml:space="preserve">Inferior </v>
      </c>
      <c r="CC6" s="84" t="str">
        <f>VLOOKUP(AO6,'PGD11'!C:E,1,0)</f>
        <v>Bloco válv. 3 vias coletor de amostra Entrada tanque</v>
      </c>
      <c r="CD6" s="84" t="str">
        <f>VLOOKUP(AO6,'PGD11'!C:E,3,0)</f>
        <v>DN-15</v>
      </c>
      <c r="CE6" s="82" t="str">
        <f>VLOOKUP(AO6,'PGD11'!C:G,5,0)</f>
        <v>ZDL</v>
      </c>
      <c r="CF6" s="84" t="str">
        <f>VLOOKUP(AN6,'PGD12'!A:E,1,0)</f>
        <v xml:space="preserve">Inferior </v>
      </c>
      <c r="CG6" s="84" t="str">
        <f>VLOOKUP(AO6,'PGD12'!C:E,1,0)</f>
        <v>Bloco válv. 3 vias coletor de amostra Entrada tanque</v>
      </c>
      <c r="CH6" s="84" t="str">
        <f>VLOOKUP(AO6,'PGD12'!C:E,3,0)</f>
        <v>DN-15</v>
      </c>
      <c r="CI6" s="84" t="str">
        <f>VLOOKUP(AO6,'PGD12'!C:G,5,0)</f>
        <v>ZDL</v>
      </c>
      <c r="CJ6" s="82">
        <f t="shared" si="0"/>
        <v>11</v>
      </c>
      <c r="CL6" s="51" t="s">
        <v>56</v>
      </c>
      <c r="CM6" s="6" t="s">
        <v>54</v>
      </c>
      <c r="CN6" s="80" t="s">
        <v>6</v>
      </c>
      <c r="CO6" s="85" t="str">
        <f>VLOOKUP(CL6,'BLD03'!C:E,1,0)</f>
        <v xml:space="preserve">Bloco válv. 3 vias coletor de amostra Dreno vapor </v>
      </c>
      <c r="CP6" s="84" t="str">
        <f>VLOOKUP(CL6,'BLD03'!C:E,3,0)</f>
        <v>DN-15</v>
      </c>
      <c r="CQ6" s="84" t="str">
        <f>VLOOKUP(CL6,'BLD02'!C:G,5,0)</f>
        <v>ZDL</v>
      </c>
      <c r="CR6" s="82">
        <f t="shared" si="2"/>
        <v>2</v>
      </c>
    </row>
    <row r="7" spans="2:96" x14ac:dyDescent="0.25">
      <c r="B7" s="64" t="s">
        <v>56</v>
      </c>
      <c r="C7" s="7" t="s">
        <v>54</v>
      </c>
      <c r="D7" s="69" t="s">
        <v>6</v>
      </c>
      <c r="E7" s="57" t="str">
        <f>VLOOKUP(B7,'FTD02'!C:E,1,0)</f>
        <v xml:space="preserve">Bloco válv. 3 vias coletor de amostra Dreno vapor </v>
      </c>
      <c r="F7" s="53" t="str">
        <f>VLOOKUP(B7,'FTD02'!C:E,3,0)</f>
        <v>DN-15</v>
      </c>
      <c r="G7" s="56" t="str">
        <f>VLOOKUP(B7,'FTD02'!C:G,5,0)</f>
        <v>ZDL</v>
      </c>
      <c r="H7" s="57" t="str">
        <f>VLOOKUP(B7,'FTD03'!C:E,1,0)</f>
        <v xml:space="preserve">Bloco válv. 3 vias coletor de amostra Dreno vapor </v>
      </c>
      <c r="I7" s="53" t="str">
        <f>VLOOKUP(B7,'FTD03'!C:E,3,0)</f>
        <v>DN-15</v>
      </c>
      <c r="J7" s="56" t="str">
        <f>VLOOKUP(B7,'FTD03'!C:G,5,0)</f>
        <v>ZDL</v>
      </c>
      <c r="K7" s="57" t="str">
        <f>VLOOKUP(B7,'FTD04'!C:E,1,0)</f>
        <v xml:space="preserve">Bloco válv. 3 vias coletor de amostra Dreno vapor </v>
      </c>
      <c r="L7" s="53" t="str">
        <f>VLOOKUP(B7,'FTD04'!C:E,3,0)</f>
        <v>DN-15</v>
      </c>
      <c r="M7" s="56" t="str">
        <f>VLOOKUP(B7,'FTD04'!C:G,5,0)</f>
        <v>ZDL</v>
      </c>
      <c r="N7" s="57" t="str">
        <f>VLOOKUP(B7,'FTD05'!C:E,1,0)</f>
        <v xml:space="preserve">Bloco válv. 3 vias coletor de amostra Dreno vapor </v>
      </c>
      <c r="O7" s="53" t="str">
        <f>VLOOKUP(B7,'FTD05'!C:E,3,0)</f>
        <v>DN-15</v>
      </c>
      <c r="P7" s="56" t="str">
        <f>VLOOKUP(B7,'FTD05'!C:G,5,0)</f>
        <v>ZDL</v>
      </c>
      <c r="Q7" s="65" t="str">
        <f>VLOOKUP(B7,'FTD06'!C:E,1,0)</f>
        <v xml:space="preserve">Bloco válv. 3 vias coletor de amostra Dreno vapor </v>
      </c>
      <c r="R7" s="53" t="str">
        <f>VLOOKUP(B7,'FTD06'!C:E,3,0)</f>
        <v>DN-15</v>
      </c>
      <c r="S7" s="74" t="str">
        <f>VLOOKUP(B7,'FTD06'!C:G,5,0)</f>
        <v>ZDL</v>
      </c>
      <c r="T7" s="57" t="str">
        <f>VLOOKUP(B7,'FTD07'!C:E,1,0)</f>
        <v xml:space="preserve">Bloco válv. 3 vias coletor de amostra Dreno vapor </v>
      </c>
      <c r="U7" s="53" t="str">
        <f>VLOOKUP(B7,'FTD07'!C:E,3,0)</f>
        <v>DN-15</v>
      </c>
      <c r="V7" s="56" t="str">
        <f>VLOOKUP(B7,'FTD07'!C:G,5,0)</f>
        <v>ZDL</v>
      </c>
      <c r="W7" s="65" t="str">
        <f>VLOOKUP(B7,'FTD08'!C:E,1,0)</f>
        <v xml:space="preserve">Bloco válv. 3 vias coletor de amostra Dreno vapor </v>
      </c>
      <c r="X7" s="53" t="str">
        <f>VLOOKUP(B7,'FTD08'!C:E,3,0)</f>
        <v>DN-15</v>
      </c>
      <c r="Y7" s="74" t="str">
        <f>VLOOKUP(B7,'FTD08'!C:G,5,0)</f>
        <v>ZDL</v>
      </c>
      <c r="Z7" s="57" t="str">
        <f>VLOOKUP(B7,'FTD09'!C:E,1,0)</f>
        <v xml:space="preserve">Bloco válv. 3 vias coletor de amostra Dreno vapor </v>
      </c>
      <c r="AA7" s="53" t="str">
        <f>VLOOKUP(B7,'FTD09'!C:E,3,0)</f>
        <v>DN-15</v>
      </c>
      <c r="AB7" s="56" t="str">
        <f>VLOOKUP(B7,'FTD09'!C:G,5,0)</f>
        <v>ZDL</v>
      </c>
      <c r="AC7" s="65" t="str">
        <f>VLOOKUP(B7,'FTD10'!C:E,1,0)</f>
        <v xml:space="preserve">Bloco válv. 3 vias coletor de amostra Dreno vapor </v>
      </c>
      <c r="AD7" s="53" t="str">
        <f>VLOOKUP(B7,'FTD10'!C:E,3,0)</f>
        <v>DN-15</v>
      </c>
      <c r="AE7" s="74" t="str">
        <f>VLOOKUP(B7,'FTD10'!C:G,5,0)</f>
        <v>ZDL</v>
      </c>
      <c r="AF7" s="57" t="str">
        <f>VLOOKUP(B7,'FTD11'!C:E,1,0)</f>
        <v xml:space="preserve">Bloco válv. 3 vias coletor de amostra Dreno vapor </v>
      </c>
      <c r="AG7" s="53" t="str">
        <f>VLOOKUP(B7,'FTD11'!C:E,3,0)</f>
        <v>DN-15</v>
      </c>
      <c r="AH7" s="56" t="str">
        <f>VLOOKUP(B7,'FTD11'!C:G,5,0)</f>
        <v>ZDL</v>
      </c>
      <c r="AI7" s="65" t="str">
        <f>VLOOKUP(B7,'FTD12'!C:E,1,0)</f>
        <v xml:space="preserve">Bloco válv. 3 vias coletor de amostra Dreno vapor </v>
      </c>
      <c r="AJ7" s="53" t="str">
        <f>VLOOKUP(B7,'FTD12'!C:E,3,0)</f>
        <v>DN-15</v>
      </c>
      <c r="AK7" s="53" t="str">
        <f>VLOOKUP(B7,'FTD12'!C:G,5,0)</f>
        <v xml:space="preserve">ZDL </v>
      </c>
      <c r="AL7" s="56">
        <f t="shared" si="1"/>
        <v>11</v>
      </c>
      <c r="AN7" s="63" t="s">
        <v>49</v>
      </c>
      <c r="AO7" s="16" t="s">
        <v>58</v>
      </c>
      <c r="AP7" s="16" t="s">
        <v>54</v>
      </c>
      <c r="AQ7" s="78" t="s">
        <v>57</v>
      </c>
      <c r="AR7" s="84" t="str">
        <f>VLOOKUP(AN7,'PGD02'!A:E,1,0)</f>
        <v xml:space="preserve">Inferior </v>
      </c>
      <c r="AS7" s="53" t="str">
        <f>VLOOKUP(AO7,'PGD02'!C:E,1,0)</f>
        <v xml:space="preserve">Bloco válv. 3 vias coletor de amostra Entrada vapor </v>
      </c>
      <c r="AT7" s="53" t="str">
        <f>VLOOKUP(AO7,'PGD02'!C:E,3,0)</f>
        <v>DN-15</v>
      </c>
      <c r="AU7" s="56" t="str">
        <f>VLOOKUP(AO7,'PGD02'!C:G,5,0)</f>
        <v>ZDL</v>
      </c>
      <c r="AV7" s="84" t="str">
        <f>VLOOKUP(AN7,'PGD03'!A:E,1,0)</f>
        <v xml:space="preserve">Inferior </v>
      </c>
      <c r="AW7" s="53" t="str">
        <f>VLOOKUP(AO7,'PGD03'!C:E,1,0)</f>
        <v xml:space="preserve">Bloco válv. 3 vias coletor de amostra Entrada vapor </v>
      </c>
      <c r="AX7" s="53" t="str">
        <f>VLOOKUP(AO7,'PGD03'!C:E,3,0)</f>
        <v>DN-15</v>
      </c>
      <c r="AY7" s="56" t="str">
        <f>VLOOKUP(AO7,'PGD03'!C:G,5,0)</f>
        <v>ZDL</v>
      </c>
      <c r="AZ7" s="84" t="str">
        <f>VLOOKUP(AN7,'PGD04'!A:E,1,0)</f>
        <v xml:space="preserve">Inferior </v>
      </c>
      <c r="BA7" s="53" t="str">
        <f>VLOOKUP(AO7,'PGD03'!C:E,1,0)</f>
        <v xml:space="preserve">Bloco válv. 3 vias coletor de amostra Entrada vapor </v>
      </c>
      <c r="BB7" s="53" t="str">
        <f>VLOOKUP(AO7,'PGD04'!C:E,3,0)</f>
        <v>DN-15</v>
      </c>
      <c r="BC7" s="56" t="str">
        <f>VLOOKUP(AO7,'PGD04'!C:G,5,0)</f>
        <v>ZDL</v>
      </c>
      <c r="BD7" s="84" t="str">
        <f>VLOOKUP(AN7,'PGD05'!A:E,1,0)</f>
        <v xml:space="preserve">Inferior </v>
      </c>
      <c r="BE7" s="53" t="str">
        <f>VLOOKUP(AO7,'PGD05'!C:E,1,0)</f>
        <v xml:space="preserve">Bloco válv. 3 vias coletor de amostra Entrada vapor </v>
      </c>
      <c r="BF7" s="53" t="str">
        <f>VLOOKUP(AO7,'PGD05'!C:E,3,0)</f>
        <v>DN-15</v>
      </c>
      <c r="BG7" s="56" t="str">
        <f>VLOOKUP(AO7,'PGD05'!C:G,5,0)</f>
        <v>ZDL</v>
      </c>
      <c r="BH7" s="84" t="str">
        <f>VLOOKUP(AN7,'PGD06'!A:E,1,0)</f>
        <v xml:space="preserve">Inferior </v>
      </c>
      <c r="BI7" s="53" t="str">
        <f>VLOOKUP(AO7,'PGD06'!C:E,1,0)</f>
        <v xml:space="preserve">Bloco válv. 3 vias coletor de amostra Entrada vapor </v>
      </c>
      <c r="BJ7" s="53" t="str">
        <f>VLOOKUP(AO7,'PGD06'!C:E,3,0)</f>
        <v>DN-15</v>
      </c>
      <c r="BK7" s="56" t="str">
        <f>VLOOKUP(AO7,'PGD06'!C:G,5,0)</f>
        <v>ZDL</v>
      </c>
      <c r="BL7" s="84" t="str">
        <f>VLOOKUP(AN7,'PGD07'!A:E,1,0)</f>
        <v xml:space="preserve">Inferior </v>
      </c>
      <c r="BM7" s="53" t="str">
        <f>VLOOKUP(AO7,'PGD07'!C:E,1,0)</f>
        <v xml:space="preserve">Bloco válv. 3 vias coletor de amostra Entrada vapor </v>
      </c>
      <c r="BN7" s="53" t="str">
        <f>VLOOKUP(AO7,'PGD07'!C:E,3,0)</f>
        <v>DN-15</v>
      </c>
      <c r="BO7" s="56" t="str">
        <f>VLOOKUP(AO7,'PGD07'!C:G,5,0)</f>
        <v>ZDL</v>
      </c>
      <c r="BP7" s="84" t="str">
        <f>VLOOKUP(AN7,'PGD08'!A:E,1,0)</f>
        <v xml:space="preserve">Inferior </v>
      </c>
      <c r="BQ7" s="53" t="str">
        <f>VLOOKUP(AO7,'PGD08'!C:E,1,0)</f>
        <v xml:space="preserve">Bloco válv. 3 vias coletor de amostra Entrada vapor </v>
      </c>
      <c r="BR7" s="53" t="str">
        <f>VLOOKUP(AO7,'PGD08'!C:E,3,0)</f>
        <v>DN-15</v>
      </c>
      <c r="BS7" s="56" t="str">
        <f>VLOOKUP(AO7,'PGD08'!C:G,5,0)</f>
        <v>ZDL</v>
      </c>
      <c r="BT7" s="84" t="str">
        <f>VLOOKUP(AN7,'PGD09'!A:E,1,0)</f>
        <v xml:space="preserve">Inferior </v>
      </c>
      <c r="BU7" s="53" t="str">
        <f>VLOOKUP(AO7,'PGD09'!C:E,1,0)</f>
        <v xml:space="preserve">Bloco válv. 3 vias coletor de amostra Entrada vapor </v>
      </c>
      <c r="BV7" s="53" t="str">
        <f>VLOOKUP(AO7,'PGD09'!C:E,3,0)</f>
        <v>DN-15</v>
      </c>
      <c r="BW7" s="56" t="str">
        <f>VLOOKUP(AO7,'PGD09'!C:G,5,0)</f>
        <v>ZDL</v>
      </c>
      <c r="BX7" s="84" t="str">
        <f>VLOOKUP(AN7,'PGD10'!A:E,1,0)</f>
        <v xml:space="preserve">Inferior </v>
      </c>
      <c r="BY7" s="53" t="str">
        <f>VLOOKUP(AO7,'PGD10'!C:E,1,0)</f>
        <v xml:space="preserve">Bloco válv. 3 vias coletor de amostra Entrada vapor </v>
      </c>
      <c r="BZ7" s="53" t="str">
        <f>VLOOKUP(AO7,'PGD10'!C:E,3,0)</f>
        <v>DN-15</v>
      </c>
      <c r="CA7" s="56" t="str">
        <f>VLOOKUP(AO7,'PGD10'!C:G,5,0)</f>
        <v>ZDL</v>
      </c>
      <c r="CB7" s="84" t="str">
        <f>VLOOKUP(AN7,'PGD11'!A:E,1,0)</f>
        <v xml:space="preserve">Inferior </v>
      </c>
      <c r="CC7" s="53" t="str">
        <f>VLOOKUP(AO7,'PGD11'!C:E,1,0)</f>
        <v xml:space="preserve">Bloco válv. 3 vias coletor de amostra Entrada vapor </v>
      </c>
      <c r="CD7" s="53" t="str">
        <f>VLOOKUP(AO7,'PGD11'!C:E,3,0)</f>
        <v>DN-15</v>
      </c>
      <c r="CE7" s="56" t="str">
        <f>VLOOKUP(AO7,'PGD11'!C:G,5,0)</f>
        <v>ZDL</v>
      </c>
      <c r="CF7" s="84" t="str">
        <f>VLOOKUP(AN7,'PGD12'!A:E,1,0)</f>
        <v xml:space="preserve">Inferior </v>
      </c>
      <c r="CG7" s="53" t="str">
        <f>VLOOKUP(AO7,'PGD12'!C:E,1,0)</f>
        <v xml:space="preserve">Bloco válv. 3 vias coletor de amostra Entrada vapor </v>
      </c>
      <c r="CH7" s="53" t="str">
        <f>VLOOKUP(AO7,'PGD12'!C:E,3,0)</f>
        <v>DN-15</v>
      </c>
      <c r="CI7" s="53" t="str">
        <f>VLOOKUP(AO7,'PGD12'!C:G,5,0)</f>
        <v>ZDL</v>
      </c>
      <c r="CJ7" s="56">
        <f t="shared" si="0"/>
        <v>11</v>
      </c>
      <c r="CL7" s="52" t="s">
        <v>60</v>
      </c>
      <c r="CM7" s="16" t="s">
        <v>51</v>
      </c>
      <c r="CN7" s="81" t="s">
        <v>5</v>
      </c>
      <c r="CO7" s="65" t="str">
        <f>VLOOKUP(CL7,'BLD03'!C:E,1,0)</f>
        <v>Bloco 2 vias fundo - fundo</v>
      </c>
      <c r="CP7" s="53" t="str">
        <f>VLOOKUP(CL7,'BLD03'!C:E,3,0)</f>
        <v>DN-40</v>
      </c>
      <c r="CQ7" s="53" t="str">
        <f>VLOOKUP(CL7,'BLD02'!C:G,5,0)</f>
        <v>GEMÜ</v>
      </c>
      <c r="CR7" s="56">
        <f t="shared" si="2"/>
        <v>2</v>
      </c>
    </row>
    <row r="8" spans="2:96" x14ac:dyDescent="0.25">
      <c r="B8" s="62" t="s">
        <v>53</v>
      </c>
      <c r="C8" s="14" t="s">
        <v>54</v>
      </c>
      <c r="D8" s="68" t="s">
        <v>6</v>
      </c>
      <c r="E8" s="83" t="str">
        <f>VLOOKUP(B8,'FTD02'!C:E,1,0)</f>
        <v>Bloco válv. 3 vias coletor de amostra Entrada tanque</v>
      </c>
      <c r="F8" s="84" t="str">
        <f>VLOOKUP(B8,'FTD02'!C:E,3,0)</f>
        <v>DN-15</v>
      </c>
      <c r="G8" s="82" t="str">
        <f>VLOOKUP(B8,'FTD02'!C:G,5,0)</f>
        <v>ZDL</v>
      </c>
      <c r="H8" s="83" t="str">
        <f>VLOOKUP(B8,'FTD03'!C:E,1,0)</f>
        <v>Bloco válv. 3 vias coletor de amostra Entrada tanque</v>
      </c>
      <c r="I8" s="84" t="str">
        <f>VLOOKUP(B8,'FTD03'!C:E,3,0)</f>
        <v>DN-15</v>
      </c>
      <c r="J8" s="82" t="str">
        <f>VLOOKUP(B8,'FTD03'!C:G,5,0)</f>
        <v>ZDL</v>
      </c>
      <c r="K8" s="83" t="str">
        <f>VLOOKUP(B8,'FTD04'!C:E,1,0)</f>
        <v>Bloco válv. 3 vias coletor de amostra Entrada tanque</v>
      </c>
      <c r="L8" s="84" t="str">
        <f>VLOOKUP(B8,'FTD04'!C:E,3,0)</f>
        <v>DN-15</v>
      </c>
      <c r="M8" s="82" t="str">
        <f>VLOOKUP(B8,'FTD04'!C:G,5,0)</f>
        <v>ZDL</v>
      </c>
      <c r="N8" s="83" t="str">
        <f>VLOOKUP(B8,'FTD05'!C:E,1,0)</f>
        <v>Bloco válv. 3 vias coletor de amostra Entrada tanque</v>
      </c>
      <c r="O8" s="84" t="str">
        <f>VLOOKUP(B8,'FTD05'!C:E,3,0)</f>
        <v>DN-15</v>
      </c>
      <c r="P8" s="82" t="str">
        <f>VLOOKUP(B8,'FTD05'!C:G,5,0)</f>
        <v>ZDL</v>
      </c>
      <c r="Q8" s="85" t="str">
        <f>VLOOKUP(B8,'FTD06'!C:E,1,0)</f>
        <v>Bloco válv. 3 vias coletor de amostra Entrada tanque</v>
      </c>
      <c r="R8" s="84" t="str">
        <f>VLOOKUP(B8,'FTD06'!C:E,3,0)</f>
        <v>DN-15</v>
      </c>
      <c r="S8" s="86" t="str">
        <f>VLOOKUP(B8,'FTD06'!C:G,5,0)</f>
        <v>ZDL</v>
      </c>
      <c r="T8" s="83" t="str">
        <f>VLOOKUP(B8,'FTD07'!C:E,1,0)</f>
        <v>Bloco válv. 3 vias coletor de amostra Entrada tanque</v>
      </c>
      <c r="U8" s="84" t="str">
        <f>VLOOKUP(B8,'FTD07'!C:E,3,0)</f>
        <v>DN-15</v>
      </c>
      <c r="V8" s="82" t="str">
        <f>VLOOKUP(B8,'FTD07'!C:G,5,0)</f>
        <v>ZDL</v>
      </c>
      <c r="W8" s="85" t="str">
        <f>VLOOKUP(B8,'FTD08'!C:E,1,0)</f>
        <v>Bloco válv. 3 vias coletor de amostra Entrada tanque</v>
      </c>
      <c r="X8" s="84" t="str">
        <f>VLOOKUP(B8,'FTD08'!C:E,3,0)</f>
        <v>DN-15</v>
      </c>
      <c r="Y8" s="86" t="str">
        <f>VLOOKUP(B8,'FTD08'!C:G,5,0)</f>
        <v>ZDL</v>
      </c>
      <c r="Z8" s="83" t="str">
        <f>VLOOKUP(B8,'FTD09'!C:E,1,0)</f>
        <v>Bloco válv. 3 vias coletor de amostra Entrada tanque</v>
      </c>
      <c r="AA8" s="84" t="str">
        <f>VLOOKUP(B8,'FTD09'!C:E,3,0)</f>
        <v>DN-15</v>
      </c>
      <c r="AB8" s="82" t="str">
        <f>VLOOKUP(B8,'FTD09'!C:G,5,0)</f>
        <v>ZDL</v>
      </c>
      <c r="AC8" s="85" t="str">
        <f>VLOOKUP(B8,'FTD10'!C:E,1,0)</f>
        <v>Bloco válv. 3 vias coletor de amostra Entrada tanque</v>
      </c>
      <c r="AD8" s="84" t="str">
        <f>VLOOKUP(B8,'FTD10'!C:E,3,0)</f>
        <v>DN-15</v>
      </c>
      <c r="AE8" s="86" t="str">
        <f>VLOOKUP(B8,'FTD10'!C:G,5,0)</f>
        <v>ZDL</v>
      </c>
      <c r="AF8" s="83" t="str">
        <f>VLOOKUP(B8,'FTD11'!C:E,1,0)</f>
        <v>Bloco válv. 3 vias coletor de amostra Entrada tanque</v>
      </c>
      <c r="AG8" s="84" t="str">
        <f>VLOOKUP(B8,'FTD11'!C:E,3,0)</f>
        <v>DN-15</v>
      </c>
      <c r="AH8" s="82" t="str">
        <f>VLOOKUP(B8,'FTD11'!C:G,5,0)</f>
        <v>ZDL</v>
      </c>
      <c r="AI8" s="85" t="str">
        <f>VLOOKUP(B8,'FTD12'!C:E,1,0)</f>
        <v>Bloco válv. 3 vias coletor de amostra Entrada tanque</v>
      </c>
      <c r="AJ8" s="84" t="str">
        <f>VLOOKUP(B8,'FTD12'!C:E,3,0)</f>
        <v>DN-15</v>
      </c>
      <c r="AK8" s="84" t="str">
        <f>VLOOKUP(B8,'FTD12'!C:G,5,0)</f>
        <v xml:space="preserve">ZDL </v>
      </c>
      <c r="AL8" s="82">
        <f t="shared" si="1"/>
        <v>11</v>
      </c>
      <c r="AN8" s="62" t="s">
        <v>49</v>
      </c>
      <c r="AO8" s="14" t="s">
        <v>61</v>
      </c>
      <c r="AP8" s="14" t="s">
        <v>51</v>
      </c>
      <c r="AQ8" s="68" t="s">
        <v>62</v>
      </c>
      <c r="AR8" s="84" t="str">
        <f>VLOOKUP(AN8,'PGD02'!A:E,1,0)</f>
        <v xml:space="preserve">Inferior </v>
      </c>
      <c r="AS8" s="84" t="str">
        <f>VLOOKUP(AO8,'PGD02'!C:E,1,0)</f>
        <v>CIP BV</v>
      </c>
      <c r="AT8" s="84" t="str">
        <f>VLOOKUP(AO8,'PGD02'!C:E,3,0)</f>
        <v>DN-40</v>
      </c>
      <c r="AU8" s="82" t="str">
        <f>VLOOKUP(AO8,'PGD02'!C:G,5,0)</f>
        <v>GEMÜ</v>
      </c>
      <c r="AV8" s="84" t="str">
        <f>VLOOKUP(AN8,'PGD03'!A:E,1,0)</f>
        <v xml:space="preserve">Inferior </v>
      </c>
      <c r="AW8" s="84" t="str">
        <f>VLOOKUP(AO8,'PGD03'!C:E,1,0)</f>
        <v>CIP BV</v>
      </c>
      <c r="AX8" s="84" t="str">
        <f>VLOOKUP(AO8,'PGD03'!C:E,3,0)</f>
        <v>DN-40</v>
      </c>
      <c r="AY8" s="82" t="str">
        <f>VLOOKUP(AO8,'PGD03'!C:G,5,0)</f>
        <v>GEMÜ</v>
      </c>
      <c r="AZ8" s="84" t="str">
        <f>VLOOKUP(AN8,'PGD04'!A:E,1,0)</f>
        <v xml:space="preserve">Inferior </v>
      </c>
      <c r="BA8" s="84" t="str">
        <f>VLOOKUP(AO8,'PGD03'!C:E,1,0)</f>
        <v>CIP BV</v>
      </c>
      <c r="BB8" s="84" t="str">
        <f>VLOOKUP(AO8,'PGD04'!C:E,3,0)</f>
        <v>DN-40</v>
      </c>
      <c r="BC8" s="82" t="str">
        <f>VLOOKUP(AO8,'PGD04'!C:G,5,0)</f>
        <v>GEMÜ</v>
      </c>
      <c r="BD8" s="84" t="str">
        <f>VLOOKUP(AN8,'PGD05'!A:E,1,0)</f>
        <v xml:space="preserve">Inferior </v>
      </c>
      <c r="BE8" s="84" t="str">
        <f>VLOOKUP(AO8,'PGD05'!C:E,1,0)</f>
        <v>CIP BV</v>
      </c>
      <c r="BF8" s="84" t="str">
        <f>VLOOKUP(AO8,'PGD05'!C:E,3,0)</f>
        <v>DN-40</v>
      </c>
      <c r="BG8" s="82" t="str">
        <f>VLOOKUP(AO8,'PGD05'!C:G,5,0)</f>
        <v>GEMÜ</v>
      </c>
      <c r="BH8" s="84" t="str">
        <f>VLOOKUP(AN8,'PGD06'!A:E,1,0)</f>
        <v xml:space="preserve">Inferior </v>
      </c>
      <c r="BI8" s="84" t="str">
        <f>VLOOKUP(AO8,'PGD06'!C:E,1,0)</f>
        <v>CIP BV</v>
      </c>
      <c r="BJ8" s="84" t="str">
        <f>VLOOKUP(AO8,'PGD06'!C:E,3,0)</f>
        <v>DN-40</v>
      </c>
      <c r="BK8" s="82" t="str">
        <f>VLOOKUP(AO8,'PGD06'!C:G,5,0)</f>
        <v>GEMÜ</v>
      </c>
      <c r="BL8" s="84" t="str">
        <f>VLOOKUP(AN8,'PGD07'!A:E,1,0)</f>
        <v xml:space="preserve">Inferior </v>
      </c>
      <c r="BM8" s="84" t="str">
        <f>VLOOKUP(AO8,'PGD07'!C:E,1,0)</f>
        <v>CIP BV</v>
      </c>
      <c r="BN8" s="84" t="str">
        <f>VLOOKUP(AO8,'PGD07'!C:E,3,0)</f>
        <v>DN-40</v>
      </c>
      <c r="BO8" s="82" t="str">
        <f>VLOOKUP(AO8,'PGD07'!C:G,5,0)</f>
        <v>GEMÜ</v>
      </c>
      <c r="BP8" s="84" t="str">
        <f>VLOOKUP(AN8,'PGD08'!A:E,1,0)</f>
        <v xml:space="preserve">Inferior </v>
      </c>
      <c r="BQ8" s="84" t="str">
        <f>VLOOKUP(AO8,'PGD08'!C:E,1,0)</f>
        <v>CIP BV</v>
      </c>
      <c r="BR8" s="84" t="str">
        <f>VLOOKUP(AO8,'PGD08'!C:E,3,0)</f>
        <v>DN-40</v>
      </c>
      <c r="BS8" s="82" t="str">
        <f>VLOOKUP(AO8,'PGD08'!C:G,5,0)</f>
        <v>GEMÜ</v>
      </c>
      <c r="BT8" s="84" t="str">
        <f>VLOOKUP(AN8,'PGD09'!A:E,1,0)</f>
        <v xml:space="preserve">Inferior </v>
      </c>
      <c r="BU8" s="84" t="str">
        <f>VLOOKUP(AO8,'PGD09'!C:E,1,0)</f>
        <v>CIP BV</v>
      </c>
      <c r="BV8" s="84" t="str">
        <f>VLOOKUP(AO8,'PGD09'!C:E,3,0)</f>
        <v>DN-40</v>
      </c>
      <c r="BW8" s="82" t="str">
        <f>VLOOKUP(AO8,'PGD09'!C:G,5,0)</f>
        <v>GEMÜ</v>
      </c>
      <c r="BX8" s="84" t="str">
        <f>VLOOKUP(AN8,'PGD10'!A:E,1,0)</f>
        <v xml:space="preserve">Inferior </v>
      </c>
      <c r="BY8" s="84" t="str">
        <f>VLOOKUP(AO8,'PGD10'!C:E,1,0)</f>
        <v>CIP BV</v>
      </c>
      <c r="BZ8" s="84" t="str">
        <f>VLOOKUP(AO8,'PGD10'!C:E,3,0)</f>
        <v>DN-40</v>
      </c>
      <c r="CA8" s="82" t="str">
        <f>VLOOKUP(AO8,'PGD10'!C:G,5,0)</f>
        <v>GEMÜ</v>
      </c>
      <c r="CB8" s="84" t="str">
        <f>VLOOKUP(AN8,'PGD11'!A:E,1,0)</f>
        <v xml:space="preserve">Inferior </v>
      </c>
      <c r="CC8" s="84" t="str">
        <f>VLOOKUP(AO8,'PGD11'!C:E,1,0)</f>
        <v>CIP BV</v>
      </c>
      <c r="CD8" s="84" t="str">
        <f>VLOOKUP(AO8,'PGD11'!C:E,3,0)</f>
        <v>DN-40</v>
      </c>
      <c r="CE8" s="82" t="str">
        <f>VLOOKUP(AO8,'PGD11'!C:G,5,0)</f>
        <v>GEMÜ</v>
      </c>
      <c r="CF8" s="84" t="str">
        <f>VLOOKUP(AN8,'PGD12'!A:E,1,0)</f>
        <v xml:space="preserve">Inferior </v>
      </c>
      <c r="CG8" s="84" t="str">
        <f>VLOOKUP(AO8,'PGD12'!C:E,1,0)</f>
        <v>CIP BV</v>
      </c>
      <c r="CH8" s="84" t="str">
        <f>VLOOKUP(AO8,'PGD12'!C:E,3,0)</f>
        <v>DN-40</v>
      </c>
      <c r="CI8" s="84" t="str">
        <f>VLOOKUP(AO8,'PGD12'!C:G,5,0)</f>
        <v>GEMÜ</v>
      </c>
      <c r="CJ8" s="82">
        <f t="shared" si="0"/>
        <v>11</v>
      </c>
      <c r="CL8" s="51" t="s">
        <v>63</v>
      </c>
      <c r="CM8" s="6" t="s">
        <v>51</v>
      </c>
      <c r="CN8" s="80" t="s">
        <v>5</v>
      </c>
      <c r="CO8" s="85" t="str">
        <f>VLOOKUP(CL8,'BLD03'!C:E,1,0)</f>
        <v>Transferência BV</v>
      </c>
      <c r="CP8" s="84" t="str">
        <f>VLOOKUP(CL8,'BLD03'!C:E,3,0)</f>
        <v>DN-40</v>
      </c>
      <c r="CQ8" s="84" t="str">
        <f>VLOOKUP(CL8,'BLD02'!C:G,5,0)</f>
        <v>GEMÜ</v>
      </c>
      <c r="CR8" s="82">
        <f t="shared" si="2"/>
        <v>2</v>
      </c>
    </row>
    <row r="9" spans="2:96" x14ac:dyDescent="0.25">
      <c r="B9" s="64" t="s">
        <v>58</v>
      </c>
      <c r="C9" s="7" t="s">
        <v>54</v>
      </c>
      <c r="D9" s="69" t="s">
        <v>6</v>
      </c>
      <c r="E9" s="57" t="str">
        <f>VLOOKUP(B9,'FTD02'!C:E,1,0)</f>
        <v xml:space="preserve">Bloco válv. 3 vias coletor de amostra Entrada vapor </v>
      </c>
      <c r="F9" s="53" t="str">
        <f>VLOOKUP(B9,'FTD02'!C:E,3,0)</f>
        <v>DN-15</v>
      </c>
      <c r="G9" s="56" t="str">
        <f>VLOOKUP(B9,'FTD02'!C:G,5,0)</f>
        <v>ZDL</v>
      </c>
      <c r="H9" s="57" t="str">
        <f>VLOOKUP(B9,'FTD03'!C:E,1,0)</f>
        <v xml:space="preserve">Bloco válv. 3 vias coletor de amostra Entrada vapor </v>
      </c>
      <c r="I9" s="53" t="str">
        <f>VLOOKUP(B9,'FTD03'!C:E,3,0)</f>
        <v>DN-15</v>
      </c>
      <c r="J9" s="56" t="str">
        <f>VLOOKUP(B9,'FTD03'!C:G,5,0)</f>
        <v>ZDL</v>
      </c>
      <c r="K9" s="57" t="str">
        <f>VLOOKUP(B9,'FTD04'!C:E,1,0)</f>
        <v xml:space="preserve">Bloco válv. 3 vias coletor de amostra Entrada vapor </v>
      </c>
      <c r="L9" s="53" t="str">
        <f>VLOOKUP(B9,'FTD04'!C:E,3,0)</f>
        <v>DN-15</v>
      </c>
      <c r="M9" s="56" t="str">
        <f>VLOOKUP(B9,'FTD04'!C:G,5,0)</f>
        <v>ZDL</v>
      </c>
      <c r="N9" s="57" t="str">
        <f>VLOOKUP(B9,'FTD05'!C:E,1,0)</f>
        <v xml:space="preserve">Bloco válv. 3 vias coletor de amostra Entrada vapor </v>
      </c>
      <c r="O9" s="53" t="str">
        <f>VLOOKUP(B9,'FTD05'!C:E,3,0)</f>
        <v>DN-15</v>
      </c>
      <c r="P9" s="56" t="str">
        <f>VLOOKUP(B9,'FTD05'!C:G,5,0)</f>
        <v>ZDL</v>
      </c>
      <c r="Q9" s="65" t="str">
        <f>VLOOKUP(B9,'FTD06'!C:E,1,0)</f>
        <v xml:space="preserve">Bloco válv. 3 vias coletor de amostra Entrada vapor </v>
      </c>
      <c r="R9" s="53" t="str">
        <f>VLOOKUP(B9,'FTD06'!C:E,3,0)</f>
        <v>DN-15</v>
      </c>
      <c r="S9" s="74" t="str">
        <f>VLOOKUP(B9,'FTD06'!C:G,5,0)</f>
        <v>ZDL</v>
      </c>
      <c r="T9" s="57" t="str">
        <f>VLOOKUP(B9,'FTD07'!C:E,1,0)</f>
        <v xml:space="preserve">Bloco válv. 3 vias coletor de amostra Entrada vapor </v>
      </c>
      <c r="U9" s="53" t="str">
        <f>VLOOKUP(B9,'FTD07'!C:E,3,0)</f>
        <v>DN-15</v>
      </c>
      <c r="V9" s="56" t="str">
        <f>VLOOKUP(B9,'FTD07'!C:G,5,0)</f>
        <v>ZDL</v>
      </c>
      <c r="W9" s="65" t="str">
        <f>VLOOKUP(B9,'FTD08'!C:E,1,0)</f>
        <v xml:space="preserve">Bloco válv. 3 vias coletor de amostra Entrada vapor </v>
      </c>
      <c r="X9" s="53" t="str">
        <f>VLOOKUP(B9,'FTD08'!C:E,3,0)</f>
        <v>DN-15</v>
      </c>
      <c r="Y9" s="74" t="str">
        <f>VLOOKUP(B9,'FTD08'!C:G,5,0)</f>
        <v>ZDL</v>
      </c>
      <c r="Z9" s="57" t="str">
        <f>VLOOKUP(B9,'FTD09'!C:E,1,0)</f>
        <v xml:space="preserve">Bloco válv. 3 vias coletor de amostra Entrada vapor </v>
      </c>
      <c r="AA9" s="53" t="str">
        <f>VLOOKUP(B9,'FTD09'!C:E,3,0)</f>
        <v>DN-15</v>
      </c>
      <c r="AB9" s="56" t="str">
        <f>VLOOKUP(B9,'FTD09'!C:G,5,0)</f>
        <v>ZDL</v>
      </c>
      <c r="AC9" s="65" t="str">
        <f>VLOOKUP(B9,'FTD10'!C:E,1,0)</f>
        <v xml:space="preserve">Bloco válv. 3 vias coletor de amostra Entrada vapor </v>
      </c>
      <c r="AD9" s="53" t="str">
        <f>VLOOKUP(B9,'FTD10'!C:E,3,0)</f>
        <v>DN-15</v>
      </c>
      <c r="AE9" s="74" t="str">
        <f>VLOOKUP(B9,'FTD10'!C:G,5,0)</f>
        <v>ZDL</v>
      </c>
      <c r="AF9" s="57" t="str">
        <f>VLOOKUP(B9,'FTD11'!C:E,1,0)</f>
        <v xml:space="preserve">Bloco válv. 3 vias coletor de amostra Entrada vapor </v>
      </c>
      <c r="AG9" s="53" t="str">
        <f>VLOOKUP(B9,'FTD11'!C:E,3,0)</f>
        <v>DN-15</v>
      </c>
      <c r="AH9" s="56" t="str">
        <f>VLOOKUP(B9,'FTD11'!C:G,5,0)</f>
        <v>ZDL</v>
      </c>
      <c r="AI9" s="65" t="str">
        <f>VLOOKUP(B9,'FTD12'!C:E,1,0)</f>
        <v xml:space="preserve">Bloco válv. 3 vias coletor de amostra Entrada vapor </v>
      </c>
      <c r="AJ9" s="53" t="str">
        <f>VLOOKUP(B9,'FTD12'!C:E,3,0)</f>
        <v>DN-15</v>
      </c>
      <c r="AK9" s="53" t="str">
        <f>VLOOKUP(B9,'FTD12'!C:G,5,0)</f>
        <v xml:space="preserve">ZDL </v>
      </c>
      <c r="AL9" s="56">
        <f t="shared" si="1"/>
        <v>11</v>
      </c>
      <c r="AN9" s="63" t="s">
        <v>49</v>
      </c>
      <c r="AO9" s="16" t="s">
        <v>64</v>
      </c>
      <c r="AP9" s="16" t="s">
        <v>51</v>
      </c>
      <c r="AQ9" s="78" t="s">
        <v>65</v>
      </c>
      <c r="AR9" s="84" t="str">
        <f>VLOOKUP(AN9,'PGD02'!A:E,1,0)</f>
        <v xml:space="preserve">Inferior </v>
      </c>
      <c r="AS9" s="53" t="str">
        <f>VLOOKUP(AO9,'PGD02'!C:E,1,0)</f>
        <v xml:space="preserve">Descarte BV  </v>
      </c>
      <c r="AT9" s="53" t="str">
        <f>VLOOKUP(AO9,'PGD02'!C:E,3,0)</f>
        <v>DN-40</v>
      </c>
      <c r="AU9" s="56" t="str">
        <f>VLOOKUP(AO9,'PGD02'!C:G,5,0)</f>
        <v>GEMÜ</v>
      </c>
      <c r="AV9" s="84" t="str">
        <f>VLOOKUP(AN9,'PGD03'!A:E,1,0)</f>
        <v xml:space="preserve">Inferior </v>
      </c>
      <c r="AW9" s="53" t="str">
        <f>VLOOKUP(AO9,'PGD03'!C:E,1,0)</f>
        <v xml:space="preserve">Descarte BV  </v>
      </c>
      <c r="AX9" s="53" t="str">
        <f>VLOOKUP(AO9,'PGD03'!C:E,3,0)</f>
        <v>DN-40</v>
      </c>
      <c r="AY9" s="56" t="str">
        <f>VLOOKUP(AO9,'PGD03'!C:G,5,0)</f>
        <v>GEMÜ</v>
      </c>
      <c r="AZ9" s="84" t="str">
        <f>VLOOKUP(AN9,'PGD04'!A:E,1,0)</f>
        <v xml:space="preserve">Inferior </v>
      </c>
      <c r="BA9" s="53" t="str">
        <f>VLOOKUP(AO9,'PGD03'!C:E,1,0)</f>
        <v xml:space="preserve">Descarte BV  </v>
      </c>
      <c r="BB9" s="53" t="str">
        <f>VLOOKUP(AO9,'PGD04'!C:E,3,0)</f>
        <v>DN-40</v>
      </c>
      <c r="BC9" s="56" t="str">
        <f>VLOOKUP(AO9,'PGD04'!C:G,5,0)</f>
        <v>GEMÜ</v>
      </c>
      <c r="BD9" s="84" t="str">
        <f>VLOOKUP(AN9,'PGD05'!A:E,1,0)</f>
        <v xml:space="preserve">Inferior </v>
      </c>
      <c r="BE9" s="53" t="str">
        <f>VLOOKUP(AO9,'PGD05'!C:E,1,0)</f>
        <v xml:space="preserve">Descarte BV  </v>
      </c>
      <c r="BF9" s="53" t="str">
        <f>VLOOKUP(AO9,'PGD05'!C:E,3,0)</f>
        <v>DN-40</v>
      </c>
      <c r="BG9" s="56" t="str">
        <f>VLOOKUP(AO9,'PGD05'!C:G,5,0)</f>
        <v>GEMÜ</v>
      </c>
      <c r="BH9" s="84" t="str">
        <f>VLOOKUP(AN9,'PGD06'!A:E,1,0)</f>
        <v xml:space="preserve">Inferior </v>
      </c>
      <c r="BI9" s="53" t="str">
        <f>VLOOKUP(AO9,'PGD06'!C:E,1,0)</f>
        <v xml:space="preserve">Descarte BV  </v>
      </c>
      <c r="BJ9" s="53" t="str">
        <f>VLOOKUP(AO9,'PGD06'!C:E,3,0)</f>
        <v>DN-40</v>
      </c>
      <c r="BK9" s="56" t="str">
        <f>VLOOKUP(AO9,'PGD06'!C:G,5,0)</f>
        <v>GEMÜ</v>
      </c>
      <c r="BL9" s="84" t="str">
        <f>VLOOKUP(AN9,'PGD07'!A:E,1,0)</f>
        <v xml:space="preserve">Inferior </v>
      </c>
      <c r="BM9" s="53" t="str">
        <f>VLOOKUP(AO9,'PGD07'!C:E,1,0)</f>
        <v xml:space="preserve">Descarte BV  </v>
      </c>
      <c r="BN9" s="53" t="str">
        <f>VLOOKUP(AO9,'PGD07'!C:E,3,0)</f>
        <v>DN-40</v>
      </c>
      <c r="BO9" s="56" t="str">
        <f>VLOOKUP(AO9,'PGD07'!C:G,5,0)</f>
        <v>GEMÜ</v>
      </c>
      <c r="BP9" s="84" t="str">
        <f>VLOOKUP(AN9,'PGD08'!A:E,1,0)</f>
        <v xml:space="preserve">Inferior </v>
      </c>
      <c r="BQ9" s="53" t="str">
        <f>VLOOKUP(AO9,'PGD08'!C:E,1,0)</f>
        <v xml:space="preserve">Descarte BV  </v>
      </c>
      <c r="BR9" s="53" t="str">
        <f>VLOOKUP(AO9,'PGD08'!C:E,3,0)</f>
        <v>DN-40</v>
      </c>
      <c r="BS9" s="56" t="str">
        <f>VLOOKUP(AO9,'PGD08'!C:G,5,0)</f>
        <v>GEMÜ</v>
      </c>
      <c r="BT9" s="84" t="str">
        <f>VLOOKUP(AN9,'PGD09'!A:E,1,0)</f>
        <v xml:space="preserve">Inferior </v>
      </c>
      <c r="BU9" s="53" t="str">
        <f>VLOOKUP(AO9,'PGD09'!C:E,1,0)</f>
        <v xml:space="preserve">Descarte BV  </v>
      </c>
      <c r="BV9" s="53" t="str">
        <f>VLOOKUP(AO9,'PGD09'!C:E,3,0)</f>
        <v>DN-40</v>
      </c>
      <c r="BW9" s="56" t="str">
        <f>VLOOKUP(AO9,'PGD09'!C:G,5,0)</f>
        <v>GEMÜ</v>
      </c>
      <c r="BX9" s="84" t="str">
        <f>VLOOKUP(AN9,'PGD10'!A:E,1,0)</f>
        <v xml:space="preserve">Inferior </v>
      </c>
      <c r="BY9" s="53" t="str">
        <f>VLOOKUP(AO9,'PGD10'!C:E,1,0)</f>
        <v xml:space="preserve">Descarte BV  </v>
      </c>
      <c r="BZ9" s="53" t="str">
        <f>VLOOKUP(AO9,'PGD10'!C:E,3,0)</f>
        <v>DN-40</v>
      </c>
      <c r="CA9" s="56" t="str">
        <f>VLOOKUP(AO9,'PGD10'!C:G,5,0)</f>
        <v>GEMÜ</v>
      </c>
      <c r="CB9" s="84" t="str">
        <f>VLOOKUP(AN9,'PGD11'!A:E,1,0)</f>
        <v xml:space="preserve">Inferior </v>
      </c>
      <c r="CC9" s="53" t="str">
        <f>VLOOKUP(AO9,'PGD11'!C:E,1,0)</f>
        <v xml:space="preserve">Descarte BV  </v>
      </c>
      <c r="CD9" s="53" t="str">
        <f>VLOOKUP(AO9,'PGD11'!C:E,3,0)</f>
        <v>DN-40</v>
      </c>
      <c r="CE9" s="56" t="str">
        <f>VLOOKUP(AO9,'PGD11'!C:G,5,0)</f>
        <v>GEMÜ</v>
      </c>
      <c r="CF9" s="84" t="str">
        <f>VLOOKUP(AN9,'PGD12'!A:E,1,0)</f>
        <v xml:space="preserve">Inferior </v>
      </c>
      <c r="CG9" s="53" t="str">
        <f>VLOOKUP(AO9,'PGD12'!C:E,1,0)</f>
        <v xml:space="preserve">Descarte BV  </v>
      </c>
      <c r="CH9" s="53" t="str">
        <f>VLOOKUP(AO9,'PGD12'!C:E,3,0)</f>
        <v>DN-40</v>
      </c>
      <c r="CI9" s="53" t="str">
        <f>VLOOKUP(AO9,'PGD12'!C:G,5,0)</f>
        <v>GEMÜ</v>
      </c>
      <c r="CJ9" s="56">
        <f t="shared" si="0"/>
        <v>11</v>
      </c>
      <c r="CL9" s="52" t="s">
        <v>66</v>
      </c>
      <c r="CM9" s="16" t="s">
        <v>51</v>
      </c>
      <c r="CN9" s="81" t="s">
        <v>5</v>
      </c>
      <c r="CO9" s="65" t="str">
        <f>VLOOKUP(CL9,'BLD03'!C:E,1,0)</f>
        <v xml:space="preserve">CIP BV </v>
      </c>
      <c r="CP9" s="53" t="str">
        <f>VLOOKUP(CL9,'BLD03'!C:E,3,0)</f>
        <v>DN-40</v>
      </c>
      <c r="CQ9" s="53" t="str">
        <f>VLOOKUP(CL9,'BLD02'!C:G,5,0)</f>
        <v>GEMÜ</v>
      </c>
      <c r="CR9" s="56">
        <f t="shared" si="2"/>
        <v>2</v>
      </c>
    </row>
    <row r="10" spans="2:96" x14ac:dyDescent="0.25">
      <c r="B10" s="62" t="s">
        <v>67</v>
      </c>
      <c r="C10" s="14" t="s">
        <v>51</v>
      </c>
      <c r="D10" s="68" t="s">
        <v>5</v>
      </c>
      <c r="E10" s="83" t="str">
        <f>VLOOKUP(B10,'FTD02'!C:E,1,0)</f>
        <v xml:space="preserve">CIP BV  fundo </v>
      </c>
      <c r="F10" s="84" t="str">
        <f>VLOOKUP(B10,'FTD02'!C:E,3,0)</f>
        <v>DN-40</v>
      </c>
      <c r="G10" s="82" t="str">
        <f>VLOOKUP(B10,'FTD02'!C:G,5,0)</f>
        <v>GEMÜ</v>
      </c>
      <c r="H10" s="83" t="str">
        <f>VLOOKUP(B10,'FTD03'!C:E,1,0)</f>
        <v xml:space="preserve">CIP BV  fundo </v>
      </c>
      <c r="I10" s="84" t="str">
        <f>VLOOKUP(B10,'FTD03'!C:E,3,0)</f>
        <v>DN-40</v>
      </c>
      <c r="J10" s="82" t="str">
        <f>VLOOKUP(B10,'FTD03'!C:G,5,0)</f>
        <v>GEMÜ</v>
      </c>
      <c r="K10" s="83" t="str">
        <f>VLOOKUP(B10,'FTD04'!C:E,1,0)</f>
        <v xml:space="preserve">CIP BV  fundo </v>
      </c>
      <c r="L10" s="84" t="str">
        <f>VLOOKUP(B10,'FTD04'!C:E,3,0)</f>
        <v>DN-40</v>
      </c>
      <c r="M10" s="82" t="str">
        <f>VLOOKUP(B10,'FTD04'!C:G,5,0)</f>
        <v>GEMÜ</v>
      </c>
      <c r="N10" s="83" t="str">
        <f>VLOOKUP(B10,'FTD05'!C:E,1,0)</f>
        <v xml:space="preserve">CIP BV  fundo </v>
      </c>
      <c r="O10" s="84" t="str">
        <f>VLOOKUP(B10,'FTD05'!C:E,3,0)</f>
        <v>DN-40</v>
      </c>
      <c r="P10" s="82" t="str">
        <f>VLOOKUP(B10,'FTD05'!C:G,5,0)</f>
        <v>GEMÜ</v>
      </c>
      <c r="Q10" s="85" t="str">
        <f>VLOOKUP(B10,'FTD06'!C:E,1,0)</f>
        <v xml:space="preserve">CIP BV  fundo </v>
      </c>
      <c r="R10" s="84" t="str">
        <f>VLOOKUP(B10,'FTD06'!C:E,3,0)</f>
        <v>DN-40</v>
      </c>
      <c r="S10" s="86" t="str">
        <f>VLOOKUP(B10,'FTD06'!C:G,5,0)</f>
        <v>GEMÜ</v>
      </c>
      <c r="T10" s="83" t="str">
        <f>VLOOKUP(B10,'FTD07'!C:E,1,0)</f>
        <v xml:space="preserve">CIP BV  fundo </v>
      </c>
      <c r="U10" s="84" t="str">
        <f>VLOOKUP(B10,'FTD07'!C:E,3,0)</f>
        <v>DN-40</v>
      </c>
      <c r="V10" s="82" t="str">
        <f>VLOOKUP(B10,'FTD07'!C:G,5,0)</f>
        <v>GEMÜ</v>
      </c>
      <c r="W10" s="85" t="str">
        <f>VLOOKUP(B10,'FTD08'!C:E,1,0)</f>
        <v xml:space="preserve">CIP BV  fundo </v>
      </c>
      <c r="X10" s="84" t="str">
        <f>VLOOKUP(B10,'FTD08'!C:E,3,0)</f>
        <v>DN-40</v>
      </c>
      <c r="Y10" s="86" t="str">
        <f>VLOOKUP(B10,'FTD08'!C:G,5,0)</f>
        <v>GEMÜ</v>
      </c>
      <c r="Z10" s="83" t="str">
        <f>VLOOKUP(B10,'FTD09'!C:E,1,0)</f>
        <v xml:space="preserve">CIP BV  fundo </v>
      </c>
      <c r="AA10" s="84" t="str">
        <f>VLOOKUP(B10,'FTD09'!C:E,3,0)</f>
        <v>DN-40</v>
      </c>
      <c r="AB10" s="82" t="str">
        <f>VLOOKUP(B10,'FTD09'!C:G,5,0)</f>
        <v>GEMÜ</v>
      </c>
      <c r="AC10" s="85" t="str">
        <f>VLOOKUP(B10,'FTD10'!C:E,1,0)</f>
        <v xml:space="preserve">CIP BV  fundo </v>
      </c>
      <c r="AD10" s="84" t="str">
        <f>VLOOKUP(B10,'FTD10'!C:E,3,0)</f>
        <v>DN-40</v>
      </c>
      <c r="AE10" s="86" t="str">
        <f>VLOOKUP(B10,'FTD10'!C:G,5,0)</f>
        <v>GEMÜ</v>
      </c>
      <c r="AF10" s="83" t="str">
        <f>VLOOKUP(B10,'FTD11'!C:E,1,0)</f>
        <v xml:space="preserve">CIP BV  fundo </v>
      </c>
      <c r="AG10" s="84" t="str">
        <f>VLOOKUP(B10,'FTD11'!C:E,3,0)</f>
        <v>DN-40</v>
      </c>
      <c r="AH10" s="82" t="str">
        <f>VLOOKUP(B10,'FTD11'!C:G,5,0)</f>
        <v>GEMÜ</v>
      </c>
      <c r="AI10" s="85" t="str">
        <f>VLOOKUP(B10,'FTD12'!C:E,1,0)</f>
        <v xml:space="preserve">CIP BV  fundo </v>
      </c>
      <c r="AJ10" s="84" t="str">
        <f>VLOOKUP(B10,'FTD12'!C:E,3,0)</f>
        <v>DN-40</v>
      </c>
      <c r="AK10" s="84" t="str">
        <f>VLOOKUP(B10,'FTD12'!C:G,5,0)</f>
        <v>GEMÜ</v>
      </c>
      <c r="AL10" s="82">
        <f t="shared" si="1"/>
        <v>11</v>
      </c>
      <c r="AN10" s="113" t="s">
        <v>68</v>
      </c>
      <c r="AO10" s="107" t="s">
        <v>69</v>
      </c>
      <c r="AP10" s="107" t="s">
        <v>51</v>
      </c>
      <c r="AQ10" s="115" t="s">
        <v>57</v>
      </c>
      <c r="AR10" s="84" t="str">
        <f>VLOOKUP(AN10,'PGD02'!A:E,1,0)</f>
        <v>Superior</v>
      </c>
      <c r="AS10" s="84" t="str">
        <f>VLOOKUP(AO10,'PGD02'!C:E,1,0)</f>
        <v xml:space="preserve">Bloqueio entrada de ar pré filtro absoluto </v>
      </c>
      <c r="AT10" s="84" t="str">
        <f>VLOOKUP(AO10,'PGD02'!C:E,3,0)</f>
        <v>DN-40</v>
      </c>
      <c r="AU10" s="82" t="str">
        <f>VLOOKUP(AO10,'PGD02'!C:G,5,0)</f>
        <v>GEMÜ</v>
      </c>
      <c r="AV10" s="84" t="str">
        <f>VLOOKUP(AN10,'PGD03'!A:E,1,0)</f>
        <v>Superior</v>
      </c>
      <c r="AW10" s="84" t="str">
        <f>VLOOKUP(AO10,'PGD03'!C:E,1,0)</f>
        <v xml:space="preserve">Bloqueio entrada de ar pré filtro absoluto </v>
      </c>
      <c r="AX10" s="84" t="str">
        <f>VLOOKUP(AO10,'PGD03'!C:E,3,0)</f>
        <v>DN-40</v>
      </c>
      <c r="AY10" s="82" t="str">
        <f>VLOOKUP(AO10,'PGD03'!C:G,5,0)</f>
        <v>GEMÜ</v>
      </c>
      <c r="AZ10" s="84" t="str">
        <f>VLOOKUP(AN10,'PGD04'!A:E,1,0)</f>
        <v>Superior</v>
      </c>
      <c r="BA10" s="84" t="str">
        <f>VLOOKUP(AO10,'PGD03'!C:E,1,0)</f>
        <v xml:space="preserve">Bloqueio entrada de ar pré filtro absoluto </v>
      </c>
      <c r="BB10" s="84" t="str">
        <f>VLOOKUP(AO10,'PGD04'!C:E,3,0)</f>
        <v>DN-40</v>
      </c>
      <c r="BC10" s="82" t="str">
        <f>VLOOKUP(AO10,'PGD04'!C:G,5,0)</f>
        <v>GEMÜ</v>
      </c>
      <c r="BD10" s="84" t="str">
        <f>VLOOKUP(AN10,'PGD05'!A:E,1,0)</f>
        <v>Superior</v>
      </c>
      <c r="BE10" s="84" t="str">
        <f>VLOOKUP(AO10,'PGD05'!C:E,1,0)</f>
        <v xml:space="preserve">Bloqueio entrada de ar pré filtro absoluto </v>
      </c>
      <c r="BF10" s="84" t="str">
        <f>VLOOKUP(AO10,'PGD05'!C:E,3,0)</f>
        <v>DN-40</v>
      </c>
      <c r="BG10" s="82" t="str">
        <f>VLOOKUP(AO10,'PGD05'!C:G,5,0)</f>
        <v>GEMÜ</v>
      </c>
      <c r="BH10" s="84" t="str">
        <f>VLOOKUP(AN10,'PGD06'!A:E,1,0)</f>
        <v>Superior</v>
      </c>
      <c r="BI10" s="84" t="str">
        <f>VLOOKUP(AO10,'PGD06'!C:E,1,0)</f>
        <v xml:space="preserve">Bloqueio entrada de ar pré filtro absoluto </v>
      </c>
      <c r="BJ10" s="84" t="str">
        <f>VLOOKUP(AO10,'PGD06'!C:E,3,0)</f>
        <v>DN-40</v>
      </c>
      <c r="BK10" s="82" t="str">
        <f>VLOOKUP(AO10,'PGD06'!C:G,5,0)</f>
        <v>GEMÜ</v>
      </c>
      <c r="BL10" s="84" t="str">
        <f>VLOOKUP(AN10,'PGD07'!A:E,1,0)</f>
        <v>Superior</v>
      </c>
      <c r="BM10" s="84" t="str">
        <f>VLOOKUP(AO10,'PGD07'!C:E,1,0)</f>
        <v xml:space="preserve">Bloqueio entrada de ar pré filtro absoluto </v>
      </c>
      <c r="BN10" s="84" t="str">
        <f>VLOOKUP(AO10,'PGD07'!C:E,3,0)</f>
        <v>DN-40</v>
      </c>
      <c r="BO10" s="82" t="str">
        <f>VLOOKUP(AO10,'PGD07'!C:G,5,0)</f>
        <v>GEMÜ</v>
      </c>
      <c r="BP10" s="84" t="str">
        <f>VLOOKUP(AN10,'PGD08'!A:E,1,0)</f>
        <v>Superior</v>
      </c>
      <c r="BQ10" s="84" t="str">
        <f>VLOOKUP(AO10,'PGD08'!C:E,1,0)</f>
        <v xml:space="preserve">Bloqueio entrada de ar pré filtro absoluto </v>
      </c>
      <c r="BR10" s="84" t="str">
        <f>VLOOKUP(AO10,'PGD08'!C:E,3,0)</f>
        <v>DN-40</v>
      </c>
      <c r="BS10" s="82" t="str">
        <f>VLOOKUP(AO10,'PGD08'!C:G,5,0)</f>
        <v>GEMÜ</v>
      </c>
      <c r="BT10" s="84" t="str">
        <f>VLOOKUP(AN10,'PGD09'!A:E,1,0)</f>
        <v>Superior</v>
      </c>
      <c r="BU10" s="84" t="str">
        <f>VLOOKUP(AO10,'PGD09'!C:E,1,0)</f>
        <v xml:space="preserve">Bloqueio entrada de ar pré filtro absoluto </v>
      </c>
      <c r="BV10" s="84" t="str">
        <f>VLOOKUP(AO10,'PGD09'!C:E,3,0)</f>
        <v>DN-40</v>
      </c>
      <c r="BW10" s="82" t="str">
        <f>VLOOKUP(AO10,'PGD09'!C:G,5,0)</f>
        <v>GEMÜ</v>
      </c>
      <c r="BX10" s="84" t="str">
        <f>VLOOKUP(AN10,'PGD10'!A:E,1,0)</f>
        <v>Superior</v>
      </c>
      <c r="BY10" s="84" t="str">
        <f>VLOOKUP(AO10,'PGD10'!C:E,1,0)</f>
        <v xml:space="preserve">Bloqueio entrada de ar pré filtro absoluto </v>
      </c>
      <c r="BZ10" s="84" t="str">
        <f>VLOOKUP(AO10,'PGD10'!C:E,3,0)</f>
        <v>DN-40</v>
      </c>
      <c r="CA10" s="82" t="str">
        <f>VLOOKUP(AO10,'PGD10'!C:G,5,0)</f>
        <v>GEMÜ</v>
      </c>
      <c r="CB10" s="84" t="str">
        <f>VLOOKUP(AN10,'PGD11'!A:E,1,0)</f>
        <v>Superior</v>
      </c>
      <c r="CC10" s="84" t="str">
        <f>VLOOKUP(AO10,'PGD11'!C:E,1,0)</f>
        <v xml:space="preserve">Bloqueio entrada de ar pré filtro absoluto </v>
      </c>
      <c r="CD10" s="84" t="str">
        <f>VLOOKUP(AO10,'PGD11'!C:E,3,0)</f>
        <v>DN-40</v>
      </c>
      <c r="CE10" s="82" t="str">
        <f>VLOOKUP(AO10,'PGD11'!C:G,5,0)</f>
        <v>GEMÜ</v>
      </c>
      <c r="CF10" s="84" t="str">
        <f>VLOOKUP(AN10,'PGD12'!A:E,1,0)</f>
        <v>Superior</v>
      </c>
      <c r="CG10" s="84" t="str">
        <f>VLOOKUP(AO10,'PGD12'!C:E,1,0)</f>
        <v xml:space="preserve">Bloqueio entrada de ar pré filtro absoluto </v>
      </c>
      <c r="CH10" s="84" t="str">
        <f>VLOOKUP(AO10,'PGD12'!C:E,3,0)</f>
        <v>DN-40</v>
      </c>
      <c r="CI10" s="84" t="str">
        <f>VLOOKUP(AO10,'PGD12'!C:G,5,0)</f>
        <v>GEMÜ</v>
      </c>
      <c r="CJ10" s="82">
        <f t="shared" si="0"/>
        <v>11</v>
      </c>
      <c r="CL10" s="51" t="s">
        <v>70</v>
      </c>
      <c r="CM10" s="6" t="s">
        <v>51</v>
      </c>
      <c r="CN10" s="80" t="s">
        <v>5</v>
      </c>
      <c r="CO10" s="85" t="str">
        <f>VLOOKUP(CL10,'BLD03'!C:E,1,0)</f>
        <v xml:space="preserve">Descarte BV </v>
      </c>
      <c r="CP10" s="84" t="str">
        <f>VLOOKUP(CL10,'BLD03'!C:E,3,0)</f>
        <v>DN-40</v>
      </c>
      <c r="CQ10" s="84" t="str">
        <f>VLOOKUP(CL10,'BLD02'!C:G,5,0)</f>
        <v>GEMÜ</v>
      </c>
      <c r="CR10" s="82">
        <f t="shared" si="2"/>
        <v>2</v>
      </c>
    </row>
    <row r="11" spans="2:96" x14ac:dyDescent="0.25">
      <c r="B11" s="64" t="s">
        <v>71</v>
      </c>
      <c r="C11" s="7" t="s">
        <v>51</v>
      </c>
      <c r="D11" s="69" t="s">
        <v>5</v>
      </c>
      <c r="E11" s="57" t="str">
        <f>VLOOKUP(B11,'FTD02'!C:E,1,0)</f>
        <v>Descarte  BV  fundo</v>
      </c>
      <c r="F11" s="53" t="str">
        <f>VLOOKUP(B11,'FTD02'!C:E,3,0)</f>
        <v>DN-40</v>
      </c>
      <c r="G11" s="56" t="str">
        <f>VLOOKUP(B11,'FTD02'!C:G,5,0)</f>
        <v>GEMÜ</v>
      </c>
      <c r="H11" s="57" t="str">
        <f>VLOOKUP(B11,'FTD03'!C:E,1,0)</f>
        <v>Descarte  BV  fundo</v>
      </c>
      <c r="I11" s="53" t="str">
        <f>VLOOKUP(B11,'FTD03'!C:E,3,0)</f>
        <v>DN-40</v>
      </c>
      <c r="J11" s="56" t="str">
        <f>VLOOKUP(B11,'FTD03'!C:G,5,0)</f>
        <v>GEMÜ</v>
      </c>
      <c r="K11" s="57" t="str">
        <f>VLOOKUP(B11,'FTD04'!C:E,1,0)</f>
        <v>Descarte  BV  fundo</v>
      </c>
      <c r="L11" s="53" t="str">
        <f>VLOOKUP(B11,'FTD04'!C:E,3,0)</f>
        <v>DN-40</v>
      </c>
      <c r="M11" s="56" t="str">
        <f>VLOOKUP(B11,'FTD04'!C:G,5,0)</f>
        <v>GEMÜ</v>
      </c>
      <c r="N11" s="57" t="str">
        <f>VLOOKUP(B11,'FTD05'!C:E,1,0)</f>
        <v>Descarte  BV  fundo</v>
      </c>
      <c r="O11" s="53" t="str">
        <f>VLOOKUP(B11,'FTD05'!C:E,3,0)</f>
        <v>DN-40</v>
      </c>
      <c r="P11" s="56" t="str">
        <f>VLOOKUP(B11,'FTD05'!C:G,5,0)</f>
        <v>GEMÜ</v>
      </c>
      <c r="Q11" s="65" t="str">
        <f>VLOOKUP(B11,'FTD06'!C:E,1,0)</f>
        <v>Descarte  BV  fundo</v>
      </c>
      <c r="R11" s="53" t="str">
        <f>VLOOKUP(B11,'FTD06'!C:E,3,0)</f>
        <v>DN-40</v>
      </c>
      <c r="S11" s="74" t="str">
        <f>VLOOKUP(B11,'FTD06'!C:G,5,0)</f>
        <v>GEMÜ</v>
      </c>
      <c r="T11" s="57" t="str">
        <f>VLOOKUP(B11,'FTD07'!C:E,1,0)</f>
        <v>Descarte  BV  fundo</v>
      </c>
      <c r="U11" s="53" t="str">
        <f>VLOOKUP(B11,'FTD07'!C:E,3,0)</f>
        <v>DN-40</v>
      </c>
      <c r="V11" s="56" t="str">
        <f>VLOOKUP(B11,'FTD07'!C:G,5,0)</f>
        <v>GEMÜ</v>
      </c>
      <c r="W11" s="65" t="str">
        <f>VLOOKUP(B11,'FTD08'!C:E,1,0)</f>
        <v>Descarte  BV  fundo</v>
      </c>
      <c r="X11" s="53" t="str">
        <f>VLOOKUP(B11,'FTD08'!C:E,3,0)</f>
        <v>DN-40</v>
      </c>
      <c r="Y11" s="74" t="str">
        <f>VLOOKUP(B11,'FTD08'!C:G,5,0)</f>
        <v>GEMÜ</v>
      </c>
      <c r="Z11" s="57" t="str">
        <f>VLOOKUP(B11,'FTD09'!C:E,1,0)</f>
        <v>Descarte  BV  fundo</v>
      </c>
      <c r="AA11" s="53" t="str">
        <f>VLOOKUP(B11,'FTD09'!C:E,3,0)</f>
        <v>DN-40</v>
      </c>
      <c r="AB11" s="56" t="str">
        <f>VLOOKUP(B11,'FTD09'!C:G,5,0)</f>
        <v>GEMÜ</v>
      </c>
      <c r="AC11" s="65" t="str">
        <f>VLOOKUP(B11,'FTD10'!C:E,1,0)</f>
        <v>Descarte  BV  fundo</v>
      </c>
      <c r="AD11" s="53" t="str">
        <f>VLOOKUP(B11,'FTD10'!C:E,3,0)</f>
        <v>DN-40</v>
      </c>
      <c r="AE11" s="74" t="str">
        <f>VLOOKUP(B11,'FTD10'!C:G,5,0)</f>
        <v>GEMÜ</v>
      </c>
      <c r="AF11" s="57" t="str">
        <f>VLOOKUP(B11,'FTD11'!C:E,1,0)</f>
        <v>Descarte  BV  fundo</v>
      </c>
      <c r="AG11" s="53" t="str">
        <f>VLOOKUP(B11,'FTD11'!C:E,3,0)</f>
        <v>DN-40</v>
      </c>
      <c r="AH11" s="56" t="str">
        <f>VLOOKUP(B11,'FTD11'!C:G,5,0)</f>
        <v>GEMÜ</v>
      </c>
      <c r="AI11" s="65" t="str">
        <f>VLOOKUP(B11,'FTD12'!C:E,1,0)</f>
        <v>Descarte  BV  fundo</v>
      </c>
      <c r="AJ11" s="53" t="str">
        <f>VLOOKUP(B11,'FTD12'!C:E,3,0)</f>
        <v>DN-40</v>
      </c>
      <c r="AK11" s="53" t="str">
        <f>VLOOKUP(B11,'FTD12'!C:G,5,0)</f>
        <v>GEMÜ</v>
      </c>
      <c r="AL11" s="56">
        <f t="shared" si="1"/>
        <v>11</v>
      </c>
      <c r="AN11" s="63" t="s">
        <v>49</v>
      </c>
      <c r="AO11" s="16" t="s">
        <v>72</v>
      </c>
      <c r="AP11" s="16" t="s">
        <v>51</v>
      </c>
      <c r="AQ11" s="78" t="s">
        <v>73</v>
      </c>
      <c r="AR11" s="84" t="str">
        <f>VLOOKUP(AN11,'PGD02'!A:E,1,0)</f>
        <v xml:space="preserve">Inferior </v>
      </c>
      <c r="AS11" s="53" t="str">
        <f>VLOOKUP(AO11,'PGD02'!C:E,1,0)</f>
        <v xml:space="preserve">Válvula injetora de vapor </v>
      </c>
      <c r="AT11" s="53" t="str">
        <f>VLOOKUP(AO11,'PGD02'!C:E,3,0)</f>
        <v>DN-40</v>
      </c>
      <c r="AU11" s="56" t="str">
        <f>VLOOKUP(AO11,'PGD02'!C:G,5,0)</f>
        <v>GEMÜ</v>
      </c>
      <c r="AV11" s="84" t="str">
        <f>VLOOKUP(AN11,'PGD03'!A:E,1,0)</f>
        <v xml:space="preserve">Inferior </v>
      </c>
      <c r="AW11" s="53" t="str">
        <f>VLOOKUP(AO11,'PGD03'!C:E,1,0)</f>
        <v xml:space="preserve">Válvula injetora de vapor </v>
      </c>
      <c r="AX11" s="53" t="str">
        <f>VLOOKUP(AO11,'PGD03'!C:E,3,0)</f>
        <v>DN-40</v>
      </c>
      <c r="AY11" s="56" t="str">
        <f>VLOOKUP(AO11,'PGD03'!C:G,5,0)</f>
        <v>GEMÜ</v>
      </c>
      <c r="AZ11" s="84" t="str">
        <f>VLOOKUP(AN11,'PGD04'!A:E,1,0)</f>
        <v xml:space="preserve">Inferior </v>
      </c>
      <c r="BA11" s="53" t="str">
        <f>VLOOKUP(AO11,'PGD03'!C:E,1,0)</f>
        <v xml:space="preserve">Válvula injetora de vapor </v>
      </c>
      <c r="BB11" s="53" t="str">
        <f>VLOOKUP(AO11,'PGD04'!C:E,3,0)</f>
        <v>DN-40</v>
      </c>
      <c r="BC11" s="56" t="str">
        <f>VLOOKUP(AO11,'PGD04'!C:G,5,0)</f>
        <v>GEMÜ</v>
      </c>
      <c r="BD11" s="84" t="str">
        <f>VLOOKUP(AN11,'PGD05'!A:E,1,0)</f>
        <v xml:space="preserve">Inferior </v>
      </c>
      <c r="BE11" s="53" t="str">
        <f>VLOOKUP(AO11,'PGD05'!C:E,1,0)</f>
        <v xml:space="preserve">Válvula injetora de vapor </v>
      </c>
      <c r="BF11" s="53" t="str">
        <f>VLOOKUP(AO11,'PGD05'!C:E,3,0)</f>
        <v>DN-40</v>
      </c>
      <c r="BG11" s="56" t="str">
        <f>VLOOKUP(AO11,'PGD05'!C:G,5,0)</f>
        <v>GEMÜ</v>
      </c>
      <c r="BH11" s="84" t="str">
        <f>VLOOKUP(AN11,'PGD06'!A:E,1,0)</f>
        <v xml:space="preserve">Inferior </v>
      </c>
      <c r="BI11" s="53" t="str">
        <f>VLOOKUP(AO11,'PGD06'!C:E,1,0)</f>
        <v xml:space="preserve">Válvula injetora de vapor </v>
      </c>
      <c r="BJ11" s="53" t="str">
        <f>VLOOKUP(AO11,'PGD06'!C:E,3,0)</f>
        <v>DN-40</v>
      </c>
      <c r="BK11" s="56" t="str">
        <f>VLOOKUP(AO11,'PGD06'!C:G,5,0)</f>
        <v>GEMÜ</v>
      </c>
      <c r="BL11" s="84" t="str">
        <f>VLOOKUP(AN11,'PGD07'!A:E,1,0)</f>
        <v xml:space="preserve">Inferior </v>
      </c>
      <c r="BM11" s="53" t="str">
        <f>VLOOKUP(AO11,'PGD07'!C:E,1,0)</f>
        <v xml:space="preserve">Válvula injetora de vapor </v>
      </c>
      <c r="BN11" s="53" t="str">
        <f>VLOOKUP(AO11,'PGD07'!C:E,3,0)</f>
        <v>DN-40</v>
      </c>
      <c r="BO11" s="56" t="str">
        <f>VLOOKUP(AO11,'PGD07'!C:G,5,0)</f>
        <v>GEMÜ</v>
      </c>
      <c r="BP11" s="84" t="str">
        <f>VLOOKUP(AN11,'PGD08'!A:E,1,0)</f>
        <v xml:space="preserve">Inferior </v>
      </c>
      <c r="BQ11" s="53" t="str">
        <f>VLOOKUP(AO11,'PGD08'!C:E,1,0)</f>
        <v xml:space="preserve">Válvula injetora de vapor </v>
      </c>
      <c r="BR11" s="53" t="str">
        <f>VLOOKUP(AO11,'PGD08'!C:E,3,0)</f>
        <v>DN-40</v>
      </c>
      <c r="BS11" s="56" t="str">
        <f>VLOOKUP(AO11,'PGD08'!C:G,5,0)</f>
        <v>GEMÜ</v>
      </c>
      <c r="BT11" s="84" t="str">
        <f>VLOOKUP(AN11,'PGD09'!A:E,1,0)</f>
        <v xml:space="preserve">Inferior </v>
      </c>
      <c r="BU11" s="53" t="str">
        <f>VLOOKUP(AO11,'PGD09'!C:E,1,0)</f>
        <v xml:space="preserve">Válvula injetora de vapor </v>
      </c>
      <c r="BV11" s="53" t="str">
        <f>VLOOKUP(AO11,'PGD09'!C:E,3,0)</f>
        <v>DN-40</v>
      </c>
      <c r="BW11" s="56" t="str">
        <f>VLOOKUP(AO11,'PGD09'!C:G,5,0)</f>
        <v>GEMÜ</v>
      </c>
      <c r="BX11" s="84" t="str">
        <f>VLOOKUP(AN11,'PGD10'!A:E,1,0)</f>
        <v xml:space="preserve">Inferior </v>
      </c>
      <c r="BY11" s="53" t="str">
        <f>VLOOKUP(AO11,'PGD10'!C:E,1,0)</f>
        <v xml:space="preserve">Válvula injetora de vapor </v>
      </c>
      <c r="BZ11" s="53" t="str">
        <f>VLOOKUP(AO11,'PGD10'!C:E,3,0)</f>
        <v>DN-40</v>
      </c>
      <c r="CA11" s="56" t="str">
        <f>VLOOKUP(AO11,'PGD10'!C:G,5,0)</f>
        <v>GEMÜ</v>
      </c>
      <c r="CB11" s="84" t="str">
        <f>VLOOKUP(AN11,'PGD11'!A:E,1,0)</f>
        <v xml:space="preserve">Inferior </v>
      </c>
      <c r="CC11" s="53" t="str">
        <f>VLOOKUP(AO11,'PGD11'!C:E,1,0)</f>
        <v xml:space="preserve">Válvula injetora de vapor </v>
      </c>
      <c r="CD11" s="53" t="str">
        <f>VLOOKUP(AO11,'PGD11'!C:E,3,0)</f>
        <v>DN-40</v>
      </c>
      <c r="CE11" s="56" t="str">
        <f>VLOOKUP(AO11,'PGD11'!C:G,5,0)</f>
        <v>GEMÜ</v>
      </c>
      <c r="CF11" s="84" t="str">
        <f>VLOOKUP(AN11,'PGD12'!A:E,1,0)</f>
        <v xml:space="preserve">Inferior </v>
      </c>
      <c r="CG11" s="53" t="str">
        <f>VLOOKUP(AO11,'PGD12'!C:E,1,0)</f>
        <v xml:space="preserve">Válvula injetora de vapor </v>
      </c>
      <c r="CH11" s="53" t="str">
        <f>VLOOKUP(AO11,'PGD12'!C:E,3,0)</f>
        <v>DN-40</v>
      </c>
      <c r="CI11" s="53" t="str">
        <f>VLOOKUP(AO11,'PGD12'!C:G,5,0)</f>
        <v>GEMÜ</v>
      </c>
      <c r="CJ11" s="56">
        <f t="shared" si="0"/>
        <v>11</v>
      </c>
      <c r="CL11" s="52" t="s">
        <v>74</v>
      </c>
      <c r="CM11" s="16" t="s">
        <v>48</v>
      </c>
      <c r="CN11" s="81" t="s">
        <v>6</v>
      </c>
      <c r="CO11" s="110" t="str">
        <f>VLOOKUP(CL11,'BLD03'!C:E,1,0)</f>
        <v>bloco 2 vias fundo - vapor</v>
      </c>
      <c r="CP11" s="53" t="str">
        <f>VLOOKUP(CL11,'BLD03'!C:E,3,0)</f>
        <v>DN-8</v>
      </c>
      <c r="CQ11" s="53" t="str">
        <f>VLOOKUP(CL11,'BLD02'!C:G,5,0)</f>
        <v>ZDL</v>
      </c>
      <c r="CR11" s="56">
        <f t="shared" si="2"/>
        <v>2</v>
      </c>
    </row>
    <row r="12" spans="2:96" x14ac:dyDescent="0.25">
      <c r="B12" s="62" t="s">
        <v>75</v>
      </c>
      <c r="C12" s="14" t="s">
        <v>76</v>
      </c>
      <c r="D12" s="68" t="s">
        <v>5</v>
      </c>
      <c r="E12" s="83" t="str">
        <f>VLOOKUP(B12,'FTD02'!C:E,1,0)</f>
        <v>Entrada de vapor linha de ar pós filtro absoluto</v>
      </c>
      <c r="F12" s="84" t="str">
        <f>VLOOKUP(B12,'FTD02'!C:E,3,0)</f>
        <v>DN-40</v>
      </c>
      <c r="G12" s="82" t="str">
        <f>VLOOKUP(B12,'FTD02'!C:G,5,0)</f>
        <v>GEMÜ</v>
      </c>
      <c r="H12" s="83" t="str">
        <f>VLOOKUP(B12,'FTD03'!C:E,1,0)</f>
        <v>Entrada de vapor linha de ar pós filtro absoluto</v>
      </c>
      <c r="I12" s="84" t="str">
        <f>VLOOKUP(B12,'FTD03'!C:E,3,0)</f>
        <v>DN-40</v>
      </c>
      <c r="J12" s="82" t="str">
        <f>VLOOKUP(B12,'FTD03'!C:G,5,0)</f>
        <v>GEMÜ</v>
      </c>
      <c r="K12" s="83" t="str">
        <f>VLOOKUP(B12,'FTD04'!C:E,1,0)</f>
        <v>Entrada de vapor linha de ar pós filtro absoluto</v>
      </c>
      <c r="L12" s="84" t="str">
        <f>VLOOKUP(B12,'FTD04'!C:E,3,0)</f>
        <v>DN-40</v>
      </c>
      <c r="M12" s="82" t="str">
        <f>VLOOKUP(B12,'FTD04'!C:G,5,0)</f>
        <v>GEMÜ</v>
      </c>
      <c r="N12" s="83" t="str">
        <f>VLOOKUP(B12,'FTD05'!C:E,1,0)</f>
        <v>Entrada de vapor linha de ar pós filtro absoluto</v>
      </c>
      <c r="O12" s="84" t="str">
        <f>VLOOKUP(B12,'FTD05'!C:E,3,0)</f>
        <v>DN-40</v>
      </c>
      <c r="P12" s="82" t="str">
        <f>VLOOKUP(B12,'FTD05'!C:G,5,0)</f>
        <v>GEMÜ</v>
      </c>
      <c r="Q12" s="85" t="str">
        <f>VLOOKUP(B12,'FTD06'!C:E,1,0)</f>
        <v>Entrada de vapor linha de ar pós filtro absoluto</v>
      </c>
      <c r="R12" s="84" t="str">
        <f>VLOOKUP(B12,'FTD06'!C:E,3,0)</f>
        <v>DN-40</v>
      </c>
      <c r="S12" s="86" t="str">
        <f>VLOOKUP(B12,'FTD06'!C:G,5,0)</f>
        <v>GEMÜ</v>
      </c>
      <c r="T12" s="83" t="str">
        <f>VLOOKUP(B12,'FTD07'!C:E,1,0)</f>
        <v>Entrada de vapor linha de ar pós filtro absoluto</v>
      </c>
      <c r="U12" s="84" t="str">
        <f>VLOOKUP(B12,'FTD07'!C:E,3,0)</f>
        <v>DN-40</v>
      </c>
      <c r="V12" s="82" t="str">
        <f>VLOOKUP(B12,'FTD07'!C:G,5,0)</f>
        <v>GEMÜ</v>
      </c>
      <c r="W12" s="85" t="str">
        <f>VLOOKUP(B12,'FTD08'!C:E,1,0)</f>
        <v>Entrada de vapor linha de ar pós filtro absoluto</v>
      </c>
      <c r="X12" s="84" t="str">
        <f>VLOOKUP(B12,'FTD08'!C:E,3,0)</f>
        <v>DN-40</v>
      </c>
      <c r="Y12" s="86" t="str">
        <f>VLOOKUP(B12,'FTD08'!C:G,5,0)</f>
        <v>GEMÜ</v>
      </c>
      <c r="Z12" s="83" t="str">
        <f>VLOOKUP(B12,'FTD09'!C:E,1,0)</f>
        <v>Entrada de vapor linha de ar pós filtro absoluto</v>
      </c>
      <c r="AA12" s="84" t="str">
        <f>VLOOKUP(B12,'FTD09'!C:E,3,0)</f>
        <v>DN-40</v>
      </c>
      <c r="AB12" s="82" t="str">
        <f>VLOOKUP(B12,'FTD09'!C:G,5,0)</f>
        <v>GEMÜ</v>
      </c>
      <c r="AC12" s="85" t="str">
        <f>VLOOKUP(B12,'FTD10'!C:E,1,0)</f>
        <v>Entrada de vapor linha de ar pós filtro absoluto</v>
      </c>
      <c r="AD12" s="84" t="str">
        <f>VLOOKUP(B12,'FTD10'!C:E,3,0)</f>
        <v>DN-40</v>
      </c>
      <c r="AE12" s="86" t="str">
        <f>VLOOKUP(B12,'FTD10'!C:G,5,0)</f>
        <v>GEMÜ</v>
      </c>
      <c r="AF12" s="83" t="str">
        <f>VLOOKUP(B12,'FTD11'!C:E,1,0)</f>
        <v>Entrada de vapor linha de ar pós filtro absoluto</v>
      </c>
      <c r="AG12" s="84" t="str">
        <f>VLOOKUP(B12,'FTD11'!C:E,3,0)</f>
        <v>DN-40</v>
      </c>
      <c r="AH12" s="82" t="str">
        <f>VLOOKUP(B12,'FTD11'!C:G,5,0)</f>
        <v>GEMÜ</v>
      </c>
      <c r="AI12" s="85" t="str">
        <f>VLOOKUP(B12,'FTD12'!C:E,1,0)</f>
        <v>Entrada de vapor linha de ar pós filtro absoluto</v>
      </c>
      <c r="AJ12" s="84" t="str">
        <f>VLOOKUP(B12,'FTD12'!C:E,3,0)</f>
        <v>DN-40</v>
      </c>
      <c r="AK12" s="84" t="str">
        <f>VLOOKUP(B12,'FTD12'!C:G,5,0)</f>
        <v>GEMÜ</v>
      </c>
      <c r="AL12" s="82">
        <f t="shared" si="1"/>
        <v>11</v>
      </c>
      <c r="AN12" s="62" t="s">
        <v>49</v>
      </c>
      <c r="AO12" s="14" t="s">
        <v>77</v>
      </c>
      <c r="AP12" s="14" t="s">
        <v>48</v>
      </c>
      <c r="AQ12" s="68" t="s">
        <v>78</v>
      </c>
      <c r="AR12" s="84" t="str">
        <f>VLOOKUP(AN12,'PGD02'!A:E,1,0)</f>
        <v xml:space="preserve">Inferior </v>
      </c>
      <c r="AS12" s="84" t="str">
        <f>VLOOKUP(AO12,'PGD02'!C:E,1,0)</f>
        <v>Linha vapor fundo esterilização</v>
      </c>
      <c r="AT12" s="84" t="str">
        <f>VLOOKUP(AO12,'PGD02'!C:E,3,0)</f>
        <v>DN-8</v>
      </c>
      <c r="AU12" s="82" t="str">
        <f>VLOOKUP(AO12,'PGD02'!C:G,5,0)</f>
        <v>GEMÜ</v>
      </c>
      <c r="AV12" s="84" t="str">
        <f>VLOOKUP(AN12,'PGD03'!A:E,1,0)</f>
        <v xml:space="preserve">Inferior </v>
      </c>
      <c r="AW12" s="84" t="str">
        <f>VLOOKUP(AO12,'PGD03'!C:E,1,0)</f>
        <v>Linha vapor fundo esterilização</v>
      </c>
      <c r="AX12" s="84" t="str">
        <f>VLOOKUP(AO12,'PGD03'!C:E,3,0)</f>
        <v>DN-8</v>
      </c>
      <c r="AY12" s="82" t="str">
        <f>VLOOKUP(AO12,'PGD03'!C:G,5,0)</f>
        <v>ZDL</v>
      </c>
      <c r="AZ12" s="84" t="str">
        <f>VLOOKUP(AN12,'PGD04'!A:E,1,0)</f>
        <v xml:space="preserve">Inferior </v>
      </c>
      <c r="BA12" s="84" t="str">
        <f>VLOOKUP(AO12,'PGD03'!C:E,1,0)</f>
        <v>Linha vapor fundo esterilização</v>
      </c>
      <c r="BB12" s="84" t="str">
        <f>VLOOKUP(AO12,'PGD04'!C:E,3,0)</f>
        <v>DN-8</v>
      </c>
      <c r="BC12" s="82" t="str">
        <f>VLOOKUP(AO12,'PGD04'!C:G,5,0)</f>
        <v>ZDL</v>
      </c>
      <c r="BD12" s="84" t="str">
        <f>VLOOKUP(AN12,'PGD05'!A:E,1,0)</f>
        <v xml:space="preserve">Inferior </v>
      </c>
      <c r="BE12" s="84" t="str">
        <f>VLOOKUP(AO12,'PGD05'!C:E,1,0)</f>
        <v>Linha vapor fundo esterilização</v>
      </c>
      <c r="BF12" s="84" t="str">
        <f>VLOOKUP(AO12,'PGD05'!C:E,3,0)</f>
        <v>DN-8</v>
      </c>
      <c r="BG12" s="82" t="str">
        <f>VLOOKUP(AO12,'PGD05'!C:G,5,0)</f>
        <v>ZDL</v>
      </c>
      <c r="BH12" s="84" t="str">
        <f>VLOOKUP(AN12,'PGD06'!A:E,1,0)</f>
        <v xml:space="preserve">Inferior </v>
      </c>
      <c r="BI12" s="84" t="str">
        <f>VLOOKUP(AO12,'PGD06'!C:E,1,0)</f>
        <v>Linha vapor fundo esterilização</v>
      </c>
      <c r="BJ12" s="84" t="str">
        <f>VLOOKUP(AO12,'PGD06'!C:E,3,0)</f>
        <v>DN-8</v>
      </c>
      <c r="BK12" s="82" t="str">
        <f>VLOOKUP(AO12,'PGD06'!C:G,5,0)</f>
        <v>ZDL</v>
      </c>
      <c r="BL12" s="84" t="str">
        <f>VLOOKUP(AN12,'PGD07'!A:E,1,0)</f>
        <v xml:space="preserve">Inferior </v>
      </c>
      <c r="BM12" s="84" t="str">
        <f>VLOOKUP(AO12,'PGD07'!C:E,1,0)</f>
        <v>Linha vapor fundo esterilização</v>
      </c>
      <c r="BN12" s="84" t="str">
        <f>VLOOKUP(AO12,'PGD07'!C:E,3,0)</f>
        <v>DN-8</v>
      </c>
      <c r="BO12" s="82" t="str">
        <f>VLOOKUP(AO12,'PGD07'!C:G,5,0)</f>
        <v>ZDL</v>
      </c>
      <c r="BP12" s="84" t="str">
        <f>VLOOKUP(AN12,'PGD08'!A:E,1,0)</f>
        <v xml:space="preserve">Inferior </v>
      </c>
      <c r="BQ12" s="84" t="str">
        <f>VLOOKUP(AO12,'PGD08'!C:E,1,0)</f>
        <v>Linha vapor fundo esterilização</v>
      </c>
      <c r="BR12" s="84" t="str">
        <f>VLOOKUP(AO12,'PGD08'!C:E,3,0)</f>
        <v>DN-8</v>
      </c>
      <c r="BS12" s="82" t="str">
        <f>VLOOKUP(AO12,'PGD08'!C:G,5,0)</f>
        <v>ZDL</v>
      </c>
      <c r="BT12" s="84" t="str">
        <f>VLOOKUP(AN12,'PGD09'!A:E,1,0)</f>
        <v xml:space="preserve">Inferior </v>
      </c>
      <c r="BU12" s="84" t="str">
        <f>VLOOKUP(AO12,'PGD09'!C:E,1,0)</f>
        <v>Linha vapor fundo esterilização</v>
      </c>
      <c r="BV12" s="84" t="str">
        <f>VLOOKUP(AO12,'PGD09'!C:E,3,0)</f>
        <v>DN-8</v>
      </c>
      <c r="BW12" s="82" t="str">
        <f>VLOOKUP(AO12,'PGD09'!C:G,5,0)</f>
        <v>ZDL</v>
      </c>
      <c r="BX12" s="84" t="str">
        <f>VLOOKUP(AN12,'PGD10'!A:E,1,0)</f>
        <v xml:space="preserve">Inferior </v>
      </c>
      <c r="BY12" s="84" t="str">
        <f>VLOOKUP(AO12,'PGD10'!C:E,1,0)</f>
        <v>Linha vapor fundo esterilização</v>
      </c>
      <c r="BZ12" s="84" t="str">
        <f>VLOOKUP(AO12,'PGD10'!C:E,3,0)</f>
        <v>DN-8</v>
      </c>
      <c r="CA12" s="82" t="str">
        <f>VLOOKUP(AO12,'PGD10'!C:G,5,0)</f>
        <v>ZDL</v>
      </c>
      <c r="CB12" s="84" t="str">
        <f>VLOOKUP(AN12,'PGD11'!A:E,1,0)</f>
        <v xml:space="preserve">Inferior </v>
      </c>
      <c r="CC12" s="84" t="str">
        <f>VLOOKUP(AO12,'PGD11'!C:E,1,0)</f>
        <v>Linha vapor fundo esterilização</v>
      </c>
      <c r="CD12" s="84" t="str">
        <f>VLOOKUP(AO12,'PGD11'!C:E,3,0)</f>
        <v>DN-8</v>
      </c>
      <c r="CE12" s="82" t="str">
        <f>VLOOKUP(AO12,'PGD11'!C:G,5,0)</f>
        <v>ZDL</v>
      </c>
      <c r="CF12" s="84" t="str">
        <f>VLOOKUP(AN12,'PGD12'!A:E,1,0)</f>
        <v xml:space="preserve">Inferior </v>
      </c>
      <c r="CG12" s="84" t="str">
        <f>VLOOKUP(AO12,'PGD12'!C:E,1,0)</f>
        <v>Linha vapor fundo esterilização</v>
      </c>
      <c r="CH12" s="84" t="str">
        <f>VLOOKUP(AO12,'PGD12'!C:E,3,0)</f>
        <v>DN-8</v>
      </c>
      <c r="CI12" s="84" t="str">
        <f>VLOOKUP(AO12,'PGD12'!C:G,5,0)</f>
        <v>GEMÜ</v>
      </c>
      <c r="CJ12" s="82">
        <f t="shared" si="0"/>
        <v>11</v>
      </c>
      <c r="CL12" s="51" t="s">
        <v>79</v>
      </c>
      <c r="CM12" s="6" t="s">
        <v>80</v>
      </c>
      <c r="CN12" s="80" t="s">
        <v>5</v>
      </c>
      <c r="CO12" s="85" t="str">
        <f>VLOOKUP(CL12,'BLD03'!C:E,1,0)</f>
        <v>Entrada de água fria</v>
      </c>
      <c r="CP12" s="84" t="str">
        <f>VLOOKUP(CL12,'BLD03'!C:E,3,0)</f>
        <v>DN-50</v>
      </c>
      <c r="CQ12" s="84" t="str">
        <f>VLOOKUP(CL12,'BLD02'!C:G,5,0)</f>
        <v>GEMÜ</v>
      </c>
      <c r="CR12" s="82">
        <f t="shared" si="2"/>
        <v>2</v>
      </c>
    </row>
    <row r="13" spans="2:96" x14ac:dyDescent="0.25">
      <c r="B13" s="64" t="s">
        <v>72</v>
      </c>
      <c r="C13" s="7" t="s">
        <v>76</v>
      </c>
      <c r="D13" s="69" t="s">
        <v>5</v>
      </c>
      <c r="E13" s="57" t="str">
        <f>VLOOKUP(B13,'FTD02'!C:E,1,0)</f>
        <v xml:space="preserve">Válvula injetora de vapor </v>
      </c>
      <c r="F13" s="53" t="str">
        <f>VLOOKUP(B13,'FTD02'!C:E,3,0)</f>
        <v>DN-80</v>
      </c>
      <c r="G13" s="56" t="str">
        <f>VLOOKUP(B13,'FTD02'!C:G,5,0)</f>
        <v>GEMÜ</v>
      </c>
      <c r="H13" s="57" t="str">
        <f>VLOOKUP(B13,'FTD03'!C:E,1,0)</f>
        <v xml:space="preserve">Válvula injetora de vapor </v>
      </c>
      <c r="I13" s="53" t="str">
        <f>VLOOKUP(B13,'FTD03'!C:E,3,0)</f>
        <v>DN-80</v>
      </c>
      <c r="J13" s="56" t="str">
        <f>VLOOKUP(B13,'FTD03'!C:G,5,0)</f>
        <v>GEMÜ</v>
      </c>
      <c r="K13" s="57" t="str">
        <f>VLOOKUP(B13,'FTD04'!C:E,1,0)</f>
        <v xml:space="preserve">Válvula injetora de vapor </v>
      </c>
      <c r="L13" s="53" t="str">
        <f>VLOOKUP(B13,'FTD04'!C:E,3,0)</f>
        <v>DN-80</v>
      </c>
      <c r="M13" s="56" t="str">
        <f>VLOOKUP(B13,'FTD04'!C:G,5,0)</f>
        <v>GEMÜ</v>
      </c>
      <c r="N13" s="57" t="str">
        <f>VLOOKUP(B13,'FTD05'!C:E,1,0)</f>
        <v xml:space="preserve">Válvula injetora de vapor </v>
      </c>
      <c r="O13" s="53" t="str">
        <f>VLOOKUP(B13,'FTD05'!C:E,3,0)</f>
        <v>DN-80</v>
      </c>
      <c r="P13" s="56" t="str">
        <f>VLOOKUP(B13,'FTD05'!C:G,5,0)</f>
        <v>GEMÜ</v>
      </c>
      <c r="Q13" s="65" t="str">
        <f>VLOOKUP(B13,'FTD06'!C:E,1,0)</f>
        <v xml:space="preserve">Válvula injetora de vapor </v>
      </c>
      <c r="R13" s="53" t="str">
        <f>VLOOKUP(B13,'FTD06'!C:E,3,0)</f>
        <v>DN-80</v>
      </c>
      <c r="S13" s="74" t="str">
        <f>VLOOKUP(B13,'FTD06'!C:G,5,0)</f>
        <v>GEMÜ</v>
      </c>
      <c r="T13" s="57" t="str">
        <f>VLOOKUP(B13,'FTD07'!C:E,1,0)</f>
        <v xml:space="preserve">Válvula injetora de vapor </v>
      </c>
      <c r="U13" s="53" t="str">
        <f>VLOOKUP(B13,'FTD07'!C:E,3,0)</f>
        <v>DN-80</v>
      </c>
      <c r="V13" s="56" t="str">
        <f>VLOOKUP(B13,'FTD07'!C:G,5,0)</f>
        <v>GEMÜ</v>
      </c>
      <c r="W13" s="65" t="str">
        <f>VLOOKUP(B13,'FTD08'!C:E,1,0)</f>
        <v xml:space="preserve">Válvula injetora de vapor </v>
      </c>
      <c r="X13" s="53" t="str">
        <f>VLOOKUP(B13,'FTD08'!C:E,3,0)</f>
        <v>DN-80</v>
      </c>
      <c r="Y13" s="74" t="str">
        <f>VLOOKUP(B13,'FTD08'!C:G,5,0)</f>
        <v>GEMÜ</v>
      </c>
      <c r="Z13" s="57" t="str">
        <f>VLOOKUP(B13,'FTD09'!C:E,1,0)</f>
        <v xml:space="preserve">Válvula injetora de vapor </v>
      </c>
      <c r="AA13" s="53" t="str">
        <f>VLOOKUP(B13,'FTD09'!C:E,3,0)</f>
        <v>DN-80</v>
      </c>
      <c r="AB13" s="56" t="str">
        <f>VLOOKUP(B13,'FTD09'!C:G,5,0)</f>
        <v>GEMÜ</v>
      </c>
      <c r="AC13" s="65" t="str">
        <f>VLOOKUP(B13,'FTD10'!C:E,1,0)</f>
        <v xml:space="preserve">Válvula injetora de vapor </v>
      </c>
      <c r="AD13" s="53" t="str">
        <f>VLOOKUP(B13,'FTD10'!C:E,3,0)</f>
        <v>DN-80</v>
      </c>
      <c r="AE13" s="74" t="str">
        <f>VLOOKUP(B13,'FTD10'!C:G,5,0)</f>
        <v>GEMÜ</v>
      </c>
      <c r="AF13" s="57" t="str">
        <f>VLOOKUP(B13,'FTD11'!C:E,1,0)</f>
        <v xml:space="preserve">Válvula injetora de vapor </v>
      </c>
      <c r="AG13" s="53" t="str">
        <f>VLOOKUP(B13,'FTD11'!C:E,3,0)</f>
        <v>DN-80</v>
      </c>
      <c r="AH13" s="56" t="str">
        <f>VLOOKUP(B13,'FTD11'!C:G,5,0)</f>
        <v>GEMÜ</v>
      </c>
      <c r="AI13" s="65" t="str">
        <f>VLOOKUP(B13,'FTD12'!C:E,1,0)</f>
        <v xml:space="preserve">Válvula injetora de vapor </v>
      </c>
      <c r="AJ13" s="53" t="str">
        <f>VLOOKUP(B13,'FTD12'!C:E,3,0)</f>
        <v>DN-80</v>
      </c>
      <c r="AK13" s="53" t="str">
        <f>VLOOKUP(B13,'FTD12'!C:G,5,0)</f>
        <v>GEMÜ</v>
      </c>
      <c r="AL13" s="56">
        <f t="shared" si="1"/>
        <v>11</v>
      </c>
      <c r="AN13" s="63" t="s">
        <v>49</v>
      </c>
      <c r="AO13" s="16" t="s">
        <v>81</v>
      </c>
      <c r="AP13" s="16" t="s">
        <v>51</v>
      </c>
      <c r="AQ13" s="78" t="s">
        <v>82</v>
      </c>
      <c r="AR13" s="84" t="str">
        <f>VLOOKUP(AN13,'PGD02'!A:E,1,0)</f>
        <v xml:space="preserve">Inferior </v>
      </c>
      <c r="AS13" s="53" t="str">
        <f>VLOOKUP(AO13,'PGD02'!C:E,1,0)</f>
        <v xml:space="preserve">Trasnferência BV </v>
      </c>
      <c r="AT13" s="53" t="str">
        <f>VLOOKUP(AO13,'PGD02'!C:E,3,0)</f>
        <v>DN-40</v>
      </c>
      <c r="AU13" s="56" t="str">
        <f>VLOOKUP(AO13,'PGD02'!C:G,5,0)</f>
        <v>GEMÜ</v>
      </c>
      <c r="AV13" s="84" t="str">
        <f>VLOOKUP(AN13,'PGD03'!A:E,1,0)</f>
        <v xml:space="preserve">Inferior </v>
      </c>
      <c r="AW13" s="53" t="str">
        <f>VLOOKUP(AO13,'PGD03'!C:E,1,0)</f>
        <v xml:space="preserve">Trasnferência BV </v>
      </c>
      <c r="AX13" s="53" t="str">
        <f>VLOOKUP(AO13,'PGD03'!C:E,3,0)</f>
        <v>DN-40</v>
      </c>
      <c r="AY13" s="56" t="str">
        <f>VLOOKUP(AO13,'PGD03'!C:G,5,0)</f>
        <v>GEMÜ</v>
      </c>
      <c r="AZ13" s="84" t="str">
        <f>VLOOKUP(AN13,'PGD04'!A:E,1,0)</f>
        <v xml:space="preserve">Inferior </v>
      </c>
      <c r="BA13" s="53" t="str">
        <f>VLOOKUP(AO13,'PGD03'!C:E,1,0)</f>
        <v xml:space="preserve">Trasnferência BV </v>
      </c>
      <c r="BB13" s="53" t="str">
        <f>VLOOKUP(AO13,'PGD04'!C:E,3,0)</f>
        <v>DN-40</v>
      </c>
      <c r="BC13" s="56" t="str">
        <f>VLOOKUP(AO13,'PGD04'!C:G,5,0)</f>
        <v>GEMÜ</v>
      </c>
      <c r="BD13" s="84" t="str">
        <f>VLOOKUP(AN13,'PGD05'!A:E,1,0)</f>
        <v xml:space="preserve">Inferior </v>
      </c>
      <c r="BE13" s="53" t="str">
        <f>VLOOKUP(AO13,'PGD05'!C:E,1,0)</f>
        <v xml:space="preserve">Trasnferência BV </v>
      </c>
      <c r="BF13" s="53" t="str">
        <f>VLOOKUP(AO13,'PGD05'!C:E,3,0)</f>
        <v>DN-40</v>
      </c>
      <c r="BG13" s="56" t="str">
        <f>VLOOKUP(AO13,'PGD05'!C:G,5,0)</f>
        <v>GEMÜ</v>
      </c>
      <c r="BH13" s="84" t="str">
        <f>VLOOKUP(AN13,'PGD06'!A:E,1,0)</f>
        <v xml:space="preserve">Inferior </v>
      </c>
      <c r="BI13" s="53" t="str">
        <f>VLOOKUP(AO13,'PGD06'!C:E,1,0)</f>
        <v xml:space="preserve">Trasnferência BV </v>
      </c>
      <c r="BJ13" s="53" t="str">
        <f>VLOOKUP(AO13,'PGD06'!C:E,3,0)</f>
        <v>DN-40</v>
      </c>
      <c r="BK13" s="56" t="str">
        <f>VLOOKUP(AO13,'PGD06'!C:G,5,0)</f>
        <v>GEMÜ</v>
      </c>
      <c r="BL13" s="84" t="str">
        <f>VLOOKUP(AN13,'PGD07'!A:E,1,0)</f>
        <v xml:space="preserve">Inferior </v>
      </c>
      <c r="BM13" s="53" t="str">
        <f>VLOOKUP(AO13,'PGD07'!C:E,1,0)</f>
        <v xml:space="preserve">Trasnferência BV </v>
      </c>
      <c r="BN13" s="53" t="str">
        <f>VLOOKUP(AO13,'PGD07'!C:E,3,0)</f>
        <v>DN-40</v>
      </c>
      <c r="BO13" s="56" t="str">
        <f>VLOOKUP(AO13,'PGD07'!C:G,5,0)</f>
        <v>GEMÜ</v>
      </c>
      <c r="BP13" s="84" t="str">
        <f>VLOOKUP(AN13,'PGD08'!A:E,1,0)</f>
        <v xml:space="preserve">Inferior </v>
      </c>
      <c r="BQ13" s="53" t="str">
        <f>VLOOKUP(AO13,'PGD08'!C:E,1,0)</f>
        <v xml:space="preserve">Trasnferência BV </v>
      </c>
      <c r="BR13" s="53" t="str">
        <f>VLOOKUP(AO13,'PGD08'!C:E,3,0)</f>
        <v>DN-40</v>
      </c>
      <c r="BS13" s="56" t="str">
        <f>VLOOKUP(AO13,'PGD08'!C:G,5,0)</f>
        <v>ZDL</v>
      </c>
      <c r="BT13" s="84" t="str">
        <f>VLOOKUP(AN13,'PGD09'!A:E,1,0)</f>
        <v xml:space="preserve">Inferior </v>
      </c>
      <c r="BU13" s="53" t="str">
        <f>VLOOKUP(AO13,'PGD09'!C:E,1,0)</f>
        <v xml:space="preserve">Trasnferência BV </v>
      </c>
      <c r="BV13" s="53" t="str">
        <f>VLOOKUP(AO13,'PGD09'!C:E,3,0)</f>
        <v>DN-40</v>
      </c>
      <c r="BW13" s="56" t="str">
        <f>VLOOKUP(AO13,'PGD09'!C:G,5,0)</f>
        <v>GEMÜ</v>
      </c>
      <c r="BX13" s="84" t="str">
        <f>VLOOKUP(AN13,'PGD10'!A:E,1,0)</f>
        <v xml:space="preserve">Inferior </v>
      </c>
      <c r="BY13" s="53" t="str">
        <f>VLOOKUP(AO13,'PGD10'!C:E,1,0)</f>
        <v xml:space="preserve">Trasnferência BV </v>
      </c>
      <c r="BZ13" s="53" t="str">
        <f>VLOOKUP(AO13,'PGD10'!C:E,3,0)</f>
        <v>DN-40</v>
      </c>
      <c r="CA13" s="56" t="str">
        <f>VLOOKUP(AO13,'PGD10'!C:G,5,0)</f>
        <v>GEMÜ</v>
      </c>
      <c r="CB13" s="84" t="str">
        <f>VLOOKUP(AN13,'PGD11'!A:E,1,0)</f>
        <v xml:space="preserve">Inferior </v>
      </c>
      <c r="CC13" s="53" t="str">
        <f>VLOOKUP(AO13,'PGD11'!C:E,1,0)</f>
        <v xml:space="preserve">Trasnferência BV </v>
      </c>
      <c r="CD13" s="53" t="str">
        <f>VLOOKUP(AO13,'PGD11'!C:E,3,0)</f>
        <v>DN-40</v>
      </c>
      <c r="CE13" s="56" t="str">
        <f>VLOOKUP(AO13,'PGD11'!C:G,5,0)</f>
        <v>GEMÜ</v>
      </c>
      <c r="CF13" s="84" t="str">
        <f>VLOOKUP(AN13,'PGD12'!A:E,1,0)</f>
        <v xml:space="preserve">Inferior </v>
      </c>
      <c r="CG13" s="53" t="str">
        <f>VLOOKUP(AO13,'PGD12'!C:E,1,0)</f>
        <v xml:space="preserve">Trasnferência BV </v>
      </c>
      <c r="CH13" s="53" t="str">
        <f>VLOOKUP(AO13,'PGD12'!C:E,3,0)</f>
        <v>DN-40</v>
      </c>
      <c r="CI13" s="53" t="str">
        <f>VLOOKUP(AO13,'PGD12'!C:G,5,0)</f>
        <v>GEMÜ</v>
      </c>
      <c r="CJ13" s="56">
        <f t="shared" si="0"/>
        <v>11</v>
      </c>
      <c r="CL13" s="52" t="s">
        <v>83</v>
      </c>
      <c r="CM13" s="16" t="s">
        <v>80</v>
      </c>
      <c r="CN13" s="81" t="s">
        <v>5</v>
      </c>
      <c r="CO13" s="65" t="str">
        <f>VLOOKUP(CL13,'BLD03'!C:E,1,0)</f>
        <v xml:space="preserve">Entrada bloco BV água quente </v>
      </c>
      <c r="CP13" s="53" t="str">
        <f>VLOOKUP(CL13,'BLD03'!C:E,3,0)</f>
        <v>DN-50</v>
      </c>
      <c r="CQ13" s="53" t="str">
        <f>VLOOKUP(CL13,'BLD02'!C:G,5,0)</f>
        <v>GEMÜ</v>
      </c>
      <c r="CR13" s="56">
        <f t="shared" si="2"/>
        <v>2</v>
      </c>
    </row>
    <row r="14" spans="2:96" x14ac:dyDescent="0.25">
      <c r="B14" s="62" t="s">
        <v>84</v>
      </c>
      <c r="C14" s="14" t="s">
        <v>51</v>
      </c>
      <c r="D14" s="68" t="s">
        <v>5</v>
      </c>
      <c r="E14" s="83" t="str">
        <f>VLOOKUP(B14,'FTD02'!C:E,1,0)</f>
        <v>Trasnferência BV fundo</v>
      </c>
      <c r="F14" s="84" t="str">
        <f>VLOOKUP(B14,'FTD02'!C:E,3,0)</f>
        <v>DN-40</v>
      </c>
      <c r="G14" s="82" t="str">
        <f>VLOOKUP(B14,'FTD02'!C:G,5,0)</f>
        <v>GEMÜ</v>
      </c>
      <c r="H14" s="83" t="str">
        <f>VLOOKUP(B14,'FTD03'!C:E,1,0)</f>
        <v>Trasnferência BV fundo</v>
      </c>
      <c r="I14" s="84" t="str">
        <f>VLOOKUP(B14,'FTD03'!C:E,3,0)</f>
        <v>DN-40</v>
      </c>
      <c r="J14" s="82" t="str">
        <f>VLOOKUP(B14,'FTD03'!C:G,5,0)</f>
        <v>GEMÜ</v>
      </c>
      <c r="K14" s="83" t="str">
        <f>VLOOKUP(B14,'FTD04'!C:E,1,0)</f>
        <v>Trasnferência BV fundo</v>
      </c>
      <c r="L14" s="84" t="str">
        <f>VLOOKUP(B14,'FTD04'!C:E,3,0)</f>
        <v>DN-40</v>
      </c>
      <c r="M14" s="82" t="str">
        <f>VLOOKUP(B14,'FTD04'!C:G,5,0)</f>
        <v>GEMÜ</v>
      </c>
      <c r="N14" s="83" t="str">
        <f>VLOOKUP(B14,'FTD05'!C:E,1,0)</f>
        <v>Trasnferência BV fundo</v>
      </c>
      <c r="O14" s="84" t="str">
        <f>VLOOKUP(B14,'FTD05'!C:E,3,0)</f>
        <v>DN-40</v>
      </c>
      <c r="P14" s="82" t="str">
        <f>VLOOKUP(B14,'FTD05'!C:G,5,0)</f>
        <v>GEMÜ</v>
      </c>
      <c r="Q14" s="85" t="str">
        <f>VLOOKUP(B14,'FTD06'!C:E,1,0)</f>
        <v>Trasnferência BV fundo</v>
      </c>
      <c r="R14" s="84" t="str">
        <f>VLOOKUP(B14,'FTD06'!C:E,3,0)</f>
        <v>DN-40</v>
      </c>
      <c r="S14" s="86" t="str">
        <f>VLOOKUP(B14,'FTD06'!C:G,5,0)</f>
        <v>GEMÜ</v>
      </c>
      <c r="T14" s="83" t="str">
        <f>VLOOKUP(B14,'FTD07'!C:E,1,0)</f>
        <v>Trasnferência BV fundo</v>
      </c>
      <c r="U14" s="84" t="str">
        <f>VLOOKUP(B14,'FTD07'!C:E,3,0)</f>
        <v>DN-40</v>
      </c>
      <c r="V14" s="82" t="str">
        <f>VLOOKUP(B14,'FTD07'!C:G,5,0)</f>
        <v>GEMÜ</v>
      </c>
      <c r="W14" s="85" t="str">
        <f>VLOOKUP(B14,'FTD08'!C:E,1,0)</f>
        <v>Trasnferência BV fundo</v>
      </c>
      <c r="X14" s="84" t="str">
        <f>VLOOKUP(B14,'FTD08'!C:E,3,0)</f>
        <v>DN-40</v>
      </c>
      <c r="Y14" s="86" t="str">
        <f>VLOOKUP(B14,'FTD08'!C:G,5,0)</f>
        <v>GEMÜ</v>
      </c>
      <c r="Z14" s="83" t="str">
        <f>VLOOKUP(B14,'FTD09'!C:E,1,0)</f>
        <v>Trasnferência BV fundo</v>
      </c>
      <c r="AA14" s="84" t="str">
        <f>VLOOKUP(B14,'FTD09'!C:E,3,0)</f>
        <v>DN-40</v>
      </c>
      <c r="AB14" s="82" t="str">
        <f>VLOOKUP(B14,'FTD09'!C:G,5,0)</f>
        <v>GEMÜ</v>
      </c>
      <c r="AC14" s="85" t="str">
        <f>VLOOKUP(B14,'FTD10'!C:E,1,0)</f>
        <v>Trasnferência BV fundo</v>
      </c>
      <c r="AD14" s="84" t="str">
        <f>VLOOKUP(B14,'FTD10'!C:E,3,0)</f>
        <v>DN-40</v>
      </c>
      <c r="AE14" s="86" t="str">
        <f>VLOOKUP(B14,'FTD10'!C:G,5,0)</f>
        <v>GEMÜ</v>
      </c>
      <c r="AF14" s="83" t="str">
        <f>VLOOKUP(B14,'FTD11'!C:E,1,0)</f>
        <v>Trasnferência BV fundo</v>
      </c>
      <c r="AG14" s="84" t="str">
        <f>VLOOKUP(B14,'FTD11'!C:E,3,0)</f>
        <v>DN-40</v>
      </c>
      <c r="AH14" s="82" t="str">
        <f>VLOOKUP(B14,'FTD11'!C:G,5,0)</f>
        <v>GEMÜ</v>
      </c>
      <c r="AI14" s="85" t="str">
        <f>VLOOKUP(B14,'FTD12'!C:E,1,0)</f>
        <v>Trasnferência BV fundo</v>
      </c>
      <c r="AJ14" s="84" t="str">
        <f>VLOOKUP(B14,'FTD12'!C:E,3,0)</f>
        <v>DN-40</v>
      </c>
      <c r="AK14" s="84" t="str">
        <f>VLOOKUP(B14,'FTD12'!C:G,5,0)</f>
        <v>GEMÜ</v>
      </c>
      <c r="AL14" s="82">
        <f t="shared" si="1"/>
        <v>11</v>
      </c>
      <c r="AN14" s="62" t="s">
        <v>68</v>
      </c>
      <c r="AO14" s="14" t="s">
        <v>85</v>
      </c>
      <c r="AP14" s="14" t="s">
        <v>86</v>
      </c>
      <c r="AQ14" s="68" t="s">
        <v>87</v>
      </c>
      <c r="AR14" s="84" t="str">
        <f>VLOOKUP(AN14,'PGD02'!A:E,1,0)</f>
        <v>Superior</v>
      </c>
      <c r="AS14" s="84" t="str">
        <f>VLOOKUP(AO14,'PGD02'!C:E,1,0)</f>
        <v>Dreno BV  alimentação carbono</v>
      </c>
      <c r="AT14" s="84" t="str">
        <f>VLOOKUP(AO14,'PGD02'!C:E,3,0)</f>
        <v>DN-25</v>
      </c>
      <c r="AU14" s="82" t="str">
        <f>VLOOKUP(AO14,'PGD02'!C:G,5,0)</f>
        <v>GEMÜ</v>
      </c>
      <c r="AV14" s="84" t="str">
        <f>VLOOKUP(AN14,'PGD03'!A:E,1,0)</f>
        <v>Superior</v>
      </c>
      <c r="AW14" s="84" t="str">
        <f>VLOOKUP(AO14,'PGD03'!C:E,1,0)</f>
        <v>Dreno BV  alimentação carbono</v>
      </c>
      <c r="AX14" s="84" t="str">
        <f>VLOOKUP(AO14,'PGD03'!C:E,3,0)</f>
        <v>DN-25</v>
      </c>
      <c r="AY14" s="82" t="str">
        <f>VLOOKUP(AO14,'PGD03'!C:G,5,0)</f>
        <v>GEMÜ</v>
      </c>
      <c r="AZ14" s="84" t="str">
        <f>VLOOKUP(AN14,'PGD04'!A:E,1,0)</f>
        <v>Superior</v>
      </c>
      <c r="BA14" s="84" t="str">
        <f>VLOOKUP(AO14,'PGD03'!C:E,1,0)</f>
        <v>Dreno BV  alimentação carbono</v>
      </c>
      <c r="BB14" s="84" t="str">
        <f>VLOOKUP(AO14,'PGD04'!C:E,3,0)</f>
        <v>DN-25</v>
      </c>
      <c r="BC14" s="82" t="str">
        <f>VLOOKUP(AO14,'PGD04'!C:G,5,0)</f>
        <v>GEMÜ</v>
      </c>
      <c r="BD14" s="84" t="str">
        <f>VLOOKUP(AN14,'PGD05'!A:E,1,0)</f>
        <v>Superior</v>
      </c>
      <c r="BE14" s="84" t="str">
        <f>VLOOKUP(AO14,'PGD05'!C:E,1,0)</f>
        <v>Dreno BV  alimentação carbono</v>
      </c>
      <c r="BF14" s="84" t="str">
        <f>VLOOKUP(AO14,'PGD05'!C:E,3,0)</f>
        <v>DN-25</v>
      </c>
      <c r="BG14" s="82" t="str">
        <f>VLOOKUP(AO14,'PGD05'!C:G,5,0)</f>
        <v>GEMÜ</v>
      </c>
      <c r="BH14" s="84" t="str">
        <f>VLOOKUP(AN14,'PGD06'!A:E,1,0)</f>
        <v>Superior</v>
      </c>
      <c r="BI14" s="84" t="str">
        <f>VLOOKUP(AO14,'PGD06'!C:E,1,0)</f>
        <v>Dreno BV  alimentação carbono</v>
      </c>
      <c r="BJ14" s="84" t="str">
        <f>VLOOKUP(AO14,'PGD06'!C:E,3,0)</f>
        <v>DN-25</v>
      </c>
      <c r="BK14" s="82" t="str">
        <f>VLOOKUP(AO14,'PGD06'!C:G,5,0)</f>
        <v>GEMÜ</v>
      </c>
      <c r="BL14" s="84" t="str">
        <f>VLOOKUP(AN14,'PGD07'!A:E,1,0)</f>
        <v>Superior</v>
      </c>
      <c r="BM14" s="84" t="str">
        <f>VLOOKUP(AO14,'PGD07'!C:E,1,0)</f>
        <v>Dreno BV  alimentação carbono</v>
      </c>
      <c r="BN14" s="84" t="str">
        <f>VLOOKUP(AO14,'PGD07'!C:E,3,0)</f>
        <v>DN-25</v>
      </c>
      <c r="BO14" s="82" t="str">
        <f>VLOOKUP(AO14,'PGD07'!C:G,5,0)</f>
        <v>GEMÜ</v>
      </c>
      <c r="BP14" s="84" t="str">
        <f>VLOOKUP(AN14,'PGD08'!A:E,1,0)</f>
        <v>Superior</v>
      </c>
      <c r="BQ14" s="84" t="str">
        <f>VLOOKUP(AO14,'PGD08'!C:E,1,0)</f>
        <v>Dreno BV  alimentação carbono</v>
      </c>
      <c r="BR14" s="84" t="str">
        <f>VLOOKUP(AO14,'PGD08'!C:E,3,0)</f>
        <v>DN-25</v>
      </c>
      <c r="BS14" s="82" t="str">
        <f>VLOOKUP(AO14,'PGD08'!C:G,5,0)</f>
        <v>GEMÜ</v>
      </c>
      <c r="BT14" s="84" t="str">
        <f>VLOOKUP(AN14,'PGD09'!A:E,1,0)</f>
        <v>Superior</v>
      </c>
      <c r="BU14" s="84" t="str">
        <f>VLOOKUP(AO14,'PGD09'!C:E,1,0)</f>
        <v>Dreno BV  alimentação carbono</v>
      </c>
      <c r="BV14" s="84" t="str">
        <f>VLOOKUP(AO14,'PGD09'!C:E,3,0)</f>
        <v>DN-25</v>
      </c>
      <c r="BW14" s="82" t="str">
        <f>VLOOKUP(AO14,'PGD09'!C:G,5,0)</f>
        <v>GEMÜ</v>
      </c>
      <c r="BX14" s="84" t="str">
        <f>VLOOKUP(AN14,'PGD10'!A:E,1,0)</f>
        <v>Superior</v>
      </c>
      <c r="BY14" s="84" t="str">
        <f>VLOOKUP(AO14,'PGD10'!C:E,1,0)</f>
        <v>Dreno BV  alimentação carbono</v>
      </c>
      <c r="BZ14" s="84" t="str">
        <f>VLOOKUP(AO14,'PGD10'!C:E,3,0)</f>
        <v>DN-25</v>
      </c>
      <c r="CA14" s="82" t="str">
        <f>VLOOKUP(AO14,'PGD10'!C:G,5,0)</f>
        <v>GEMÜ</v>
      </c>
      <c r="CB14" s="84" t="str">
        <f>VLOOKUP(AN14,'PGD11'!A:E,1,0)</f>
        <v>Superior</v>
      </c>
      <c r="CC14" s="84" t="str">
        <f>VLOOKUP(AO14,'PGD11'!C:E,1,0)</f>
        <v>Dreno BV  alimentação carbono</v>
      </c>
      <c r="CD14" s="84" t="str">
        <f>VLOOKUP(AO14,'PGD11'!C:E,3,0)</f>
        <v>DN-25</v>
      </c>
      <c r="CE14" s="82" t="str">
        <f>VLOOKUP(AO14,'PGD11'!C:G,5,0)</f>
        <v>GEMÜ</v>
      </c>
      <c r="CF14" s="84" t="str">
        <f>VLOOKUP(AN14,'PGD12'!A:E,1,0)</f>
        <v>Superior</v>
      </c>
      <c r="CG14" s="84" t="str">
        <f>VLOOKUP(AO14,'PGD12'!C:E,1,0)</f>
        <v>Dreno BV  alimentação carbono</v>
      </c>
      <c r="CH14" s="84" t="str">
        <f>VLOOKUP(AO14,'PGD12'!C:E,3,0)</f>
        <v>DN-25</v>
      </c>
      <c r="CI14" s="84" t="str">
        <f>VLOOKUP(AO14,'PGD12'!C:G,5,0)</f>
        <v>GEMÜ</v>
      </c>
      <c r="CJ14" s="82">
        <f t="shared" si="0"/>
        <v>11</v>
      </c>
      <c r="CL14" s="51" t="s">
        <v>88</v>
      </c>
      <c r="CM14" s="6" t="s">
        <v>80</v>
      </c>
      <c r="CN14" s="80" t="s">
        <v>5</v>
      </c>
      <c r="CO14" s="85" t="str">
        <f>VLOOKUP(CL14,'BLD03'!C:E,1,0)</f>
        <v xml:space="preserve">Entrada blender água quente </v>
      </c>
      <c r="CP14" s="84" t="str">
        <f>VLOOKUP(CL14,'BLD03'!C:E,3,0)</f>
        <v>DN-50</v>
      </c>
      <c r="CQ14" s="84" t="str">
        <f>VLOOKUP(CL14,'BLD02'!C:G,5,0)</f>
        <v>GEMÜ</v>
      </c>
      <c r="CR14" s="82">
        <f t="shared" si="2"/>
        <v>2</v>
      </c>
    </row>
    <row r="15" spans="2:96" x14ac:dyDescent="0.25">
      <c r="B15" s="64" t="s">
        <v>89</v>
      </c>
      <c r="C15" s="7" t="s">
        <v>51</v>
      </c>
      <c r="D15" s="69" t="s">
        <v>5</v>
      </c>
      <c r="E15" s="57" t="str">
        <f>VLOOKUP(B15,'FTD02'!C:E,1,0)</f>
        <v xml:space="preserve">Bloqueio pós gasout válvula proporcional </v>
      </c>
      <c r="F15" s="53" t="str">
        <f>VLOOKUP(B15,'FTD02'!C:E,3,0)</f>
        <v>DN-40</v>
      </c>
      <c r="G15" s="56" t="str">
        <f>VLOOKUP(B15,'FTD02'!C:G,5,0)</f>
        <v>GEMÜ</v>
      </c>
      <c r="H15" s="57" t="str">
        <f>VLOOKUP(B15,'FTD03'!C:E,1,0)</f>
        <v xml:space="preserve">Bloqueio pós gasout válvula proporcional </v>
      </c>
      <c r="I15" s="53" t="str">
        <f>VLOOKUP(B15,'FTD03'!C:E,3,0)</f>
        <v>DN-40</v>
      </c>
      <c r="J15" s="56" t="str">
        <f>VLOOKUP(B15,'FTD03'!C:G,5,0)</f>
        <v>GEMÜ</v>
      </c>
      <c r="K15" s="57" t="str">
        <f>VLOOKUP(B15,'FTD04'!C:E,1,0)</f>
        <v xml:space="preserve">Bloqueio pós gasout válvula proporcional </v>
      </c>
      <c r="L15" s="53" t="str">
        <f>VLOOKUP(B15,'FTD04'!C:E,3,0)</f>
        <v>DN-40</v>
      </c>
      <c r="M15" s="56" t="str">
        <f>VLOOKUP(B15,'FTD04'!C:G,5,0)</f>
        <v>GEMÜ</v>
      </c>
      <c r="N15" s="57" t="str">
        <f>VLOOKUP(B15,'FTD05'!C:E,1,0)</f>
        <v xml:space="preserve">Bloqueio pós gasout válvula proporcional </v>
      </c>
      <c r="O15" s="53" t="str">
        <f>VLOOKUP(B15,'FTD05'!C:E,3,0)</f>
        <v>DN-40</v>
      </c>
      <c r="P15" s="56" t="str">
        <f>VLOOKUP(B15,'FTD05'!C:G,5,0)</f>
        <v>GEMÜ</v>
      </c>
      <c r="Q15" s="65" t="str">
        <f>VLOOKUP(B15,'FTD06'!C:E,1,0)</f>
        <v xml:space="preserve">Bloqueio pós gasout válvula proporcional </v>
      </c>
      <c r="R15" s="53" t="str">
        <f>VLOOKUP(B15,'FTD06'!C:E,3,0)</f>
        <v>DN-40</v>
      </c>
      <c r="S15" s="74" t="str">
        <f>VLOOKUP(B15,'FTD06'!C:G,5,0)</f>
        <v>GEMÜ</v>
      </c>
      <c r="T15" s="57" t="str">
        <f>VLOOKUP(B15,'FTD07'!C:E,1,0)</f>
        <v xml:space="preserve">Bloqueio pós gasout válvula proporcional </v>
      </c>
      <c r="U15" s="53" t="str">
        <f>VLOOKUP(B15,'FTD07'!C:E,3,0)</f>
        <v>DN-40</v>
      </c>
      <c r="V15" s="56" t="str">
        <f>VLOOKUP(B15,'FTD07'!C:G,5,0)</f>
        <v>GEMÜ</v>
      </c>
      <c r="W15" s="65" t="str">
        <f>VLOOKUP(B15,'FTD08'!C:E,1,0)</f>
        <v xml:space="preserve">Bloqueio pós gasout válvula proporcional </v>
      </c>
      <c r="X15" s="53" t="str">
        <f>VLOOKUP(B15,'FTD08'!C:E,3,0)</f>
        <v>DN-40</v>
      </c>
      <c r="Y15" s="74" t="str">
        <f>VLOOKUP(B15,'FTD08'!C:G,5,0)</f>
        <v>GEMÜ</v>
      </c>
      <c r="Z15" s="57" t="str">
        <f>VLOOKUP(B15,'FTD09'!C:E,1,0)</f>
        <v xml:space="preserve">Bloqueio pós gasout válvula proporcional </v>
      </c>
      <c r="AA15" s="53" t="str">
        <f>VLOOKUP(B15,'FTD09'!C:E,3,0)</f>
        <v>DN-40</v>
      </c>
      <c r="AB15" s="56" t="str">
        <f>VLOOKUP(B15,'FTD09'!C:G,5,0)</f>
        <v>GEMÜ</v>
      </c>
      <c r="AC15" s="65" t="str">
        <f>VLOOKUP(B15,'FTD10'!C:E,1,0)</f>
        <v xml:space="preserve">Bloqueio pós gasout válvula proporcional </v>
      </c>
      <c r="AD15" s="53" t="str">
        <f>VLOOKUP(B15,'FTD10'!C:E,3,0)</f>
        <v>DN-40</v>
      </c>
      <c r="AE15" s="74" t="str">
        <f>VLOOKUP(B15,'FTD10'!C:G,5,0)</f>
        <v>ZDL</v>
      </c>
      <c r="AF15" s="57" t="str">
        <f>VLOOKUP(B15,'FTD11'!C:E,1,0)</f>
        <v xml:space="preserve">Bloqueio pós gasout válvula proporcional </v>
      </c>
      <c r="AG15" s="53" t="str">
        <f>VLOOKUP(B15,'FTD11'!C:E,3,0)</f>
        <v>DN-40</v>
      </c>
      <c r="AH15" s="56" t="str">
        <f>VLOOKUP(B15,'FTD11'!C:G,5,0)</f>
        <v>GEMÜ</v>
      </c>
      <c r="AI15" s="65" t="str">
        <f>VLOOKUP(B15,'FTD12'!C:E,1,0)</f>
        <v xml:space="preserve">Bloqueio pós gasout válvula proporcional </v>
      </c>
      <c r="AJ15" s="53" t="str">
        <f>VLOOKUP(B15,'FTD12'!C:E,3,0)</f>
        <v>DN-40</v>
      </c>
      <c r="AK15" s="53" t="str">
        <f>VLOOKUP(B15,'FTD12'!C:G,5,0)</f>
        <v>GEMÜ</v>
      </c>
      <c r="AL15" s="56">
        <f t="shared" si="1"/>
        <v>11</v>
      </c>
      <c r="AN15" s="63" t="s">
        <v>68</v>
      </c>
      <c r="AO15" s="16" t="s">
        <v>90</v>
      </c>
      <c r="AP15" s="16" t="s">
        <v>86</v>
      </c>
      <c r="AQ15" s="78" t="s">
        <v>91</v>
      </c>
      <c r="AR15" s="84" t="str">
        <f>VLOOKUP(AN15,'PGD02'!A:E,1,0)</f>
        <v>Superior</v>
      </c>
      <c r="AS15" s="53" t="str">
        <f>VLOOKUP(AO15,'PGD02'!C:E,1,0)</f>
        <v>Dreno BV  alimentação nitrogênio</v>
      </c>
      <c r="AT15" s="53" t="str">
        <f>VLOOKUP(AO15,'PGD02'!C:E,3,0)</f>
        <v>DN-25</v>
      </c>
      <c r="AU15" s="56" t="str">
        <f>VLOOKUP(AO15,'PGD02'!C:G,5,0)</f>
        <v>GEMÜ</v>
      </c>
      <c r="AV15" s="84" t="str">
        <f>VLOOKUP(AN15,'PGD03'!A:E,1,0)</f>
        <v>Superior</v>
      </c>
      <c r="AW15" s="53" t="str">
        <f>VLOOKUP(AO15,'PGD03'!C:E,1,0)</f>
        <v>Dreno BV  alimentação nitrogênio</v>
      </c>
      <c r="AX15" s="53" t="str">
        <f>VLOOKUP(AO15,'PGD03'!C:E,3,0)</f>
        <v>DN-25</v>
      </c>
      <c r="AY15" s="56" t="str">
        <f>VLOOKUP(AO15,'PGD03'!C:G,5,0)</f>
        <v>GEMÜ</v>
      </c>
      <c r="AZ15" s="84" t="str">
        <f>VLOOKUP(AN15,'PGD04'!A:E,1,0)</f>
        <v>Superior</v>
      </c>
      <c r="BA15" s="53" t="str">
        <f>VLOOKUP(AO15,'PGD03'!C:E,1,0)</f>
        <v>Dreno BV  alimentação nitrogênio</v>
      </c>
      <c r="BB15" s="53" t="str">
        <f>VLOOKUP(AO15,'PGD04'!C:E,3,0)</f>
        <v>DN-25</v>
      </c>
      <c r="BC15" s="56" t="str">
        <f>VLOOKUP(AO15,'PGD04'!C:G,5,0)</f>
        <v>GEMÜ</v>
      </c>
      <c r="BD15" s="84" t="str">
        <f>VLOOKUP(AN15,'PGD05'!A:E,1,0)</f>
        <v>Superior</v>
      </c>
      <c r="BE15" s="53" t="str">
        <f>VLOOKUP(AO15,'PGD05'!C:E,1,0)</f>
        <v>Dreno BV  alimentação nitrogênio</v>
      </c>
      <c r="BF15" s="53" t="str">
        <f>VLOOKUP(AO15,'PGD05'!C:E,3,0)</f>
        <v>DN-25</v>
      </c>
      <c r="BG15" s="56" t="str">
        <f>VLOOKUP(AO15,'PGD05'!C:G,5,0)</f>
        <v>GEMÜ</v>
      </c>
      <c r="BH15" s="84" t="str">
        <f>VLOOKUP(AN15,'PGD06'!A:E,1,0)</f>
        <v>Superior</v>
      </c>
      <c r="BI15" s="53" t="str">
        <f>VLOOKUP(AO15,'PGD06'!C:E,1,0)</f>
        <v>Dreno BV  alimentação nitrogênio</v>
      </c>
      <c r="BJ15" s="53" t="str">
        <f>VLOOKUP(AO15,'PGD06'!C:E,3,0)</f>
        <v>DN-25</v>
      </c>
      <c r="BK15" s="56" t="str">
        <f>VLOOKUP(AO15,'PGD06'!C:G,5,0)</f>
        <v>GEMÜ</v>
      </c>
      <c r="BL15" s="84" t="str">
        <f>VLOOKUP(AN15,'PGD07'!A:E,1,0)</f>
        <v>Superior</v>
      </c>
      <c r="BM15" s="53" t="str">
        <f>VLOOKUP(AO15,'PGD07'!C:E,1,0)</f>
        <v>Dreno BV  alimentação nitrogênio</v>
      </c>
      <c r="BN15" s="53" t="str">
        <f>VLOOKUP(AO15,'PGD07'!C:E,3,0)</f>
        <v>DN-25</v>
      </c>
      <c r="BO15" s="56" t="str">
        <f>VLOOKUP(AO15,'PGD07'!C:G,5,0)</f>
        <v>GEMÜ</v>
      </c>
      <c r="BP15" s="84" t="str">
        <f>VLOOKUP(AN15,'PGD08'!A:E,1,0)</f>
        <v>Superior</v>
      </c>
      <c r="BQ15" s="53" t="str">
        <f>VLOOKUP(AO15,'PGD08'!C:E,1,0)</f>
        <v>Dreno BV  alimentação nitrogênio</v>
      </c>
      <c r="BR15" s="53" t="str">
        <f>VLOOKUP(AO15,'PGD08'!C:E,3,0)</f>
        <v>DN-25</v>
      </c>
      <c r="BS15" s="56" t="str">
        <f>VLOOKUP(AO15,'PGD08'!C:G,5,0)</f>
        <v>GEMÜ</v>
      </c>
      <c r="BT15" s="84" t="str">
        <f>VLOOKUP(AN15,'PGD09'!A:E,1,0)</f>
        <v>Superior</v>
      </c>
      <c r="BU15" s="53" t="str">
        <f>VLOOKUP(AO15,'PGD09'!C:E,1,0)</f>
        <v>Dreno BV  alimentação nitrogênio</v>
      </c>
      <c r="BV15" s="53" t="str">
        <f>VLOOKUP(AO15,'PGD09'!C:E,3,0)</f>
        <v>DN-25</v>
      </c>
      <c r="BW15" s="56" t="str">
        <f>VLOOKUP(AO15,'PGD09'!C:G,5,0)</f>
        <v>GEMÜ</v>
      </c>
      <c r="BX15" s="84" t="str">
        <f>VLOOKUP(AN15,'PGD10'!A:E,1,0)</f>
        <v>Superior</v>
      </c>
      <c r="BY15" s="53" t="str">
        <f>VLOOKUP(AO15,'PGD10'!C:E,1,0)</f>
        <v>Dreno BV  alimentação nitrogênio</v>
      </c>
      <c r="BZ15" s="53" t="str">
        <f>VLOOKUP(AO15,'PGD10'!C:E,3,0)</f>
        <v>DN-25</v>
      </c>
      <c r="CA15" s="56" t="str">
        <f>VLOOKUP(AO15,'PGD10'!C:G,5,0)</f>
        <v>GEMÜ</v>
      </c>
      <c r="CB15" s="84" t="str">
        <f>VLOOKUP(AN15,'PGD11'!A:E,1,0)</f>
        <v>Superior</v>
      </c>
      <c r="CC15" s="53" t="str">
        <f>VLOOKUP(AO15,'PGD11'!C:E,1,0)</f>
        <v>Dreno BV  alimentação nitrogênio</v>
      </c>
      <c r="CD15" s="53" t="str">
        <f>VLOOKUP(AO15,'PGD11'!C:E,3,0)</f>
        <v>DN-25</v>
      </c>
      <c r="CE15" s="56" t="str">
        <f>VLOOKUP(AO15,'PGD11'!C:G,5,0)</f>
        <v>GEMÜ</v>
      </c>
      <c r="CF15" s="84" t="str">
        <f>VLOOKUP(AN15,'PGD12'!A:E,1,0)</f>
        <v>Superior</v>
      </c>
      <c r="CG15" s="53" t="str">
        <f>VLOOKUP(AO15,'PGD12'!C:E,1,0)</f>
        <v>Dreno BV  alimentação nitrogênio</v>
      </c>
      <c r="CH15" s="53" t="str">
        <f>VLOOKUP(AO15,'PGD12'!C:E,3,0)</f>
        <v>DN-25</v>
      </c>
      <c r="CI15" s="53" t="str">
        <f>VLOOKUP(AO15,'PGD12'!C:G,5,0)</f>
        <v>GEMÜ</v>
      </c>
      <c r="CJ15" s="56">
        <f t="shared" si="0"/>
        <v>11</v>
      </c>
      <c r="CL15" s="52" t="s">
        <v>92</v>
      </c>
      <c r="CM15" s="16" t="s">
        <v>80</v>
      </c>
      <c r="CN15" s="81" t="s">
        <v>5</v>
      </c>
      <c r="CO15" s="65" t="str">
        <f>VLOOKUP(CL15,'BLD03'!C:E,1,0)</f>
        <v xml:space="preserve">Dreno BV alimentção água quente </v>
      </c>
      <c r="CP15" s="53" t="str">
        <f>VLOOKUP(CL15,'BLD03'!C:E,3,0)</f>
        <v>DN-50</v>
      </c>
      <c r="CQ15" s="53" t="str">
        <f>VLOOKUP(CL15,'BLD02'!C:G,5,0)</f>
        <v>GEMÜ</v>
      </c>
      <c r="CR15" s="56">
        <f t="shared" si="2"/>
        <v>2</v>
      </c>
    </row>
    <row r="16" spans="2:96" x14ac:dyDescent="0.25">
      <c r="B16" s="62" t="s">
        <v>85</v>
      </c>
      <c r="C16" s="14" t="s">
        <v>51</v>
      </c>
      <c r="D16" s="68" t="s">
        <v>5</v>
      </c>
      <c r="E16" s="83" t="str">
        <f>VLOOKUP(B16,'FTD02'!C:E,1,0)</f>
        <v>Dreno BV  alimentação carbono</v>
      </c>
      <c r="F16" s="84" t="str">
        <f>VLOOKUP(B16,'FTD02'!C:E,3,0)</f>
        <v>DN-40</v>
      </c>
      <c r="G16" s="82" t="str">
        <f>VLOOKUP(B16,'FTD02'!C:G,5,0)</f>
        <v>GEMÜ</v>
      </c>
      <c r="H16" s="83" t="str">
        <f>VLOOKUP(B16,'FTD03'!C:E,1,0)</f>
        <v>Dreno BV  alimentação carbono</v>
      </c>
      <c r="I16" s="84" t="str">
        <f>VLOOKUP(B16,'FTD03'!C:E,3,0)</f>
        <v>DN-40</v>
      </c>
      <c r="J16" s="82" t="str">
        <f>VLOOKUP(B16,'FTD03'!C:G,5,0)</f>
        <v>GEMÜ</v>
      </c>
      <c r="K16" s="83" t="str">
        <f>VLOOKUP(B16,'FTD04'!C:E,1,0)</f>
        <v>Dreno BV  alimentação carbono</v>
      </c>
      <c r="L16" s="84" t="str">
        <f>VLOOKUP(B16,'FTD04'!C:E,3,0)</f>
        <v>DN-40</v>
      </c>
      <c r="M16" s="82" t="str">
        <f>VLOOKUP(B16,'FTD04'!C:G,5,0)</f>
        <v>GEMÜ</v>
      </c>
      <c r="N16" s="83" t="str">
        <f>VLOOKUP(B16,'FTD05'!C:E,1,0)</f>
        <v>Dreno BV  alimentação carbono</v>
      </c>
      <c r="O16" s="84" t="str">
        <f>VLOOKUP(B16,'FTD05'!C:E,3,0)</f>
        <v>DN-40</v>
      </c>
      <c r="P16" s="82" t="str">
        <f>VLOOKUP(B16,'FTD05'!C:G,5,0)</f>
        <v>GEMÜ</v>
      </c>
      <c r="Q16" s="85" t="str">
        <f>VLOOKUP(B16,'FTD06'!C:E,1,0)</f>
        <v>Dreno BV  alimentação carbono</v>
      </c>
      <c r="R16" s="84" t="str">
        <f>VLOOKUP(B16,'FTD06'!C:E,3,0)</f>
        <v>DN-40</v>
      </c>
      <c r="S16" s="86" t="str">
        <f>VLOOKUP(B16,'FTD06'!C:G,5,0)</f>
        <v>GEMÜ</v>
      </c>
      <c r="T16" s="83" t="str">
        <f>VLOOKUP(B16,'FTD07'!C:E,1,0)</f>
        <v>Dreno BV  alimentação carbono</v>
      </c>
      <c r="U16" s="84" t="str">
        <f>VLOOKUP(B16,'FTD07'!C:E,3,0)</f>
        <v>DN-40</v>
      </c>
      <c r="V16" s="82" t="str">
        <f>VLOOKUP(B16,'FTD07'!C:G,5,0)</f>
        <v>GEMÜ</v>
      </c>
      <c r="W16" s="85" t="str">
        <f>VLOOKUP(B16,'FTD08'!C:E,1,0)</f>
        <v>Dreno BV  alimentação carbono</v>
      </c>
      <c r="X16" s="84" t="str">
        <f>VLOOKUP(B16,'FTD08'!C:E,3,0)</f>
        <v>DN-40</v>
      </c>
      <c r="Y16" s="86" t="str">
        <f>VLOOKUP(B16,'FTD08'!C:G,5,0)</f>
        <v>GEMÜ</v>
      </c>
      <c r="Z16" s="83" t="str">
        <f>VLOOKUP(B16,'FTD09'!C:E,1,0)</f>
        <v>Dreno BV  alimentação carbono</v>
      </c>
      <c r="AA16" s="84" t="str">
        <f>VLOOKUP(B16,'FTD09'!C:E,3,0)</f>
        <v>DN-40</v>
      </c>
      <c r="AB16" s="82" t="str">
        <f>VLOOKUP(B16,'FTD09'!C:G,5,0)</f>
        <v>GEMÜ</v>
      </c>
      <c r="AC16" s="85" t="str">
        <f>VLOOKUP(B16,'FTD10'!C:E,1,0)</f>
        <v>Dreno BV  alimentação carbono</v>
      </c>
      <c r="AD16" s="84" t="str">
        <f>VLOOKUP(B16,'FTD10'!C:E,3,0)</f>
        <v>DN-40</v>
      </c>
      <c r="AE16" s="86" t="str">
        <f>VLOOKUP(B16,'FTD10'!C:G,5,0)</f>
        <v>GEMÜ</v>
      </c>
      <c r="AF16" s="83" t="str">
        <f>VLOOKUP(B16,'FTD11'!C:E,1,0)</f>
        <v>Dreno BV  alimentação carbono</v>
      </c>
      <c r="AG16" s="84" t="str">
        <f>VLOOKUP(B16,'FTD11'!C:E,3,0)</f>
        <v>DN-40</v>
      </c>
      <c r="AH16" s="82" t="str">
        <f>VLOOKUP(B16,'FTD11'!C:G,5,0)</f>
        <v>GEMÜ</v>
      </c>
      <c r="AI16" s="85" t="str">
        <f>VLOOKUP(B16,'FTD12'!C:E,1,0)</f>
        <v>Dreno BV  alimentação carbono</v>
      </c>
      <c r="AJ16" s="84" t="str">
        <f>VLOOKUP(B16,'FTD12'!C:E,3,0)</f>
        <v>DN-40</v>
      </c>
      <c r="AK16" s="84" t="str">
        <f>VLOOKUP(B16,'FTD12'!C:G,5,0)</f>
        <v>GEMÜ</v>
      </c>
      <c r="AL16" s="82">
        <f t="shared" si="1"/>
        <v>11</v>
      </c>
      <c r="AN16" s="51" t="s">
        <v>68</v>
      </c>
      <c r="AO16" s="6" t="s">
        <v>93</v>
      </c>
      <c r="AP16" s="6" t="s">
        <v>86</v>
      </c>
      <c r="AQ16" s="109" t="s">
        <v>94</v>
      </c>
      <c r="AR16" s="84" t="str">
        <f>VLOOKUP(AN16,'PGD02'!A:E,1,0)</f>
        <v>Superior</v>
      </c>
      <c r="AS16" s="84" t="str">
        <f>VLOOKUP(AO16,'PGD02'!C:E,1,0)</f>
        <v>Entrada bloco BV transferência do propagador</v>
      </c>
      <c r="AT16" s="84" t="str">
        <f>VLOOKUP(AO16,'PGD02'!C:E,3,0)</f>
        <v>DN-25</v>
      </c>
      <c r="AU16" s="82" t="str">
        <f>VLOOKUP(AO16,'PGD02'!C:G,5,0)</f>
        <v>GEMÜ</v>
      </c>
      <c r="AV16" s="84" t="str">
        <f>VLOOKUP(AN16,'PGD03'!A:E,1,0)</f>
        <v>Superior</v>
      </c>
      <c r="AW16" s="84" t="str">
        <f>VLOOKUP(AO16,'PGD03'!C:E,1,0)</f>
        <v>Entrada bloco BV transferência do propagador</v>
      </c>
      <c r="AX16" s="84" t="str">
        <f>VLOOKUP(AO16,'PGD03'!C:E,3,0)</f>
        <v>DN-25</v>
      </c>
      <c r="AY16" s="82" t="str">
        <f>VLOOKUP(AO16,'PGD03'!C:G,5,0)</f>
        <v>GEMÜ</v>
      </c>
      <c r="AZ16" s="84" t="str">
        <f>VLOOKUP(AN16,'PGD04'!A:E,1,0)</f>
        <v>Superior</v>
      </c>
      <c r="BA16" s="84" t="str">
        <f>VLOOKUP(AO16,'PGD03'!C:E,1,0)</f>
        <v>Entrada bloco BV transferência do propagador</v>
      </c>
      <c r="BB16" s="84" t="str">
        <f>VLOOKUP(AO16,'PGD04'!C:E,3,0)</f>
        <v>DN-25</v>
      </c>
      <c r="BC16" s="82" t="str">
        <f>VLOOKUP(AO16,'PGD04'!C:G,5,0)</f>
        <v>GEMÜ</v>
      </c>
      <c r="BD16" s="84" t="str">
        <f>VLOOKUP(AN16,'PGD05'!A:E,1,0)</f>
        <v>Superior</v>
      </c>
      <c r="BE16" s="84" t="str">
        <f>VLOOKUP(AO16,'PGD05'!C:E,1,0)</f>
        <v>Entrada bloco BV transferência do propagador</v>
      </c>
      <c r="BF16" s="84" t="str">
        <f>VLOOKUP(AO16,'PGD05'!C:E,3,0)</f>
        <v>DN-25</v>
      </c>
      <c r="BG16" s="82" t="str">
        <f>VLOOKUP(AO16,'PGD05'!C:G,5,0)</f>
        <v>GEMÜ</v>
      </c>
      <c r="BH16" s="84" t="str">
        <f>VLOOKUP(AN16,'PGD06'!A:E,1,0)</f>
        <v>Superior</v>
      </c>
      <c r="BI16" s="84" t="str">
        <f>VLOOKUP(AO16,'PGD06'!C:E,1,0)</f>
        <v>Entrada bloco BV transferência do propagador</v>
      </c>
      <c r="BJ16" s="84" t="str">
        <f>VLOOKUP(AO16,'PGD06'!C:E,3,0)</f>
        <v>DN-25</v>
      </c>
      <c r="BK16" s="82" t="str">
        <f>VLOOKUP(AO16,'PGD06'!C:G,5,0)</f>
        <v>GEMÜ</v>
      </c>
      <c r="BL16" s="84" t="str">
        <f>VLOOKUP(AN16,'PGD07'!A:E,1,0)</f>
        <v>Superior</v>
      </c>
      <c r="BM16" s="84" t="str">
        <f>VLOOKUP(AO16,'PGD07'!C:E,1,0)</f>
        <v>Entrada bloco BV transferência do propagador</v>
      </c>
      <c r="BN16" s="84" t="str">
        <f>VLOOKUP(AO16,'PGD07'!C:E,3,0)</f>
        <v>DN-25</v>
      </c>
      <c r="BO16" s="82" t="str">
        <f>VLOOKUP(AO16,'PGD07'!C:G,5,0)</f>
        <v>GEMÜ</v>
      </c>
      <c r="BP16" s="84" t="str">
        <f>VLOOKUP(AN16,'PGD08'!A:E,1,0)</f>
        <v>Superior</v>
      </c>
      <c r="BQ16" s="84" t="str">
        <f>VLOOKUP(AO16,'PGD08'!C:E,1,0)</f>
        <v>Entrada bloco BV transferência do propagador</v>
      </c>
      <c r="BR16" s="84" t="str">
        <f>VLOOKUP(AO16,'PGD08'!C:E,3,0)</f>
        <v>DN-25</v>
      </c>
      <c r="BS16" s="82" t="str">
        <f>VLOOKUP(AO16,'PGD08'!C:G,5,0)</f>
        <v>GEMÜ</v>
      </c>
      <c r="BT16" s="84" t="str">
        <f>VLOOKUP(AN16,'PGD09'!A:E,1,0)</f>
        <v>Superior</v>
      </c>
      <c r="BU16" s="84" t="str">
        <f>VLOOKUP(AO16,'PGD09'!C:E,1,0)</f>
        <v>Entrada bloco BV transferência do propagador</v>
      </c>
      <c r="BV16" s="84" t="str">
        <f>VLOOKUP(AO16,'PGD09'!C:E,3,0)</f>
        <v>DN-25</v>
      </c>
      <c r="BW16" s="82" t="str">
        <f>VLOOKUP(AO16,'PGD09'!C:G,5,0)</f>
        <v>GEMÜ</v>
      </c>
      <c r="BX16" s="84" t="str">
        <f>VLOOKUP(AN16,'PGD10'!A:E,1,0)</f>
        <v>Superior</v>
      </c>
      <c r="BY16" s="84" t="str">
        <f>VLOOKUP(AO16,'PGD10'!C:E,1,0)</f>
        <v>Entrada bloco BV transferência do propagador</v>
      </c>
      <c r="BZ16" s="84" t="str">
        <f>VLOOKUP(AO16,'PGD10'!C:E,3,0)</f>
        <v>DN-25</v>
      </c>
      <c r="CA16" s="82" t="str">
        <f>VLOOKUP(AO16,'PGD10'!C:G,5,0)</f>
        <v>GEMÜ</v>
      </c>
      <c r="CB16" s="84" t="str">
        <f>VLOOKUP(AN16,'PGD11'!A:E,1,0)</f>
        <v>Superior</v>
      </c>
      <c r="CC16" s="84" t="str">
        <f>VLOOKUP(AO16,'PGD11'!C:E,1,0)</f>
        <v>Entrada bloco BV transferência do propagador</v>
      </c>
      <c r="CD16" s="84" t="str">
        <f>VLOOKUP(AO16,'PGD11'!C:E,3,0)</f>
        <v>DN-25</v>
      </c>
      <c r="CE16" s="82" t="str">
        <f>VLOOKUP(AO16,'PGD11'!C:G,5,0)</f>
        <v>GEMÜ</v>
      </c>
      <c r="CF16" s="84" t="str">
        <f>VLOOKUP(AN16,'PGD12'!A:E,1,0)</f>
        <v>Superior</v>
      </c>
      <c r="CG16" s="84" t="str">
        <f>VLOOKUP(AO16,'PGD12'!C:E,1,0)</f>
        <v>Entrada bloco BV transferência do propagador</v>
      </c>
      <c r="CH16" s="84" t="str">
        <f>VLOOKUP(AO16,'PGD12'!C:E,3,0)</f>
        <v>DN-25</v>
      </c>
      <c r="CI16" s="84" t="str">
        <f>VLOOKUP(AO16,'PGD12'!C:G,5,0)</f>
        <v>GEMÜ</v>
      </c>
      <c r="CJ16" s="82">
        <f t="shared" si="0"/>
        <v>11</v>
      </c>
      <c r="CL16" s="51" t="s">
        <v>95</v>
      </c>
      <c r="CM16" s="6" t="s">
        <v>86</v>
      </c>
      <c r="CN16" s="80" t="s">
        <v>5</v>
      </c>
      <c r="CO16" s="85" t="str">
        <f>VLOOKUP(CL16,'BLD03'!C:E,1,0)</f>
        <v xml:space="preserve">Válvula de limpeza na linha de amostra </v>
      </c>
      <c r="CP16" s="84" t="str">
        <f>VLOOKUP(CL16,'BLD03'!C:E,3,0)</f>
        <v>DN-25</v>
      </c>
      <c r="CQ16" s="84" t="str">
        <f>VLOOKUP(CL16,'BLD02'!C:G,5,0)</f>
        <v>GEMÜ</v>
      </c>
      <c r="CR16" s="82">
        <f t="shared" si="2"/>
        <v>2</v>
      </c>
    </row>
    <row r="17" spans="2:96" ht="15" customHeight="1" x14ac:dyDescent="0.25">
      <c r="B17" s="64" t="s">
        <v>96</v>
      </c>
      <c r="C17" s="7" t="s">
        <v>86</v>
      </c>
      <c r="D17" s="69" t="s">
        <v>5</v>
      </c>
      <c r="E17" s="57" t="str">
        <f>VLOOKUP(B17,'FTD02'!C:E,1,0)</f>
        <v>Dreno BV  alimentação CIP</v>
      </c>
      <c r="F17" s="53" t="str">
        <f>VLOOKUP(B17,'FTD02'!C:E,3,0)</f>
        <v>DN-25</v>
      </c>
      <c r="G17" s="56" t="str">
        <f>VLOOKUP(B17,'FTD02'!C:G,5,0)</f>
        <v>GEMÜ</v>
      </c>
      <c r="H17" s="57" t="str">
        <f>VLOOKUP(B17,'FTD03'!C:E,1,0)</f>
        <v>Dreno BV  alimentação CIP</v>
      </c>
      <c r="I17" s="53" t="str">
        <f>VLOOKUP(B17,'FTD03'!C:E,3,0)</f>
        <v>DN-25</v>
      </c>
      <c r="J17" s="56" t="str">
        <f>VLOOKUP(B17,'FTD03'!C:G,5,0)</f>
        <v>GEMÜ</v>
      </c>
      <c r="K17" s="57" t="str">
        <f>VLOOKUP(B17,'FTD04'!C:E,1,0)</f>
        <v>Dreno BV  alimentação CIP</v>
      </c>
      <c r="L17" s="53" t="str">
        <f>VLOOKUP(B17,'FTD04'!C:E,3,0)</f>
        <v>DN-25</v>
      </c>
      <c r="M17" s="56" t="str">
        <f>VLOOKUP(B17,'FTD04'!C:G,5,0)</f>
        <v>GEMÜ</v>
      </c>
      <c r="N17" s="57" t="str">
        <f>VLOOKUP(B17,'FTD05'!C:E,1,0)</f>
        <v>Dreno BV  alimentação CIP</v>
      </c>
      <c r="O17" s="53" t="str">
        <f>VLOOKUP(B17,'FTD05'!C:E,3,0)</f>
        <v>DN-25</v>
      </c>
      <c r="P17" s="56" t="str">
        <f>VLOOKUP(B17,'FTD05'!C:G,5,0)</f>
        <v>GEMÜ</v>
      </c>
      <c r="Q17" s="65" t="str">
        <f>VLOOKUP(B17,'FTD06'!C:E,1,0)</f>
        <v>Dreno BV  alimentação CIP</v>
      </c>
      <c r="R17" s="53" t="str">
        <f>VLOOKUP(B17,'FTD06'!C:E,3,0)</f>
        <v>DN-25</v>
      </c>
      <c r="S17" s="74" t="str">
        <f>VLOOKUP(B17,'FTD06'!C:G,5,0)</f>
        <v>GEMÜ</v>
      </c>
      <c r="T17" s="57" t="str">
        <f>VLOOKUP(B17,'FTD07'!C:E,1,0)</f>
        <v>Dreno BV  alimentação CIP</v>
      </c>
      <c r="U17" s="53" t="str">
        <f>VLOOKUP(B17,'FTD07'!C:E,3,0)</f>
        <v>DN-25</v>
      </c>
      <c r="V17" s="56" t="str">
        <f>VLOOKUP(B17,'FTD07'!C:G,5,0)</f>
        <v>GEMÜ</v>
      </c>
      <c r="W17" s="65" t="str">
        <f>VLOOKUP(B17,'FTD08'!C:E,1,0)</f>
        <v>Dreno BV  alimentação CIP</v>
      </c>
      <c r="X17" s="53" t="str">
        <f>VLOOKUP(B17,'FTD08'!C:E,3,0)</f>
        <v>DN-25</v>
      </c>
      <c r="Y17" s="74" t="str">
        <f>VLOOKUP(B17,'FTD08'!C:G,5,0)</f>
        <v>GEMÜ</v>
      </c>
      <c r="Z17" s="57" t="str">
        <f>VLOOKUP(B17,'FTD09'!C:E,1,0)</f>
        <v>Dreno BV  alimentação CIP</v>
      </c>
      <c r="AA17" s="53" t="str">
        <f>VLOOKUP(B17,'FTD09'!C:E,3,0)</f>
        <v>DN-25</v>
      </c>
      <c r="AB17" s="56" t="str">
        <f>VLOOKUP(B17,'FTD09'!C:G,5,0)</f>
        <v>GEMÜ</v>
      </c>
      <c r="AC17" s="65" t="str">
        <f>VLOOKUP(B17,'FTD10'!C:E,1,0)</f>
        <v>Dreno BV  alimentação CIP</v>
      </c>
      <c r="AD17" s="53" t="str">
        <f>VLOOKUP(B17,'FTD10'!C:E,3,0)</f>
        <v>DN-25</v>
      </c>
      <c r="AE17" s="74" t="str">
        <f>VLOOKUP(B17,'FTD10'!C:G,5,0)</f>
        <v>GEMÜ</v>
      </c>
      <c r="AF17" s="57" t="str">
        <f>VLOOKUP(B17,'FTD11'!C:E,1,0)</f>
        <v>Dreno BV  alimentação CIP</v>
      </c>
      <c r="AG17" s="53" t="str">
        <f>VLOOKUP(B17,'FTD11'!C:E,3,0)</f>
        <v>DN-25</v>
      </c>
      <c r="AH17" s="56" t="str">
        <f>VLOOKUP(B17,'FTD11'!C:G,5,0)</f>
        <v>GEMÜ</v>
      </c>
      <c r="AI17" s="65" t="str">
        <f>VLOOKUP(B17,'FTD12'!C:E,1,0)</f>
        <v>Dreno BV  alimentação CIP</v>
      </c>
      <c r="AJ17" s="53" t="str">
        <f>VLOOKUP(B17,'FTD12'!C:E,3,0)</f>
        <v>DN-25</v>
      </c>
      <c r="AK17" s="53" t="str">
        <f>VLOOKUP(B17,'FTD12'!C:G,5,0)</f>
        <v>GEMÜ</v>
      </c>
      <c r="AL17" s="56">
        <f t="shared" si="1"/>
        <v>11</v>
      </c>
      <c r="AN17" s="63" t="s">
        <v>68</v>
      </c>
      <c r="AO17" s="16" t="s">
        <v>97</v>
      </c>
      <c r="AP17" s="16" t="s">
        <v>86</v>
      </c>
      <c r="AQ17" s="78" t="s">
        <v>98</v>
      </c>
      <c r="AR17" s="84" t="str">
        <f>VLOOKUP(AN17,'PGD02'!A:E,1,0)</f>
        <v>Superior</v>
      </c>
      <c r="AS17" s="53" t="str">
        <f>VLOOKUP(AO17,'PGD02'!C:E,1,0)</f>
        <v>Entrada propagador BV transferência do propagador</v>
      </c>
      <c r="AT17" s="53" t="str">
        <f>VLOOKUP(AO17,'PGD02'!C:E,3,0)</f>
        <v>DN-25</v>
      </c>
      <c r="AU17" s="56" t="str">
        <f>VLOOKUP(AO17,'PGD02'!C:G,5,0)</f>
        <v>GEMÜ</v>
      </c>
      <c r="AV17" s="84" t="str">
        <f>VLOOKUP(AN17,'PGD03'!A:E,1,0)</f>
        <v>Superior</v>
      </c>
      <c r="AW17" s="53" t="str">
        <f>VLOOKUP(AO17,'PGD03'!C:E,1,0)</f>
        <v>Entrada propagador BV transferência do propagador</v>
      </c>
      <c r="AX17" s="53" t="str">
        <f>VLOOKUP(AO17,'PGD03'!C:E,3,0)</f>
        <v>DN-25</v>
      </c>
      <c r="AY17" s="56" t="str">
        <f>VLOOKUP(AO17,'PGD03'!C:G,5,0)</f>
        <v>GEMÜ</v>
      </c>
      <c r="AZ17" s="84" t="str">
        <f>VLOOKUP(AN17,'PGD04'!A:E,1,0)</f>
        <v>Superior</v>
      </c>
      <c r="BA17" s="53" t="str">
        <f>VLOOKUP(AO17,'PGD03'!C:E,1,0)</f>
        <v>Entrada propagador BV transferência do propagador</v>
      </c>
      <c r="BB17" s="53" t="str">
        <f>VLOOKUP(AO17,'PGD04'!C:E,3,0)</f>
        <v>DN-25</v>
      </c>
      <c r="BC17" s="56" t="str">
        <f>VLOOKUP(AO17,'PGD04'!C:G,5,0)</f>
        <v>GEMÜ</v>
      </c>
      <c r="BD17" s="84" t="str">
        <f>VLOOKUP(AN17,'PGD05'!A:E,1,0)</f>
        <v>Superior</v>
      </c>
      <c r="BE17" s="53" t="str">
        <f>VLOOKUP(AO17,'PGD05'!C:E,1,0)</f>
        <v>Entrada propagador BV transferência do propagador</v>
      </c>
      <c r="BF17" s="53" t="str">
        <f>VLOOKUP(AO17,'PGD05'!C:E,3,0)</f>
        <v>DN-25</v>
      </c>
      <c r="BG17" s="56" t="str">
        <f>VLOOKUP(AO17,'PGD05'!C:G,5,0)</f>
        <v>GEMÜ</v>
      </c>
      <c r="BH17" s="84" t="str">
        <f>VLOOKUP(AN17,'PGD06'!A:E,1,0)</f>
        <v>Superior</v>
      </c>
      <c r="BI17" s="53" t="str">
        <f>VLOOKUP(AO17,'PGD06'!C:E,1,0)</f>
        <v>Entrada propagador BV transferência do propagador</v>
      </c>
      <c r="BJ17" s="53" t="str">
        <f>VLOOKUP(AO17,'PGD06'!C:E,3,0)</f>
        <v>DN-25</v>
      </c>
      <c r="BK17" s="56" t="str">
        <f>VLOOKUP(AO17,'PGD06'!C:G,5,0)</f>
        <v>GEMÜ</v>
      </c>
      <c r="BL17" s="84" t="str">
        <f>VLOOKUP(AN17,'PGD07'!A:E,1,0)</f>
        <v>Superior</v>
      </c>
      <c r="BM17" s="53" t="str">
        <f>VLOOKUP(AO17,'PGD07'!C:E,1,0)</f>
        <v>Entrada propagador BV transferência do propagador</v>
      </c>
      <c r="BN17" s="53" t="str">
        <f>VLOOKUP(AO17,'PGD07'!C:E,3,0)</f>
        <v>DN-25</v>
      </c>
      <c r="BO17" s="56" t="str">
        <f>VLOOKUP(AO17,'PGD07'!C:G,5,0)</f>
        <v>GEMÜ</v>
      </c>
      <c r="BP17" s="84" t="str">
        <f>VLOOKUP(AN17,'PGD08'!A:E,1,0)</f>
        <v>Superior</v>
      </c>
      <c r="BQ17" s="53" t="str">
        <f>VLOOKUP(AO17,'PGD08'!C:E,1,0)</f>
        <v>Entrada propagador BV transferência do propagador</v>
      </c>
      <c r="BR17" s="53" t="str">
        <f>VLOOKUP(AO17,'PGD08'!C:E,3,0)</f>
        <v>DN-25</v>
      </c>
      <c r="BS17" s="56" t="str">
        <f>VLOOKUP(AO17,'PGD08'!C:G,5,0)</f>
        <v>GEMÜ</v>
      </c>
      <c r="BT17" s="84" t="str">
        <f>VLOOKUP(AN17,'PGD09'!A:E,1,0)</f>
        <v>Superior</v>
      </c>
      <c r="BU17" s="53" t="str">
        <f>VLOOKUP(AO17,'PGD09'!C:E,1,0)</f>
        <v>Entrada propagador BV transferência do propagador</v>
      </c>
      <c r="BV17" s="53" t="str">
        <f>VLOOKUP(AO17,'PGD09'!C:E,3,0)</f>
        <v>DN-25</v>
      </c>
      <c r="BW17" s="56" t="str">
        <f>VLOOKUP(AO17,'PGD09'!C:G,5,0)</f>
        <v>GEMÜ</v>
      </c>
      <c r="BX17" s="84" t="str">
        <f>VLOOKUP(AN17,'PGD10'!A:E,1,0)</f>
        <v>Superior</v>
      </c>
      <c r="BY17" s="53" t="str">
        <f>VLOOKUP(AO17,'PGD10'!C:E,1,0)</f>
        <v>Entrada propagador BV transferência do propagador</v>
      </c>
      <c r="BZ17" s="53" t="str">
        <f>VLOOKUP(AO17,'PGD10'!C:E,3,0)</f>
        <v>DN-25</v>
      </c>
      <c r="CA17" s="56" t="str">
        <f>VLOOKUP(AO17,'PGD10'!C:G,5,0)</f>
        <v>GEMÜ</v>
      </c>
      <c r="CB17" s="84" t="str">
        <f>VLOOKUP(AN17,'PGD11'!A:E,1,0)</f>
        <v>Superior</v>
      </c>
      <c r="CC17" s="53" t="str">
        <f>VLOOKUP(AO17,'PGD11'!C:E,1,0)</f>
        <v>Entrada propagador BV transferência do propagador</v>
      </c>
      <c r="CD17" s="53" t="str">
        <f>VLOOKUP(AO17,'PGD11'!C:E,3,0)</f>
        <v>DN-25</v>
      </c>
      <c r="CE17" s="56" t="str">
        <f>VLOOKUP(AO17,'PGD11'!C:G,5,0)</f>
        <v>GEMÜ</v>
      </c>
      <c r="CF17" s="84" t="str">
        <f>VLOOKUP(AN17,'PGD12'!A:E,1,0)</f>
        <v>Superior</v>
      </c>
      <c r="CG17" s="53" t="str">
        <f>VLOOKUP(AO17,'PGD12'!C:E,1,0)</f>
        <v>Entrada propagador BV transferência do propagador</v>
      </c>
      <c r="CH17" s="53" t="str">
        <f>VLOOKUP(AO17,'PGD12'!C:E,3,0)</f>
        <v>DN-25</v>
      </c>
      <c r="CI17" s="53" t="str">
        <f>VLOOKUP(AO17,'PGD12'!C:G,5,0)</f>
        <v>GEMÜ</v>
      </c>
      <c r="CJ17" s="56">
        <f t="shared" si="0"/>
        <v>11</v>
      </c>
      <c r="CL17" s="52" t="s">
        <v>99</v>
      </c>
      <c r="CM17" s="16" t="s">
        <v>86</v>
      </c>
      <c r="CN17" s="81" t="s">
        <v>5</v>
      </c>
      <c r="CO17" s="65" t="str">
        <f>VLOOKUP(CL17,'BLD03'!C:E,1,0)</f>
        <v xml:space="preserve">Entrada de ar no tanque </v>
      </c>
      <c r="CP17" s="53" t="str">
        <f>VLOOKUP(CL17,'BLD03'!C:E,3,0)</f>
        <v>DN-25</v>
      </c>
      <c r="CQ17" s="53" t="str">
        <f>VLOOKUP(CL17,'BLD02'!C:G,5,0)</f>
        <v>GEMÜ</v>
      </c>
      <c r="CR17" s="56">
        <f t="shared" si="2"/>
        <v>2</v>
      </c>
    </row>
    <row r="18" spans="2:96" x14ac:dyDescent="0.25">
      <c r="B18" s="62" t="s">
        <v>90</v>
      </c>
      <c r="C18" s="14" t="s">
        <v>51</v>
      </c>
      <c r="D18" s="68" t="s">
        <v>5</v>
      </c>
      <c r="E18" s="83" t="str">
        <f>VLOOKUP(B18,'FTD02'!C:E,1,0)</f>
        <v>Dreno BV  alimentação nitrogênio</v>
      </c>
      <c r="F18" s="84" t="str">
        <f>VLOOKUP(B18,'FTD02'!C:E,3,0)</f>
        <v>DN-40</v>
      </c>
      <c r="G18" s="82" t="str">
        <f>VLOOKUP(B18,'FTD02'!C:G,5,0)</f>
        <v>GEMÜ</v>
      </c>
      <c r="H18" s="83" t="str">
        <f>VLOOKUP(B18,'FTD03'!C:E,1,0)</f>
        <v>Dreno BV  alimentação nitrogênio</v>
      </c>
      <c r="I18" s="84" t="str">
        <f>VLOOKUP(B18,'FTD03'!C:E,3,0)</f>
        <v>DN-40</v>
      </c>
      <c r="J18" s="82" t="str">
        <f>VLOOKUP(B18,'FTD03'!C:G,5,0)</f>
        <v>GEMÜ</v>
      </c>
      <c r="K18" s="83" t="str">
        <f>VLOOKUP(B18,'FTD04'!C:E,1,0)</f>
        <v>Dreno BV  alimentação nitrogênio</v>
      </c>
      <c r="L18" s="84" t="str">
        <f>VLOOKUP(B18,'FTD04'!C:E,3,0)</f>
        <v>DN-40</v>
      </c>
      <c r="M18" s="82" t="str">
        <f>VLOOKUP(B18,'FTD04'!C:G,5,0)</f>
        <v>GEMÜ</v>
      </c>
      <c r="N18" s="83" t="str">
        <f>VLOOKUP(B18,'FTD05'!C:E,1,0)</f>
        <v>Dreno BV  alimentação nitrogênio</v>
      </c>
      <c r="O18" s="84" t="str">
        <f>VLOOKUP(B18,'FTD05'!C:E,3,0)</f>
        <v>DN-40</v>
      </c>
      <c r="P18" s="82" t="str">
        <f>VLOOKUP(B18,'FTD05'!C:G,5,0)</f>
        <v>GEMÜ</v>
      </c>
      <c r="Q18" s="85" t="str">
        <f>VLOOKUP(B18,'FTD06'!C:E,1,0)</f>
        <v>Dreno BV  alimentação nitrogênio</v>
      </c>
      <c r="R18" s="84" t="str">
        <f>VLOOKUP(B18,'FTD06'!C:E,3,0)</f>
        <v>DN-40</v>
      </c>
      <c r="S18" s="86" t="str">
        <f>VLOOKUP(B18,'FTD06'!C:G,5,0)</f>
        <v>GEMÜ</v>
      </c>
      <c r="T18" s="83" t="str">
        <f>VLOOKUP(B18,'FTD07'!C:E,1,0)</f>
        <v>Dreno BV  alimentação nitrogênio</v>
      </c>
      <c r="U18" s="84" t="str">
        <f>VLOOKUP(B18,'FTD07'!C:E,3,0)</f>
        <v>DN-40</v>
      </c>
      <c r="V18" s="82" t="str">
        <f>VLOOKUP(B18,'FTD07'!C:G,5,0)</f>
        <v>GEMÜ</v>
      </c>
      <c r="W18" s="85" t="str">
        <f>VLOOKUP(B18,'FTD08'!C:E,1,0)</f>
        <v>Dreno BV  alimentação nitrogênio</v>
      </c>
      <c r="X18" s="84" t="str">
        <f>VLOOKUP(B18,'FTD08'!C:E,3,0)</f>
        <v>DN-40</v>
      </c>
      <c r="Y18" s="86" t="str">
        <f>VLOOKUP(B18,'FTD08'!C:G,5,0)</f>
        <v>GEMÜ</v>
      </c>
      <c r="Z18" s="83" t="str">
        <f>VLOOKUP(B18,'FTD09'!C:E,1,0)</f>
        <v>Dreno BV  alimentação nitrogênio</v>
      </c>
      <c r="AA18" s="84" t="str">
        <f>VLOOKUP(B18,'FTD09'!C:E,3,0)</f>
        <v>DN-40</v>
      </c>
      <c r="AB18" s="82" t="str">
        <f>VLOOKUP(B18,'FTD09'!C:G,5,0)</f>
        <v>GEMÜ</v>
      </c>
      <c r="AC18" s="85" t="str">
        <f>VLOOKUP(B18,'FTD10'!C:E,1,0)</f>
        <v>Dreno BV  alimentação nitrogênio</v>
      </c>
      <c r="AD18" s="84" t="str">
        <f>VLOOKUP(B18,'FTD10'!C:E,3,0)</f>
        <v>DN-40</v>
      </c>
      <c r="AE18" s="86" t="str">
        <f>VLOOKUP(B18,'FTD10'!C:G,5,0)</f>
        <v>GEMÜ</v>
      </c>
      <c r="AF18" s="83" t="str">
        <f>VLOOKUP(B18,'FTD11'!C:E,1,0)</f>
        <v>Dreno BV  alimentação nitrogênio</v>
      </c>
      <c r="AG18" s="84" t="str">
        <f>VLOOKUP(B18,'FTD11'!C:E,3,0)</f>
        <v>DN-40</v>
      </c>
      <c r="AH18" s="82" t="str">
        <f>VLOOKUP(B18,'FTD11'!C:G,5,0)</f>
        <v>GEMÜ</v>
      </c>
      <c r="AI18" s="85" t="str">
        <f>VLOOKUP(B18,'FTD12'!C:E,1,0)</f>
        <v>Dreno BV  alimentação nitrogênio</v>
      </c>
      <c r="AJ18" s="84" t="str">
        <f>VLOOKUP(B18,'FTD12'!C:E,3,0)</f>
        <v>DN-40</v>
      </c>
      <c r="AK18" s="84" t="str">
        <f>VLOOKUP(B18,'FTD12'!C:G,5,0)</f>
        <v>GEMÜ</v>
      </c>
      <c r="AL18" s="82">
        <f t="shared" si="1"/>
        <v>11</v>
      </c>
      <c r="AN18" s="62" t="s">
        <v>68</v>
      </c>
      <c r="AO18" s="14" t="s">
        <v>100</v>
      </c>
      <c r="AP18" s="14" t="s">
        <v>86</v>
      </c>
      <c r="AQ18" s="68" t="s">
        <v>101</v>
      </c>
      <c r="AR18" s="84" t="str">
        <f>VLOOKUP(AN18,'PGD02'!A:E,1,0)</f>
        <v>Superior</v>
      </c>
      <c r="AS18" s="84" t="str">
        <f>VLOOKUP(AO18,'PGD02'!C:E,1,0)</f>
        <v>Dreno BV  transferência do propagador</v>
      </c>
      <c r="AT18" s="84" t="str">
        <f>VLOOKUP(AO18,'PGD02'!C:E,3,0)</f>
        <v>DN-25</v>
      </c>
      <c r="AU18" s="82" t="str">
        <f>VLOOKUP(AO18,'PGD02'!C:G,5,0)</f>
        <v>GEMÜ</v>
      </c>
      <c r="AV18" s="84" t="str">
        <f>VLOOKUP(AN18,'PGD03'!A:E,1,0)</f>
        <v>Superior</v>
      </c>
      <c r="AW18" s="84" t="str">
        <f>VLOOKUP(AO18,'PGD03'!C:E,1,0)</f>
        <v>Dreno BV  transferência do propagador</v>
      </c>
      <c r="AX18" s="84" t="str">
        <f>VLOOKUP(AO18,'PGD03'!C:E,3,0)</f>
        <v>DN-25</v>
      </c>
      <c r="AY18" s="82" t="str">
        <f>VLOOKUP(AO18,'PGD03'!C:G,5,0)</f>
        <v>GEMÜ</v>
      </c>
      <c r="AZ18" s="84" t="str">
        <f>VLOOKUP(AN18,'PGD04'!A:E,1,0)</f>
        <v>Superior</v>
      </c>
      <c r="BA18" s="84" t="str">
        <f>VLOOKUP(AO18,'PGD03'!C:E,1,0)</f>
        <v>Dreno BV  transferência do propagador</v>
      </c>
      <c r="BB18" s="84" t="str">
        <f>VLOOKUP(AO18,'PGD04'!C:E,3,0)</f>
        <v>DN-25</v>
      </c>
      <c r="BC18" s="82" t="str">
        <f>VLOOKUP(AO18,'PGD04'!C:G,5,0)</f>
        <v>GEMÜ</v>
      </c>
      <c r="BD18" s="84" t="str">
        <f>VLOOKUP(AN18,'PGD05'!A:E,1,0)</f>
        <v>Superior</v>
      </c>
      <c r="BE18" s="84" t="str">
        <f>VLOOKUP(AO18,'PGD05'!C:E,1,0)</f>
        <v>Dreno BV  transferência do propagador</v>
      </c>
      <c r="BF18" s="84" t="str">
        <f>VLOOKUP(AO18,'PGD05'!C:E,3,0)</f>
        <v>DN-25</v>
      </c>
      <c r="BG18" s="82" t="str">
        <f>VLOOKUP(AO18,'PGD05'!C:G,5,0)</f>
        <v>GEMÜ</v>
      </c>
      <c r="BH18" s="84" t="str">
        <f>VLOOKUP(AN18,'PGD06'!A:E,1,0)</f>
        <v>Superior</v>
      </c>
      <c r="BI18" s="84" t="str">
        <f>VLOOKUP(AO18,'PGD06'!C:E,1,0)</f>
        <v>Dreno BV  transferência do propagador</v>
      </c>
      <c r="BJ18" s="84" t="str">
        <f>VLOOKUP(AO18,'PGD06'!C:E,3,0)</f>
        <v>DN-25</v>
      </c>
      <c r="BK18" s="82" t="str">
        <f>VLOOKUP(AO18,'PGD06'!C:G,5,0)</f>
        <v>GEMÜ</v>
      </c>
      <c r="BL18" s="84" t="str">
        <f>VLOOKUP(AN18,'PGD07'!A:E,1,0)</f>
        <v>Superior</v>
      </c>
      <c r="BM18" s="84" t="str">
        <f>VLOOKUP(AO18,'PGD07'!C:E,1,0)</f>
        <v>Dreno BV  transferência do propagador</v>
      </c>
      <c r="BN18" s="84" t="str">
        <f>VLOOKUP(AO18,'PGD07'!C:E,3,0)</f>
        <v>DN-25</v>
      </c>
      <c r="BO18" s="82" t="str">
        <f>VLOOKUP(AO18,'PGD07'!C:G,5,0)</f>
        <v>GEMÜ</v>
      </c>
      <c r="BP18" s="84" t="str">
        <f>VLOOKUP(AN18,'PGD08'!A:E,1,0)</f>
        <v>Superior</v>
      </c>
      <c r="BQ18" s="84" t="str">
        <f>VLOOKUP(AO18,'PGD08'!C:E,1,0)</f>
        <v>Dreno BV  transferência do propagador</v>
      </c>
      <c r="BR18" s="84" t="str">
        <f>VLOOKUP(AO18,'PGD08'!C:E,3,0)</f>
        <v>DN-25</v>
      </c>
      <c r="BS18" s="82" t="str">
        <f>VLOOKUP(AO18,'PGD08'!C:G,5,0)</f>
        <v>GEMÜ</v>
      </c>
      <c r="BT18" s="84" t="str">
        <f>VLOOKUP(AN18,'PGD09'!A:E,1,0)</f>
        <v>Superior</v>
      </c>
      <c r="BU18" s="84" t="str">
        <f>VLOOKUP(AO18,'PGD09'!C:E,1,0)</f>
        <v>Dreno BV  transferência do propagador</v>
      </c>
      <c r="BV18" s="84" t="str">
        <f>VLOOKUP(AO18,'PGD09'!C:E,3,0)</f>
        <v>DN-25</v>
      </c>
      <c r="BW18" s="82" t="str">
        <f>VLOOKUP(AO18,'PGD09'!C:G,5,0)</f>
        <v>GEMÜ</v>
      </c>
      <c r="BX18" s="84" t="str">
        <f>VLOOKUP(AN18,'PGD10'!A:E,1,0)</f>
        <v>Superior</v>
      </c>
      <c r="BY18" s="84" t="str">
        <f>VLOOKUP(AO18,'PGD10'!C:E,1,0)</f>
        <v>Dreno BV  transferência do propagador</v>
      </c>
      <c r="BZ18" s="84" t="str">
        <f>VLOOKUP(AO18,'PGD10'!C:E,3,0)</f>
        <v>DN-25</v>
      </c>
      <c r="CA18" s="82" t="str">
        <f>VLOOKUP(AO18,'PGD10'!C:G,5,0)</f>
        <v>GEMÜ</v>
      </c>
      <c r="CB18" s="84" t="str">
        <f>VLOOKUP(AN18,'PGD11'!A:E,1,0)</f>
        <v>Superior</v>
      </c>
      <c r="CC18" s="84" t="str">
        <f>VLOOKUP(AO18,'PGD11'!C:E,1,0)</f>
        <v>Dreno BV  transferência do propagador</v>
      </c>
      <c r="CD18" s="84" t="str">
        <f>VLOOKUP(AO18,'PGD11'!C:E,3,0)</f>
        <v>DN-25</v>
      </c>
      <c r="CE18" s="82" t="str">
        <f>VLOOKUP(AO18,'PGD11'!C:G,5,0)</f>
        <v>GEMÜ</v>
      </c>
      <c r="CF18" s="84" t="str">
        <f>VLOOKUP(AN18,'PGD12'!A:E,1,0)</f>
        <v>Superior</v>
      </c>
      <c r="CG18" s="84" t="str">
        <f>VLOOKUP(AO18,'PGD12'!C:E,1,0)</f>
        <v>Dreno BV  transferência do propagador</v>
      </c>
      <c r="CH18" s="84" t="str">
        <f>VLOOKUP(AO18,'PGD12'!C:E,3,0)</f>
        <v>DN-25</v>
      </c>
      <c r="CI18" s="84" t="str">
        <f>VLOOKUP(AO18,'PGD12'!C:G,5,0)</f>
        <v>GEMÜ</v>
      </c>
      <c r="CJ18" s="82">
        <f t="shared" si="0"/>
        <v>11</v>
      </c>
      <c r="CL18" s="51" t="s">
        <v>102</v>
      </c>
      <c r="CM18" s="6" t="s">
        <v>48</v>
      </c>
      <c r="CN18" s="80" t="s">
        <v>6</v>
      </c>
      <c r="CO18" s="85" t="str">
        <f>VLOOKUP(CL18,'BLD03'!C:E,1,0)</f>
        <v xml:space="preserve">Dreno da linha de vapor antes do filtro absoluto </v>
      </c>
      <c r="CP18" s="84" t="str">
        <f>VLOOKUP(CL18,'BLD03'!C:E,3,0)</f>
        <v>DN-8</v>
      </c>
      <c r="CQ18" s="84" t="str">
        <f>VLOOKUP(CL18,'BLD02'!C:G,5,0)</f>
        <v>ZDL</v>
      </c>
      <c r="CR18" s="82">
        <f t="shared" si="2"/>
        <v>2</v>
      </c>
    </row>
    <row r="19" spans="2:96" x14ac:dyDescent="0.25">
      <c r="B19" s="64" t="s">
        <v>100</v>
      </c>
      <c r="C19" s="7" t="s">
        <v>51</v>
      </c>
      <c r="D19" s="69" t="s">
        <v>5</v>
      </c>
      <c r="E19" s="57" t="str">
        <f>VLOOKUP(B19,'FTD02'!C:E,1,0)</f>
        <v>Dreno BV  transferência do propagador</v>
      </c>
      <c r="F19" s="53" t="str">
        <f>VLOOKUP(B19,'FTD02'!C:E,3,0)</f>
        <v>DN-40</v>
      </c>
      <c r="G19" s="56" t="str">
        <f>VLOOKUP(B19,'FTD02'!C:G,5,0)</f>
        <v>GEMÜ</v>
      </c>
      <c r="H19" s="57" t="str">
        <f>VLOOKUP(B19,'FTD03'!C:E,1,0)</f>
        <v>Dreno BV  transferência do propagador</v>
      </c>
      <c r="I19" s="53" t="str">
        <f>VLOOKUP(B19,'FTD03'!C:E,3,0)</f>
        <v>DN-40</v>
      </c>
      <c r="J19" s="56" t="str">
        <f>VLOOKUP(B19,'FTD03'!C:G,5,0)</f>
        <v>GEMÜ</v>
      </c>
      <c r="K19" s="57" t="str">
        <f>VLOOKUP(B19,'FTD04'!C:E,1,0)</f>
        <v>Dreno BV  transferência do propagador</v>
      </c>
      <c r="L19" s="53" t="str">
        <f>VLOOKUP(B19,'FTD04'!C:E,3,0)</f>
        <v>DN-40</v>
      </c>
      <c r="M19" s="56" t="str">
        <f>VLOOKUP(B19,'FTD04'!C:G,5,0)</f>
        <v>GEMÜ</v>
      </c>
      <c r="N19" s="57" t="str">
        <f>VLOOKUP(B19,'FTD05'!C:E,1,0)</f>
        <v>Dreno BV  transferência do propagador</v>
      </c>
      <c r="O19" s="53" t="str">
        <f>VLOOKUP(B19,'FTD05'!C:E,3,0)</f>
        <v>DN-40</v>
      </c>
      <c r="P19" s="56" t="str">
        <f>VLOOKUP(B19,'FTD05'!C:G,5,0)</f>
        <v>GEMÜ</v>
      </c>
      <c r="Q19" s="65" t="str">
        <f>VLOOKUP(B19,'FTD06'!C:E,1,0)</f>
        <v>Dreno BV  transferência do propagador</v>
      </c>
      <c r="R19" s="53" t="str">
        <f>VLOOKUP(B19,'FTD06'!C:E,3,0)</f>
        <v>DN-40</v>
      </c>
      <c r="S19" s="74" t="str">
        <f>VLOOKUP(B19,'FTD06'!C:G,5,0)</f>
        <v>GEMÜ</v>
      </c>
      <c r="T19" s="57" t="str">
        <f>VLOOKUP(B19,'FTD07'!C:E,1,0)</f>
        <v>Dreno BV  transferência do propagador</v>
      </c>
      <c r="U19" s="53" t="str">
        <f>VLOOKUP(B19,'FTD07'!C:E,3,0)</f>
        <v>DN-40</v>
      </c>
      <c r="V19" s="56" t="str">
        <f>VLOOKUP(B19,'FTD07'!C:G,5,0)</f>
        <v>GEMÜ</v>
      </c>
      <c r="W19" s="65" t="str">
        <f>VLOOKUP(B19,'FTD08'!C:E,1,0)</f>
        <v>Dreno BV  transferência do propagador</v>
      </c>
      <c r="X19" s="53" t="str">
        <f>VLOOKUP(B19,'FTD08'!C:E,3,0)</f>
        <v>DN-40</v>
      </c>
      <c r="Y19" s="74" t="str">
        <f>VLOOKUP(B19,'FTD08'!C:G,5,0)</f>
        <v>GEMÜ</v>
      </c>
      <c r="Z19" s="57" t="str">
        <f>VLOOKUP(B19,'FTD09'!C:E,1,0)</f>
        <v>Dreno BV  transferência do propagador</v>
      </c>
      <c r="AA19" s="53" t="str">
        <f>VLOOKUP(B19,'FTD09'!C:E,3,0)</f>
        <v>DN-40</v>
      </c>
      <c r="AB19" s="56" t="str">
        <f>VLOOKUP(B19,'FTD09'!C:G,5,0)</f>
        <v>GEMÜ</v>
      </c>
      <c r="AC19" s="65" t="str">
        <f>VLOOKUP(B19,'FTD10'!C:E,1,0)</f>
        <v>Dreno BV  transferência do propagador</v>
      </c>
      <c r="AD19" s="53" t="str">
        <f>VLOOKUP(B19,'FTD10'!C:E,3,0)</f>
        <v>DN-40</v>
      </c>
      <c r="AE19" s="74" t="str">
        <f>VLOOKUP(B19,'FTD10'!C:G,5,0)</f>
        <v>GEMÜ</v>
      </c>
      <c r="AF19" s="57" t="str">
        <f>VLOOKUP(B19,'FTD11'!C:E,1,0)</f>
        <v>Dreno BV  transferência do propagador</v>
      </c>
      <c r="AG19" s="53" t="str">
        <f>VLOOKUP(B19,'FTD11'!C:E,3,0)</f>
        <v>DN-40</v>
      </c>
      <c r="AH19" s="56" t="str">
        <f>VLOOKUP(B19,'FTD11'!C:G,5,0)</f>
        <v>GEMÜ</v>
      </c>
      <c r="AI19" s="65" t="str">
        <f>VLOOKUP(B19,'FTD12'!C:E,1,0)</f>
        <v>Dreno BV  transferência do propagador</v>
      </c>
      <c r="AJ19" s="53" t="str">
        <f>VLOOKUP(B19,'FTD12'!C:E,3,0)</f>
        <v>DN-40</v>
      </c>
      <c r="AK19" s="53" t="str">
        <f>VLOOKUP(B19,'FTD12'!C:G,5,0)</f>
        <v>GEMÜ</v>
      </c>
      <c r="AL19" s="56">
        <f t="shared" si="1"/>
        <v>11</v>
      </c>
      <c r="AN19" s="63" t="s">
        <v>68</v>
      </c>
      <c r="AO19" s="16" t="s">
        <v>103</v>
      </c>
      <c r="AP19" s="16" t="s">
        <v>51</v>
      </c>
      <c r="AQ19" s="78" t="s">
        <v>104</v>
      </c>
      <c r="AR19" s="84" t="str">
        <f>VLOOKUP(AN19,'PGD02'!A:E,1,0)</f>
        <v>Superior</v>
      </c>
      <c r="AS19" s="53" t="str">
        <f>VLOOKUP(AO19,'PGD02'!C:E,1,0)</f>
        <v>Dreno BV alimentação água quente</v>
      </c>
      <c r="AT19" s="53" t="str">
        <f>VLOOKUP(AO19,'PGD02'!C:E,3,0)</f>
        <v>DN-40</v>
      </c>
      <c r="AU19" s="56" t="str">
        <f>VLOOKUP(AO19,'PGD02'!C:G,5,0)</f>
        <v>GEMÜ</v>
      </c>
      <c r="AV19" s="84" t="str">
        <f>VLOOKUP(AN19,'PGD03'!A:E,1,0)</f>
        <v>Superior</v>
      </c>
      <c r="AW19" s="53" t="str">
        <f>VLOOKUP(AO19,'PGD03'!C:E,1,0)</f>
        <v>Dreno BV alimentação água quente</v>
      </c>
      <c r="AX19" s="53" t="str">
        <f>VLOOKUP(AO19,'PGD03'!C:E,3,0)</f>
        <v>DN-40</v>
      </c>
      <c r="AY19" s="56" t="str">
        <f>VLOOKUP(AO19,'PGD03'!C:G,5,0)</f>
        <v>GEMÜ</v>
      </c>
      <c r="AZ19" s="84" t="str">
        <f>VLOOKUP(AN19,'PGD04'!A:E,1,0)</f>
        <v>Superior</v>
      </c>
      <c r="BA19" s="53" t="str">
        <f>VLOOKUP(AO19,'PGD03'!C:E,1,0)</f>
        <v>Dreno BV alimentação água quente</v>
      </c>
      <c r="BB19" s="53" t="str">
        <f>VLOOKUP(AO19,'PGD04'!C:E,3,0)</f>
        <v>DN-40</v>
      </c>
      <c r="BC19" s="56" t="str">
        <f>VLOOKUP(AO19,'PGD04'!C:G,5,0)</f>
        <v>GEMÜ</v>
      </c>
      <c r="BD19" s="84" t="str">
        <f>VLOOKUP(AN19,'PGD05'!A:E,1,0)</f>
        <v>Superior</v>
      </c>
      <c r="BE19" s="53" t="str">
        <f>VLOOKUP(AO19,'PGD05'!C:E,1,0)</f>
        <v>Dreno BV alimentação água quente</v>
      </c>
      <c r="BF19" s="53" t="str">
        <f>VLOOKUP(AO19,'PGD05'!C:E,3,0)</f>
        <v>DN-40</v>
      </c>
      <c r="BG19" s="56" t="str">
        <f>VLOOKUP(AO19,'PGD05'!C:G,5,0)</f>
        <v>GEMÜ</v>
      </c>
      <c r="BH19" s="84" t="str">
        <f>VLOOKUP(AN19,'PGD06'!A:E,1,0)</f>
        <v>Superior</v>
      </c>
      <c r="BI19" s="53" t="str">
        <f>VLOOKUP(AO19,'PGD06'!C:E,1,0)</f>
        <v>Dreno BV alimentação água quente</v>
      </c>
      <c r="BJ19" s="53" t="str">
        <f>VLOOKUP(AO19,'PGD06'!C:E,3,0)</f>
        <v>DN-40</v>
      </c>
      <c r="BK19" s="56" t="str">
        <f>VLOOKUP(AO19,'PGD06'!C:G,5,0)</f>
        <v>GEMÜ</v>
      </c>
      <c r="BL19" s="84" t="str">
        <f>VLOOKUP(AN19,'PGD07'!A:E,1,0)</f>
        <v>Superior</v>
      </c>
      <c r="BM19" s="53" t="str">
        <f>VLOOKUP(AO19,'PGD07'!C:E,1,0)</f>
        <v>Dreno BV alimentação água quente</v>
      </c>
      <c r="BN19" s="53" t="str">
        <f>VLOOKUP(AO19,'PGD07'!C:E,3,0)</f>
        <v>DN-40</v>
      </c>
      <c r="BO19" s="56" t="str">
        <f>VLOOKUP(AO19,'PGD07'!C:G,5,0)</f>
        <v>GEMÜ</v>
      </c>
      <c r="BP19" s="84" t="str">
        <f>VLOOKUP(AN19,'PGD08'!A:E,1,0)</f>
        <v>Superior</v>
      </c>
      <c r="BQ19" s="53" t="str">
        <f>VLOOKUP(AO19,'PGD08'!C:E,1,0)</f>
        <v>Dreno BV alimentação água quente</v>
      </c>
      <c r="BR19" s="53" t="str">
        <f>VLOOKUP(AO19,'PGD08'!C:E,3,0)</f>
        <v>DN-40</v>
      </c>
      <c r="BS19" s="56" t="str">
        <f>VLOOKUP(AO19,'PGD08'!C:G,5,0)</f>
        <v>GEMÜ</v>
      </c>
      <c r="BT19" s="84" t="str">
        <f>VLOOKUP(AN19,'PGD09'!A:E,1,0)</f>
        <v>Superior</v>
      </c>
      <c r="BU19" s="53" t="str">
        <f>VLOOKUP(AO19,'PGD09'!C:E,1,0)</f>
        <v>Dreno BV alimentação água quente</v>
      </c>
      <c r="BV19" s="53" t="str">
        <f>VLOOKUP(AO19,'PGD09'!C:E,3,0)</f>
        <v>DN-40</v>
      </c>
      <c r="BW19" s="56" t="str">
        <f>VLOOKUP(AO19,'PGD09'!C:G,5,0)</f>
        <v>GEMÜ</v>
      </c>
      <c r="BX19" s="84" t="str">
        <f>VLOOKUP(AN19,'PGD10'!A:E,1,0)</f>
        <v>Superior</v>
      </c>
      <c r="BY19" s="53" t="str">
        <f>VLOOKUP(AO19,'PGD10'!C:E,1,0)</f>
        <v>Dreno BV alimentação água quente</v>
      </c>
      <c r="BZ19" s="53" t="str">
        <f>VLOOKUP(AO19,'PGD10'!C:E,3,0)</f>
        <v>DN-40</v>
      </c>
      <c r="CA19" s="56" t="str">
        <f>VLOOKUP(AO19,'PGD10'!C:G,5,0)</f>
        <v>GEMÜ</v>
      </c>
      <c r="CB19" s="84" t="str">
        <f>VLOOKUP(AN19,'PGD11'!A:E,1,0)</f>
        <v>Superior</v>
      </c>
      <c r="CC19" s="53" t="str">
        <f>VLOOKUP(AO19,'PGD11'!C:E,1,0)</f>
        <v>Dreno BV alimentação água quente</v>
      </c>
      <c r="CD19" s="53" t="str">
        <f>VLOOKUP(AO19,'PGD11'!C:E,3,0)</f>
        <v>DN-40</v>
      </c>
      <c r="CE19" s="56" t="str">
        <f>VLOOKUP(AO19,'PGD11'!C:G,5,0)</f>
        <v>GEMÜ</v>
      </c>
      <c r="CF19" s="84" t="str">
        <f>VLOOKUP(AN19,'PGD12'!A:E,1,0)</f>
        <v>Superior</v>
      </c>
      <c r="CG19" s="53" t="str">
        <f>VLOOKUP(AO19,'PGD12'!C:E,1,0)</f>
        <v>Dreno BV alimentação água quente</v>
      </c>
      <c r="CH19" s="53" t="str">
        <f>VLOOKUP(AO19,'PGD12'!C:E,3,0)</f>
        <v>DN-40</v>
      </c>
      <c r="CI19" s="53" t="str">
        <f>VLOOKUP(AO19,'PGD12'!C:G,5,0)</f>
        <v>GEMÜ</v>
      </c>
      <c r="CJ19" s="56">
        <f t="shared" si="0"/>
        <v>11</v>
      </c>
      <c r="CL19" s="52" t="s">
        <v>105</v>
      </c>
      <c r="CM19" s="16" t="s">
        <v>48</v>
      </c>
      <c r="CN19" s="81" t="s">
        <v>6</v>
      </c>
      <c r="CO19" s="65" t="str">
        <f>VLOOKUP(CL19,'BLD03'!C:E,1,0)</f>
        <v xml:space="preserve">Válvula de bloqueio vapor linha de ar pré filtro absoluto </v>
      </c>
      <c r="CP19" s="53" t="str">
        <f>VLOOKUP(CL19,'BLD03'!C:E,3,0)</f>
        <v>DN-8</v>
      </c>
      <c r="CQ19" s="53" t="str">
        <f>VLOOKUP(CL19,'BLD02'!C:G,5,0)</f>
        <v>ZDL</v>
      </c>
      <c r="CR19" s="56">
        <f t="shared" si="2"/>
        <v>2</v>
      </c>
    </row>
    <row r="20" spans="2:96" x14ac:dyDescent="0.25">
      <c r="B20" s="62" t="s">
        <v>103</v>
      </c>
      <c r="C20" s="14" t="s">
        <v>80</v>
      </c>
      <c r="D20" s="68" t="s">
        <v>5</v>
      </c>
      <c r="E20" s="83" t="str">
        <f>VLOOKUP(B20,'FTD02'!C:E,1,0)</f>
        <v>Dreno BV alimentação água quente</v>
      </c>
      <c r="F20" s="84" t="str">
        <f>VLOOKUP(B20,'FTD02'!C:E,3,0)</f>
        <v>DN-50</v>
      </c>
      <c r="G20" s="82" t="str">
        <f>VLOOKUP(B20,'FTD02'!C:G,5,0)</f>
        <v>GEMÜ</v>
      </c>
      <c r="H20" s="83" t="str">
        <f>VLOOKUP(B20,'FTD03'!C:E,1,0)</f>
        <v>Dreno BV alimentação água quente</v>
      </c>
      <c r="I20" s="84" t="str">
        <f>VLOOKUP(B20,'FTD03'!C:E,3,0)</f>
        <v>DN-50</v>
      </c>
      <c r="J20" s="82" t="str">
        <f>VLOOKUP(B20,'FTD03'!C:G,5,0)</f>
        <v>GEMÜ</v>
      </c>
      <c r="K20" s="83" t="str">
        <f>VLOOKUP(B20,'FTD04'!C:E,1,0)</f>
        <v>Dreno BV alimentação água quente</v>
      </c>
      <c r="L20" s="84" t="str">
        <f>VLOOKUP(B20,'FTD04'!C:E,3,0)</f>
        <v>DN-50</v>
      </c>
      <c r="M20" s="82" t="str">
        <f>VLOOKUP(B20,'FTD04'!C:G,5,0)</f>
        <v>GEMÜ</v>
      </c>
      <c r="N20" s="83" t="str">
        <f>VLOOKUP(B20,'FTD05'!C:E,1,0)</f>
        <v>Dreno BV alimentação água quente</v>
      </c>
      <c r="O20" s="84" t="str">
        <f>VLOOKUP(B20,'FTD05'!C:E,3,0)</f>
        <v>DN-50</v>
      </c>
      <c r="P20" s="82" t="str">
        <f>VLOOKUP(B20,'FTD05'!C:G,5,0)</f>
        <v>GEMÜ</v>
      </c>
      <c r="Q20" s="85" t="str">
        <f>VLOOKUP(B20,'FTD06'!C:E,1,0)</f>
        <v>Dreno BV alimentação água quente</v>
      </c>
      <c r="R20" s="84" t="str">
        <f>VLOOKUP(B20,'FTD06'!C:E,3,0)</f>
        <v>DN-50</v>
      </c>
      <c r="S20" s="86" t="str">
        <f>VLOOKUP(B20,'FTD06'!C:G,5,0)</f>
        <v>GEMÜ</v>
      </c>
      <c r="T20" s="83" t="str">
        <f>VLOOKUP(B20,'FTD07'!C:E,1,0)</f>
        <v>Dreno BV alimentação água quente</v>
      </c>
      <c r="U20" s="84" t="str">
        <f>VLOOKUP(B20,'FTD07'!C:E,3,0)</f>
        <v>DN-50</v>
      </c>
      <c r="V20" s="82" t="str">
        <f>VLOOKUP(B20,'FTD07'!C:G,5,0)</f>
        <v>GEMÜ</v>
      </c>
      <c r="W20" s="85" t="str">
        <f>VLOOKUP(B20,'FTD08'!C:E,1,0)</f>
        <v>Dreno BV alimentação água quente</v>
      </c>
      <c r="X20" s="84" t="str">
        <f>VLOOKUP(B20,'FTD08'!C:E,3,0)</f>
        <v>DN-50</v>
      </c>
      <c r="Y20" s="86" t="str">
        <f>VLOOKUP(B20,'FTD08'!C:G,5,0)</f>
        <v>GEMÜ</v>
      </c>
      <c r="Z20" s="83" t="str">
        <f>VLOOKUP(B20,'FTD09'!C:E,1,0)</f>
        <v>Dreno BV alimentação água quente</v>
      </c>
      <c r="AA20" s="116" t="str">
        <f>VLOOKUP(B20,'FTD09'!C:E,3,0)</f>
        <v>DN-40</v>
      </c>
      <c r="AB20" s="82" t="str">
        <f>VLOOKUP(B20,'FTD09'!C:G,5,0)</f>
        <v>GEMÜ</v>
      </c>
      <c r="AC20" s="85" t="str">
        <f>VLOOKUP(B20,'FTD10'!C:E,1,0)</f>
        <v>Dreno BV alimentação água quente</v>
      </c>
      <c r="AD20" s="84" t="str">
        <f>VLOOKUP(B20,'FTD10'!C:E,3,0)</f>
        <v>DN-50</v>
      </c>
      <c r="AE20" s="86" t="str">
        <f>VLOOKUP(B20,'FTD10'!C:G,5,0)</f>
        <v>GEMÜ</v>
      </c>
      <c r="AF20" s="83" t="str">
        <f>VLOOKUP(B20,'FTD11'!C:E,1,0)</f>
        <v>Dreno BV alimentação água quente</v>
      </c>
      <c r="AG20" s="84" t="str">
        <f>VLOOKUP(B20,'FTD11'!C:E,3,0)</f>
        <v>DN-50</v>
      </c>
      <c r="AH20" s="82" t="str">
        <f>VLOOKUP(B20,'FTD11'!C:G,5,0)</f>
        <v>GEMÜ</v>
      </c>
      <c r="AI20" s="85" t="str">
        <f>VLOOKUP(B20,'FTD12'!C:E,1,0)</f>
        <v>Dreno BV alimentação água quente</v>
      </c>
      <c r="AJ20" s="84" t="str">
        <f>VLOOKUP(B20,'FTD12'!C:E,3,0)</f>
        <v>DN-50</v>
      </c>
      <c r="AK20" s="84" t="str">
        <f>VLOOKUP(B20,'FTD12'!C:G,5,0)</f>
        <v>GEMÜ</v>
      </c>
      <c r="AL20" s="82">
        <f t="shared" si="1"/>
        <v>10</v>
      </c>
      <c r="AN20" s="62" t="s">
        <v>68</v>
      </c>
      <c r="AO20" s="14" t="s">
        <v>106</v>
      </c>
      <c r="AP20" s="14" t="s">
        <v>86</v>
      </c>
      <c r="AQ20" s="68" t="s">
        <v>107</v>
      </c>
      <c r="AR20" s="84" t="str">
        <f>VLOOKUP(AN20,'PGD02'!A:E,1,0)</f>
        <v>Superior</v>
      </c>
      <c r="AS20" s="84" t="str">
        <f>VLOOKUP(AO20,'PGD02'!C:E,1,0)</f>
        <v>Dreno BV alimentação sais</v>
      </c>
      <c r="AT20" s="84" t="str">
        <f>VLOOKUP(AO20,'PGD02'!C:E,3,0)</f>
        <v>DN-25</v>
      </c>
      <c r="AU20" s="82" t="str">
        <f>VLOOKUP(AO20,'PGD02'!C:G,5,0)</f>
        <v>GEMÜ</v>
      </c>
      <c r="AV20" s="84" t="str">
        <f>VLOOKUP(AN20,'PGD03'!A:E,1,0)</f>
        <v>Superior</v>
      </c>
      <c r="AW20" s="84" t="str">
        <f>VLOOKUP(AO20,'PGD03'!C:E,1,0)</f>
        <v>Dreno BV alimentação sais</v>
      </c>
      <c r="AX20" s="84" t="str">
        <f>VLOOKUP(AO20,'PGD03'!C:E,3,0)</f>
        <v>DN-25</v>
      </c>
      <c r="AY20" s="82" t="str">
        <f>VLOOKUP(AO20,'PGD03'!C:G,5,0)</f>
        <v>GEMÜ</v>
      </c>
      <c r="AZ20" s="84" t="str">
        <f>VLOOKUP(AN20,'PGD04'!A:E,1,0)</f>
        <v>Superior</v>
      </c>
      <c r="BA20" s="84" t="str">
        <f>VLOOKUP(AO20,'PGD03'!C:E,1,0)</f>
        <v>Dreno BV alimentação sais</v>
      </c>
      <c r="BB20" s="84" t="str">
        <f>VLOOKUP(AO20,'PGD04'!C:E,3,0)</f>
        <v>DN-25</v>
      </c>
      <c r="BC20" s="82" t="str">
        <f>VLOOKUP(AO20,'PGD04'!C:G,5,0)</f>
        <v>GEMÜ</v>
      </c>
      <c r="BD20" s="84" t="str">
        <f>VLOOKUP(AN20,'PGD05'!A:E,1,0)</f>
        <v>Superior</v>
      </c>
      <c r="BE20" s="84" t="str">
        <f>VLOOKUP(AO20,'PGD05'!C:E,1,0)</f>
        <v>Dreno BV alimentação sais</v>
      </c>
      <c r="BF20" s="84" t="str">
        <f>VLOOKUP(AO20,'PGD05'!C:E,3,0)</f>
        <v>DN-25</v>
      </c>
      <c r="BG20" s="82" t="str">
        <f>VLOOKUP(AO20,'PGD05'!C:G,5,0)</f>
        <v>GEMÜ</v>
      </c>
      <c r="BH20" s="84" t="str">
        <f>VLOOKUP(AN20,'PGD06'!A:E,1,0)</f>
        <v>Superior</v>
      </c>
      <c r="BI20" s="84" t="str">
        <f>VLOOKUP(AO20,'PGD06'!C:E,1,0)</f>
        <v>Dreno BV alimentação sais</v>
      </c>
      <c r="BJ20" s="84" t="str">
        <f>VLOOKUP(AO20,'PGD06'!C:E,3,0)</f>
        <v>DN-25</v>
      </c>
      <c r="BK20" s="82" t="str">
        <f>VLOOKUP(AO20,'PGD06'!C:G,5,0)</f>
        <v>GEMÜ</v>
      </c>
      <c r="BL20" s="84" t="str">
        <f>VLOOKUP(AN20,'PGD07'!A:E,1,0)</f>
        <v>Superior</v>
      </c>
      <c r="BM20" s="84" t="str">
        <f>VLOOKUP(AO20,'PGD07'!C:E,1,0)</f>
        <v>Dreno BV alimentação sais</v>
      </c>
      <c r="BN20" s="84" t="str">
        <f>VLOOKUP(AO20,'PGD07'!C:E,3,0)</f>
        <v>DN-25</v>
      </c>
      <c r="BO20" s="82" t="str">
        <f>VLOOKUP(AO20,'PGD07'!C:G,5,0)</f>
        <v>GEMÜ</v>
      </c>
      <c r="BP20" s="84" t="str">
        <f>VLOOKUP(AN20,'PGD08'!A:E,1,0)</f>
        <v>Superior</v>
      </c>
      <c r="BQ20" s="84" t="str">
        <f>VLOOKUP(AO20,'PGD08'!C:E,1,0)</f>
        <v>Dreno BV alimentação sais</v>
      </c>
      <c r="BR20" s="84" t="str">
        <f>VLOOKUP(AO20,'PGD08'!C:E,3,0)</f>
        <v>DN-25</v>
      </c>
      <c r="BS20" s="82" t="str">
        <f>VLOOKUP(AO20,'PGD08'!C:G,5,0)</f>
        <v>GEMÜ</v>
      </c>
      <c r="BT20" s="84" t="str">
        <f>VLOOKUP(AN20,'PGD09'!A:E,1,0)</f>
        <v>Superior</v>
      </c>
      <c r="BU20" s="84" t="str">
        <f>VLOOKUP(AO20,'PGD09'!C:E,1,0)</f>
        <v>Dreno BV alimentação sais</v>
      </c>
      <c r="BV20" s="84" t="str">
        <f>VLOOKUP(AO20,'PGD09'!C:E,3,0)</f>
        <v>DN-25</v>
      </c>
      <c r="BW20" s="82" t="str">
        <f>VLOOKUP(AO20,'PGD09'!C:G,5,0)</f>
        <v>GEMÜ</v>
      </c>
      <c r="BX20" s="84" t="str">
        <f>VLOOKUP(AN20,'PGD10'!A:E,1,0)</f>
        <v>Superior</v>
      </c>
      <c r="BY20" s="84" t="str">
        <f>VLOOKUP(AO20,'PGD10'!C:E,1,0)</f>
        <v>Dreno BV alimentação sais</v>
      </c>
      <c r="BZ20" s="84" t="str">
        <f>VLOOKUP(AO20,'PGD10'!C:E,3,0)</f>
        <v>DN-25</v>
      </c>
      <c r="CA20" s="82" t="str">
        <f>VLOOKUP(AO20,'PGD10'!C:G,5,0)</f>
        <v>GEMÜ</v>
      </c>
      <c r="CB20" s="84" t="str">
        <f>VLOOKUP(AN20,'PGD11'!A:E,1,0)</f>
        <v>Superior</v>
      </c>
      <c r="CC20" s="84" t="str">
        <f>VLOOKUP(AO20,'PGD11'!C:E,1,0)</f>
        <v>Dreno BV alimentação sais</v>
      </c>
      <c r="CD20" s="84" t="str">
        <f>VLOOKUP(AO20,'PGD11'!C:E,3,0)</f>
        <v>DN-25</v>
      </c>
      <c r="CE20" s="82" t="str">
        <f>VLOOKUP(AO20,'PGD11'!C:G,5,0)</f>
        <v>GEMÜ</v>
      </c>
      <c r="CF20" s="84" t="str">
        <f>VLOOKUP(AN20,'PGD12'!A:E,1,0)</f>
        <v>Superior</v>
      </c>
      <c r="CG20" s="84" t="str">
        <f>VLOOKUP(AO20,'PGD12'!C:E,1,0)</f>
        <v>Dreno BV alimentação sais</v>
      </c>
      <c r="CH20" s="84" t="str">
        <f>VLOOKUP(AO20,'PGD12'!C:E,3,0)</f>
        <v>DN-25</v>
      </c>
      <c r="CI20" s="84" t="str">
        <f>VLOOKUP(AO20,'PGD12'!C:G,5,0)</f>
        <v>GEMÜ</v>
      </c>
      <c r="CJ20" s="82">
        <f t="shared" si="0"/>
        <v>11</v>
      </c>
      <c r="CL20" s="51" t="s">
        <v>108</v>
      </c>
      <c r="CM20" s="6" t="s">
        <v>86</v>
      </c>
      <c r="CN20" s="80" t="s">
        <v>6</v>
      </c>
      <c r="CO20" s="85" t="str">
        <f>VLOOKUP(CL20,'BLD03'!C:E,1,0)</f>
        <v xml:space="preserve">Válvula linha de ar após filtro absoluto </v>
      </c>
      <c r="CP20" s="84" t="str">
        <f>VLOOKUP(CL20,'BLD03'!C:E,3,0)</f>
        <v>DN-25</v>
      </c>
      <c r="CQ20" s="84" t="str">
        <f>VLOOKUP(CL20,'BLD02'!C:G,5,0)</f>
        <v>GEMÜ</v>
      </c>
      <c r="CR20" s="82">
        <f t="shared" si="2"/>
        <v>2</v>
      </c>
    </row>
    <row r="21" spans="2:96" x14ac:dyDescent="0.25">
      <c r="B21" s="64" t="s">
        <v>106</v>
      </c>
      <c r="C21" s="7" t="s">
        <v>51</v>
      </c>
      <c r="D21" s="69" t="s">
        <v>5</v>
      </c>
      <c r="E21" s="57" t="str">
        <f>VLOOKUP(B21,'FTD02'!C:E,1,0)</f>
        <v>Dreno BV alimentação sais</v>
      </c>
      <c r="F21" s="53" t="str">
        <f>VLOOKUP(B21,'FTD02'!C:E,3,0)</f>
        <v>DN-40</v>
      </c>
      <c r="G21" s="56" t="str">
        <f>VLOOKUP(B21,'FTD02'!C:G,5,0)</f>
        <v>GEMÜ</v>
      </c>
      <c r="H21" s="57" t="str">
        <f>VLOOKUP(B21,'FTD03'!C:E,1,0)</f>
        <v>Dreno BV alimentação sais</v>
      </c>
      <c r="I21" s="53" t="str">
        <f>VLOOKUP(B21,'FTD03'!C:E,3,0)</f>
        <v>DN-40</v>
      </c>
      <c r="J21" s="56" t="str">
        <f>VLOOKUP(B21,'FTD03'!C:G,5,0)</f>
        <v>GEMÜ</v>
      </c>
      <c r="K21" s="57" t="str">
        <f>VLOOKUP(B21,'FTD04'!C:E,1,0)</f>
        <v>Dreno BV alimentação sais</v>
      </c>
      <c r="L21" s="53" t="str">
        <f>VLOOKUP(B21,'FTD04'!C:E,3,0)</f>
        <v>DN-40</v>
      </c>
      <c r="M21" s="56" t="str">
        <f>VLOOKUP(B21,'FTD04'!C:G,5,0)</f>
        <v>GEMÜ</v>
      </c>
      <c r="N21" s="57" t="str">
        <f>VLOOKUP(B21,'FTD05'!C:E,1,0)</f>
        <v>Dreno BV alimentação sais</v>
      </c>
      <c r="O21" s="53" t="str">
        <f>VLOOKUP(B21,'FTD05'!C:E,3,0)</f>
        <v>DN-40</v>
      </c>
      <c r="P21" s="56" t="str">
        <f>VLOOKUP(B21,'FTD05'!C:G,5,0)</f>
        <v>GEMÜ</v>
      </c>
      <c r="Q21" s="65" t="str">
        <f>VLOOKUP(B21,'FTD06'!C:E,1,0)</f>
        <v>Dreno BV alimentação sais</v>
      </c>
      <c r="R21" s="53" t="str">
        <f>VLOOKUP(B21,'FTD06'!C:E,3,0)</f>
        <v>DN-40</v>
      </c>
      <c r="S21" s="74" t="str">
        <f>VLOOKUP(B21,'FTD06'!C:G,5,0)</f>
        <v>GEMÜ</v>
      </c>
      <c r="T21" s="57" t="str">
        <f>VLOOKUP(B21,'FTD07'!C:E,1,0)</f>
        <v>Dreno BV alimentação sais</v>
      </c>
      <c r="U21" s="53" t="str">
        <f>VLOOKUP(B21,'FTD07'!C:E,3,0)</f>
        <v>DN-40</v>
      </c>
      <c r="V21" s="56" t="str">
        <f>VLOOKUP(B21,'FTD07'!C:G,5,0)</f>
        <v>GEMÜ</v>
      </c>
      <c r="W21" s="65" t="str">
        <f>VLOOKUP(B21,'FTD08'!C:E,1,0)</f>
        <v>Dreno BV alimentação sais</v>
      </c>
      <c r="X21" s="53" t="str">
        <f>VLOOKUP(B21,'FTD08'!C:E,3,0)</f>
        <v>DN-40</v>
      </c>
      <c r="Y21" s="74" t="str">
        <f>VLOOKUP(B21,'FTD08'!C:G,5,0)</f>
        <v>GEMÜ</v>
      </c>
      <c r="Z21" s="57" t="str">
        <f>VLOOKUP(B21,'FTD09'!C:E,1,0)</f>
        <v>Dreno BV alimentação sais</v>
      </c>
      <c r="AA21" s="53" t="str">
        <f>VLOOKUP(B21,'FTD09'!C:E,3,0)</f>
        <v>DN-40</v>
      </c>
      <c r="AB21" s="56" t="str">
        <f>VLOOKUP(B21,'FTD09'!C:G,5,0)</f>
        <v>GEMÜ</v>
      </c>
      <c r="AC21" s="65" t="str">
        <f>VLOOKUP(B21,'FTD10'!C:E,1,0)</f>
        <v>Dreno BV alimentação sais</v>
      </c>
      <c r="AD21" s="53" t="str">
        <f>VLOOKUP(B21,'FTD10'!C:E,3,0)</f>
        <v>DN-40</v>
      </c>
      <c r="AE21" s="74" t="str">
        <f>VLOOKUP(B21,'FTD10'!C:G,5,0)</f>
        <v>GEMÜ</v>
      </c>
      <c r="AF21" s="57" t="str">
        <f>VLOOKUP(B21,'FTD11'!C:E,1,0)</f>
        <v>Dreno BV alimentação sais</v>
      </c>
      <c r="AG21" s="53" t="str">
        <f>VLOOKUP(B21,'FTD11'!C:E,3,0)</f>
        <v>DN-40</v>
      </c>
      <c r="AH21" s="56" t="str">
        <f>VLOOKUP(B21,'FTD11'!C:G,5,0)</f>
        <v>GEMÜ</v>
      </c>
      <c r="AI21" s="65" t="str">
        <f>VLOOKUP(B21,'FTD12'!C:E,1,0)</f>
        <v>Dreno BV alimentação sais</v>
      </c>
      <c r="AJ21" s="53" t="str">
        <f>VLOOKUP(B21,'FTD12'!C:E,3,0)</f>
        <v>DN-40</v>
      </c>
      <c r="AK21" s="53" t="str">
        <f>VLOOKUP(B21,'FTD12'!C:G,5,0)</f>
        <v>GEMÜ</v>
      </c>
      <c r="AL21" s="56">
        <f t="shared" si="1"/>
        <v>11</v>
      </c>
      <c r="AN21" s="112" t="s">
        <v>68</v>
      </c>
      <c r="AO21" s="108" t="s">
        <v>109</v>
      </c>
      <c r="AP21" s="108" t="s">
        <v>48</v>
      </c>
      <c r="AQ21" s="114" t="s">
        <v>57</v>
      </c>
      <c r="AR21" s="84" t="str">
        <f>VLOOKUP(AN21,'PGD02'!A:E,1,0)</f>
        <v>Superior</v>
      </c>
      <c r="AS21" s="53" t="str">
        <f>VLOOKUP(AO21,'PGD02'!C:E,1,0)</f>
        <v xml:space="preserve">Dreno de vapor da linha de ar pré filtro absoluto </v>
      </c>
      <c r="AT21" s="53" t="str">
        <f>VLOOKUP(AO21,'PGD02'!C:E,3,0)</f>
        <v>DN-8</v>
      </c>
      <c r="AU21" s="56" t="str">
        <f>VLOOKUP(AO21,'PGD02'!C:G,5,0)</f>
        <v>GEMÜ</v>
      </c>
      <c r="AV21" s="84" t="str">
        <f>VLOOKUP(AN21,'PGD03'!A:E,1,0)</f>
        <v>Superior</v>
      </c>
      <c r="AW21" s="53" t="str">
        <f>VLOOKUP(AO21,'PGD03'!C:E,1,0)</f>
        <v xml:space="preserve">Dreno de vapor da linha de ar pré filtro absoluto </v>
      </c>
      <c r="AX21" s="53" t="str">
        <f>VLOOKUP(AO21,'PGD03'!C:E,3,0)</f>
        <v>DN-8</v>
      </c>
      <c r="AY21" s="56" t="str">
        <f>VLOOKUP(AO21,'PGD03'!C:G,5,0)</f>
        <v>GEMÜ</v>
      </c>
      <c r="AZ21" s="84" t="str">
        <f>VLOOKUP(AN21,'PGD04'!A:E,1,0)</f>
        <v>Superior</v>
      </c>
      <c r="BA21" s="53" t="str">
        <f>VLOOKUP(AO21,'PGD03'!C:E,1,0)</f>
        <v xml:space="preserve">Dreno de vapor da linha de ar pré filtro absoluto </v>
      </c>
      <c r="BB21" s="53" t="str">
        <f>VLOOKUP(AO21,'PGD04'!C:E,3,0)</f>
        <v>DN-8</v>
      </c>
      <c r="BC21" s="56" t="str">
        <f>VLOOKUP(AO21,'PGD04'!C:G,5,0)</f>
        <v>GEMÜ</v>
      </c>
      <c r="BD21" s="84" t="str">
        <f>VLOOKUP(AN21,'PGD05'!A:E,1,0)</f>
        <v>Superior</v>
      </c>
      <c r="BE21" s="53" t="str">
        <f>VLOOKUP(AO21,'PGD05'!C:E,1,0)</f>
        <v xml:space="preserve">Dreno de vapor da linha de ar pré filtro absoluto </v>
      </c>
      <c r="BF21" s="53" t="str">
        <f>VLOOKUP(AO21,'PGD05'!C:E,3,0)</f>
        <v>DN-8</v>
      </c>
      <c r="BG21" s="56" t="str">
        <f>VLOOKUP(AO21,'PGD05'!C:G,5,0)</f>
        <v>GEMÜ</v>
      </c>
      <c r="BH21" s="84" t="str">
        <f>VLOOKUP(AN21,'PGD06'!A:E,1,0)</f>
        <v>Superior</v>
      </c>
      <c r="BI21" s="53" t="str">
        <f>VLOOKUP(AO21,'PGD06'!C:E,1,0)</f>
        <v xml:space="preserve">Dreno de vapor da linha de ar pré filtro absoluto </v>
      </c>
      <c r="BJ21" s="53" t="str">
        <f>VLOOKUP(AO21,'PGD06'!C:E,3,0)</f>
        <v>DN-8</v>
      </c>
      <c r="BK21" s="56" t="str">
        <f>VLOOKUP(AO21,'PGD06'!C:G,5,0)</f>
        <v>GEMÜ</v>
      </c>
      <c r="BL21" s="84" t="str">
        <f>VLOOKUP(AN21,'PGD07'!A:E,1,0)</f>
        <v>Superior</v>
      </c>
      <c r="BM21" s="53" t="str">
        <f>VLOOKUP(AO21,'PGD07'!C:E,1,0)</f>
        <v xml:space="preserve">Dreno de vapor da linha de ar pré filtro absoluto </v>
      </c>
      <c r="BN21" s="53" t="str">
        <f>VLOOKUP(AO21,'PGD07'!C:E,3,0)</f>
        <v>DN-8</v>
      </c>
      <c r="BO21" s="56" t="str">
        <f>VLOOKUP(AO21,'PGD07'!C:G,5,0)</f>
        <v>GEMÜ</v>
      </c>
      <c r="BP21" s="84" t="str">
        <f>VLOOKUP(AN21,'PGD08'!A:E,1,0)</f>
        <v>Superior</v>
      </c>
      <c r="BQ21" s="53" t="str">
        <f>VLOOKUP(AO21,'PGD08'!C:E,1,0)</f>
        <v xml:space="preserve">Dreno de vapor da linha de ar pré filtro absoluto </v>
      </c>
      <c r="BR21" s="53" t="str">
        <f>VLOOKUP(AO21,'PGD08'!C:E,3,0)</f>
        <v>DN-8</v>
      </c>
      <c r="BS21" s="56" t="str">
        <f>VLOOKUP(AO21,'PGD08'!C:G,5,0)</f>
        <v>GEMÜ</v>
      </c>
      <c r="BT21" s="84" t="str">
        <f>VLOOKUP(AN21,'PGD09'!A:E,1,0)</f>
        <v>Superior</v>
      </c>
      <c r="BU21" s="53" t="str">
        <f>VLOOKUP(AO21,'PGD09'!C:E,1,0)</f>
        <v xml:space="preserve">Dreno de vapor da linha de ar pré filtro absoluto </v>
      </c>
      <c r="BV21" s="53" t="str">
        <f>VLOOKUP(AO21,'PGD09'!C:E,3,0)</f>
        <v>DN-8</v>
      </c>
      <c r="BW21" s="56" t="str">
        <f>VLOOKUP(AO21,'PGD09'!C:G,5,0)</f>
        <v>GEMÜ</v>
      </c>
      <c r="BX21" s="84" t="str">
        <f>VLOOKUP(AN21,'PGD10'!A:E,1,0)</f>
        <v>Superior</v>
      </c>
      <c r="BY21" s="53" t="str">
        <f>VLOOKUP(AO21,'PGD10'!C:E,1,0)</f>
        <v xml:space="preserve">Dreno de vapor da linha de ar pré filtro absoluto </v>
      </c>
      <c r="BZ21" s="53" t="str">
        <f>VLOOKUP(AO21,'PGD10'!C:E,3,0)</f>
        <v>DN-8</v>
      </c>
      <c r="CA21" s="56" t="str">
        <f>VLOOKUP(AO21,'PGD10'!C:G,5,0)</f>
        <v>GEMÜ</v>
      </c>
      <c r="CB21" s="84" t="str">
        <f>VLOOKUP(AN21,'PGD11'!A:E,1,0)</f>
        <v>Superior</v>
      </c>
      <c r="CC21" s="53" t="str">
        <f>VLOOKUP(AO21,'PGD11'!C:E,1,0)</f>
        <v xml:space="preserve">Dreno de vapor da linha de ar pré filtro absoluto </v>
      </c>
      <c r="CD21" s="53" t="str">
        <f>VLOOKUP(AO21,'PGD11'!C:E,3,0)</f>
        <v>DN-8</v>
      </c>
      <c r="CE21" s="56" t="str">
        <f>VLOOKUP(AO21,'PGD11'!C:G,5,0)</f>
        <v>GEMÜ</v>
      </c>
      <c r="CF21" s="84" t="str">
        <f>VLOOKUP(AN21,'PGD12'!A:E,1,0)</f>
        <v>Superior</v>
      </c>
      <c r="CG21" s="53" t="str">
        <f>VLOOKUP(AO21,'PGD12'!C:E,1,0)</f>
        <v xml:space="preserve">Dreno de vapor da linha de ar pré filtro absoluto </v>
      </c>
      <c r="CH21" s="53" t="str">
        <f>VLOOKUP(AO21,'PGD12'!C:E,3,0)</f>
        <v>DN-8</v>
      </c>
      <c r="CI21" s="53" t="str">
        <f>VLOOKUP(AO21,'PGD12'!C:G,5,0)</f>
        <v>GEMÜ</v>
      </c>
      <c r="CJ21" s="56">
        <f t="shared" si="0"/>
        <v>11</v>
      </c>
      <c r="CL21" s="52" t="s">
        <v>110</v>
      </c>
      <c r="CM21" s="16" t="s">
        <v>86</v>
      </c>
      <c r="CN21" s="81" t="s">
        <v>5</v>
      </c>
      <c r="CO21" s="65" t="str">
        <f>VLOOKUP(CL21,'BLD03'!C:E,1,0)</f>
        <v xml:space="preserve">Válvula linha de ar antes do filtro absoluto </v>
      </c>
      <c r="CP21" s="53" t="str">
        <f>VLOOKUP(CL21,'BLD03'!C:E,3,0)</f>
        <v>DN-25</v>
      </c>
      <c r="CQ21" s="53" t="str">
        <f>VLOOKUP(CL21,'BLD02'!C:G,5,0)</f>
        <v>GEMÜ</v>
      </c>
      <c r="CR21" s="56">
        <f t="shared" si="2"/>
        <v>2</v>
      </c>
    </row>
    <row r="22" spans="2:96" x14ac:dyDescent="0.25">
      <c r="B22" s="62" t="s">
        <v>111</v>
      </c>
      <c r="C22" s="14" t="s">
        <v>48</v>
      </c>
      <c r="D22" s="68" t="s">
        <v>5</v>
      </c>
      <c r="E22" s="83" t="str">
        <f>VLOOKUP(B22,'FTD02'!C:E,1,0)</f>
        <v xml:space="preserve">Dreno da linha de vapor pré filtro absoluto </v>
      </c>
      <c r="F22" s="84" t="str">
        <f>VLOOKUP(B22,'FTD02'!C:E,3,0)</f>
        <v>DN-8</v>
      </c>
      <c r="G22" s="82" t="str">
        <f>VLOOKUP(B22,'FTD02'!C:G,5,0)</f>
        <v>GEMÜ</v>
      </c>
      <c r="H22" s="83" t="str">
        <f>VLOOKUP(B22,'FTD03'!C:E,1,0)</f>
        <v xml:space="preserve">Dreno da linha de vapor pré filtro absoluto </v>
      </c>
      <c r="I22" s="84" t="str">
        <f>VLOOKUP(B22,'FTD03'!C:E,3,0)</f>
        <v>DN-8</v>
      </c>
      <c r="J22" s="82" t="str">
        <f>VLOOKUP(B22,'FTD03'!C:G,5,0)</f>
        <v>GEMÜ</v>
      </c>
      <c r="K22" s="83" t="str">
        <f>VLOOKUP(B22,'FTD04'!C:E,1,0)</f>
        <v xml:space="preserve">Dreno da linha de vapor pré filtro absoluto </v>
      </c>
      <c r="L22" s="84" t="str">
        <f>VLOOKUP(B22,'FTD04'!C:E,3,0)</f>
        <v>DN-8</v>
      </c>
      <c r="M22" s="82" t="str">
        <f>VLOOKUP(B22,'FTD04'!C:G,5,0)</f>
        <v>ZDL</v>
      </c>
      <c r="N22" s="83" t="str">
        <f>VLOOKUP(B22,'FTD05'!C:E,1,0)</f>
        <v xml:space="preserve">Dreno da linha de vapor pré filtro absoluto </v>
      </c>
      <c r="O22" s="84" t="str">
        <f>VLOOKUP(B22,'FTD05'!C:E,3,0)</f>
        <v>DN-8</v>
      </c>
      <c r="P22" s="82" t="str">
        <f>VLOOKUP(B22,'FTD05'!C:G,5,0)</f>
        <v>ZDL</v>
      </c>
      <c r="Q22" s="85" t="str">
        <f>VLOOKUP(B22,'FTD06'!C:E,1,0)</f>
        <v xml:space="preserve">Dreno da linha de vapor pré filtro absoluto </v>
      </c>
      <c r="R22" s="84" t="str">
        <f>VLOOKUP(B22,'FTD06'!C:E,3,0)</f>
        <v>DN-8</v>
      </c>
      <c r="S22" s="86" t="str">
        <f>VLOOKUP(B22,'FTD06'!C:G,5,0)</f>
        <v>ZDL</v>
      </c>
      <c r="T22" s="83" t="str">
        <f>VLOOKUP(B22,'FTD07'!C:E,1,0)</f>
        <v xml:space="preserve">Dreno da linha de vapor pré filtro absoluto </v>
      </c>
      <c r="U22" s="84" t="str">
        <f>VLOOKUP(B22,'FTD07'!C:E,3,0)</f>
        <v>DN-8</v>
      </c>
      <c r="V22" s="82" t="str">
        <f>VLOOKUP(B22,'FTD07'!C:G,5,0)</f>
        <v>GEMÜ</v>
      </c>
      <c r="W22" s="85" t="str">
        <f>VLOOKUP(B22,'FTD08'!C:E,1,0)</f>
        <v xml:space="preserve">Dreno da linha de vapor pré filtro absoluto </v>
      </c>
      <c r="X22" s="84" t="str">
        <f>VLOOKUP(B22,'FTD08'!C:E,3,0)</f>
        <v>DN-8</v>
      </c>
      <c r="Y22" s="86" t="str">
        <f>VLOOKUP(B22,'FTD08'!C:G,5,0)</f>
        <v>GEMÜ</v>
      </c>
      <c r="Z22" s="83" t="str">
        <f>VLOOKUP(B22,'FTD09'!C:E,1,0)</f>
        <v xml:space="preserve">Dreno da linha de vapor pré filtro absoluto </v>
      </c>
      <c r="AA22" s="84" t="str">
        <f>VLOOKUP(B22,'FTD09'!C:E,3,0)</f>
        <v>DN-8</v>
      </c>
      <c r="AB22" s="82" t="str">
        <f>VLOOKUP(B22,'FTD09'!C:G,5,0)</f>
        <v>ZDL</v>
      </c>
      <c r="AC22" s="85" t="str">
        <f>VLOOKUP(B22,'FTD10'!C:E,1,0)</f>
        <v xml:space="preserve">Dreno da linha de vapor pré filtro absoluto </v>
      </c>
      <c r="AD22" s="84" t="str">
        <f>VLOOKUP(B22,'FTD10'!C:E,3,0)</f>
        <v>DN-8</v>
      </c>
      <c r="AE22" s="86" t="str">
        <f>VLOOKUP(B22,'FTD10'!C:G,5,0)</f>
        <v>GEMÜ</v>
      </c>
      <c r="AF22" s="83" t="str">
        <f>VLOOKUP(B22,'FTD11'!C:E,1,0)</f>
        <v xml:space="preserve">Dreno da linha de vapor pré filtro absoluto </v>
      </c>
      <c r="AG22" s="84" t="str">
        <f>VLOOKUP(B22,'FTD11'!C:E,3,0)</f>
        <v>DN-8</v>
      </c>
      <c r="AH22" s="82" t="str">
        <f>VLOOKUP(B22,'FTD11'!C:G,5,0)</f>
        <v>ZDL</v>
      </c>
      <c r="AI22" s="85" t="str">
        <f>VLOOKUP(B22,'FTD12'!C:E,1,0)</f>
        <v xml:space="preserve">Dreno da linha de vapor pré filtro absoluto </v>
      </c>
      <c r="AJ22" s="84" t="str">
        <f>VLOOKUP(B22,'FTD12'!C:E,3,0)</f>
        <v>DN-8</v>
      </c>
      <c r="AK22" s="84" t="str">
        <f>VLOOKUP(B22,'FTD12'!C:G,5,0)</f>
        <v xml:space="preserve">ZDL </v>
      </c>
      <c r="AL22" s="82">
        <f t="shared" si="1"/>
        <v>11</v>
      </c>
      <c r="AN22" s="113" t="s">
        <v>68</v>
      </c>
      <c r="AO22" s="107" t="s">
        <v>112</v>
      </c>
      <c r="AP22" s="107" t="s">
        <v>48</v>
      </c>
      <c r="AQ22" s="115" t="s">
        <v>57</v>
      </c>
      <c r="AR22" s="84" t="str">
        <f>VLOOKUP(AN22,'PGD02'!A:E,1,0)</f>
        <v>Superior</v>
      </c>
      <c r="AS22" s="84" t="str">
        <f>VLOOKUP(AO22,'PGD02'!C:E,1,0)</f>
        <v xml:space="preserve">Dreno linha de ar após o filtro absoluto </v>
      </c>
      <c r="AT22" s="84" t="str">
        <f>VLOOKUP(AO22,'PGD02'!C:E,3,0)</f>
        <v>DN-8</v>
      </c>
      <c r="AU22" s="82" t="str">
        <f>VLOOKUP(AO22,'PGD02'!C:G,5,0)</f>
        <v>GEMÜ</v>
      </c>
      <c r="AV22" s="84" t="str">
        <f>VLOOKUP(AN22,'PGD03'!A:E,1,0)</f>
        <v>Superior</v>
      </c>
      <c r="AW22" s="84" t="str">
        <f>VLOOKUP(AO22,'PGD03'!C:E,1,0)</f>
        <v xml:space="preserve">Dreno linha de ar após o filtro absoluto </v>
      </c>
      <c r="AX22" s="84" t="str">
        <f>VLOOKUP(AO22,'PGD03'!C:E,3,0)</f>
        <v>DN-8</v>
      </c>
      <c r="AY22" s="82" t="str">
        <f>VLOOKUP(AO22,'PGD03'!C:G,5,0)</f>
        <v>GEMÜ</v>
      </c>
      <c r="AZ22" s="84" t="str">
        <f>VLOOKUP(AN22,'PGD04'!A:E,1,0)</f>
        <v>Superior</v>
      </c>
      <c r="BA22" s="84" t="str">
        <f>VLOOKUP(AO22,'PGD03'!C:E,1,0)</f>
        <v xml:space="preserve">Dreno linha de ar após o filtro absoluto </v>
      </c>
      <c r="BB22" s="84" t="str">
        <f>VLOOKUP(AO22,'PGD04'!C:E,3,0)</f>
        <v>DN-8</v>
      </c>
      <c r="BC22" s="82" t="str">
        <f>VLOOKUP(AO22,'PGD04'!C:G,5,0)</f>
        <v>GEMÜ</v>
      </c>
      <c r="BD22" s="84" t="str">
        <f>VLOOKUP(AN22,'PGD05'!A:E,1,0)</f>
        <v>Superior</v>
      </c>
      <c r="BE22" s="84" t="str">
        <f>VLOOKUP(AO22,'PGD05'!C:E,1,0)</f>
        <v xml:space="preserve">Dreno linha de ar após o filtro absoluto </v>
      </c>
      <c r="BF22" s="84" t="str">
        <f>VLOOKUP(AO22,'PGD05'!C:E,3,0)</f>
        <v>DN-8</v>
      </c>
      <c r="BG22" s="82" t="str">
        <f>VLOOKUP(AO22,'PGD05'!C:G,5,0)</f>
        <v>GEMÜ</v>
      </c>
      <c r="BH22" s="84" t="str">
        <f>VLOOKUP(AN22,'PGD06'!A:E,1,0)</f>
        <v>Superior</v>
      </c>
      <c r="BI22" s="84" t="str">
        <f>VLOOKUP(AO22,'PGD06'!C:E,1,0)</f>
        <v xml:space="preserve">Dreno linha de ar após o filtro absoluto </v>
      </c>
      <c r="BJ22" s="84" t="str">
        <f>VLOOKUP(AO22,'PGD06'!C:E,3,0)</f>
        <v>DN-8</v>
      </c>
      <c r="BK22" s="82" t="str">
        <f>VLOOKUP(AO22,'PGD06'!C:G,5,0)</f>
        <v>GEMÜ</v>
      </c>
      <c r="BL22" s="84" t="str">
        <f>VLOOKUP(AN22,'PGD07'!A:E,1,0)</f>
        <v>Superior</v>
      </c>
      <c r="BM22" s="84" t="str">
        <f>VLOOKUP(AO22,'PGD07'!C:E,1,0)</f>
        <v xml:space="preserve">Dreno linha de ar após o filtro absoluto </v>
      </c>
      <c r="BN22" s="84" t="str">
        <f>VLOOKUP(AO22,'PGD07'!C:E,3,0)</f>
        <v>DN-8</v>
      </c>
      <c r="BO22" s="82" t="str">
        <f>VLOOKUP(AO22,'PGD07'!C:G,5,0)</f>
        <v>GEMÜ</v>
      </c>
      <c r="BP22" s="84" t="str">
        <f>VLOOKUP(AN22,'PGD08'!A:E,1,0)</f>
        <v>Superior</v>
      </c>
      <c r="BQ22" s="84" t="str">
        <f>VLOOKUP(AO22,'PGD08'!C:E,1,0)</f>
        <v xml:space="preserve">Dreno linha de ar após o filtro absoluto </v>
      </c>
      <c r="BR22" s="84" t="str">
        <f>VLOOKUP(AO22,'PGD08'!C:E,3,0)</f>
        <v>DN-8</v>
      </c>
      <c r="BS22" s="82" t="str">
        <f>VLOOKUP(AO22,'PGD08'!C:G,5,0)</f>
        <v>GEMÜ</v>
      </c>
      <c r="BT22" s="84" t="str">
        <f>VLOOKUP(AN22,'PGD09'!A:E,1,0)</f>
        <v>Superior</v>
      </c>
      <c r="BU22" s="84" t="str">
        <f>VLOOKUP(AO22,'PGD09'!C:E,1,0)</f>
        <v xml:space="preserve">Dreno linha de ar após o filtro absoluto </v>
      </c>
      <c r="BV22" s="84" t="str">
        <f>VLOOKUP(AO22,'PGD09'!C:E,3,0)</f>
        <v>DN-8</v>
      </c>
      <c r="BW22" s="82" t="str">
        <f>VLOOKUP(AO22,'PGD09'!C:G,5,0)</f>
        <v>GEMÜ</v>
      </c>
      <c r="BX22" s="84" t="str">
        <f>VLOOKUP(AN22,'PGD10'!A:E,1,0)</f>
        <v>Superior</v>
      </c>
      <c r="BY22" s="84" t="str">
        <f>VLOOKUP(AO22,'PGD10'!C:E,1,0)</f>
        <v xml:space="preserve">Dreno linha de ar após o filtro absoluto </v>
      </c>
      <c r="BZ22" s="84" t="str">
        <f>VLOOKUP(AO22,'PGD10'!C:E,3,0)</f>
        <v>DN-8</v>
      </c>
      <c r="CA22" s="82" t="str">
        <f>VLOOKUP(AO22,'PGD10'!C:G,5,0)</f>
        <v>GEMÜ</v>
      </c>
      <c r="CB22" s="84" t="str">
        <f>VLOOKUP(AN22,'PGD11'!A:E,1,0)</f>
        <v>Superior</v>
      </c>
      <c r="CC22" s="84" t="str">
        <f>VLOOKUP(AO22,'PGD11'!C:E,1,0)</f>
        <v xml:space="preserve">Dreno linha de ar após o filtro absoluto </v>
      </c>
      <c r="CD22" s="84" t="str">
        <f>VLOOKUP(AO22,'PGD11'!C:E,3,0)</f>
        <v>DN-8</v>
      </c>
      <c r="CE22" s="82" t="str">
        <f>VLOOKUP(AO22,'PGD11'!C:G,5,0)</f>
        <v>GEMÜ</v>
      </c>
      <c r="CF22" s="84" t="str">
        <f>VLOOKUP(AN22,'PGD12'!A:E,1,0)</f>
        <v>Superior</v>
      </c>
      <c r="CG22" s="84" t="str">
        <f>VLOOKUP(AO22,'PGD12'!C:E,1,0)</f>
        <v xml:space="preserve">Dreno linha de ar após o filtro absoluto </v>
      </c>
      <c r="CH22" s="84" t="str">
        <f>VLOOKUP(AO22,'PGD12'!C:E,3,0)</f>
        <v>DN-8</v>
      </c>
      <c r="CI22" s="84" t="str">
        <f>VLOOKUP(AO22,'PGD12'!C:G,5,0)</f>
        <v>GEMÜ</v>
      </c>
      <c r="CJ22" s="82">
        <f t="shared" si="0"/>
        <v>11</v>
      </c>
      <c r="CL22" s="51" t="s">
        <v>113</v>
      </c>
      <c r="CM22" s="6" t="s">
        <v>48</v>
      </c>
      <c r="CN22" s="80" t="s">
        <v>6</v>
      </c>
      <c r="CO22" s="85" t="str">
        <f>VLOOKUP(CL22,'BLD03'!C:E,1,0)</f>
        <v xml:space="preserve">Dreno da linha de ar após do filtro absoluto </v>
      </c>
      <c r="CP22" s="84" t="str">
        <f>VLOOKUP(CL22,'BLD03'!C:E,3,0)</f>
        <v>DN-8</v>
      </c>
      <c r="CQ22" s="84" t="str">
        <f>VLOOKUP(CL22,'BLD02'!C:G,5,0)</f>
        <v>ZDL</v>
      </c>
      <c r="CR22" s="82">
        <f t="shared" si="2"/>
        <v>2</v>
      </c>
    </row>
    <row r="23" spans="2:96" x14ac:dyDescent="0.25">
      <c r="B23" s="64" t="s">
        <v>114</v>
      </c>
      <c r="C23" s="7" t="s">
        <v>51</v>
      </c>
      <c r="D23" s="69" t="s">
        <v>5</v>
      </c>
      <c r="E23" s="57" t="str">
        <f>VLOOKUP(B23,'FTD02'!C:E,1,0)</f>
        <v>Dreno de ar gasout</v>
      </c>
      <c r="F23" s="53" t="str">
        <f>VLOOKUP(B23,'FTD02'!C:E,3,0)</f>
        <v>DN-40</v>
      </c>
      <c r="G23" s="56" t="str">
        <f>VLOOKUP(B23,'FTD02'!C:G,5,0)</f>
        <v>GEMÜ</v>
      </c>
      <c r="H23" s="57" t="str">
        <f>VLOOKUP(B23,'FTD03'!C:E,1,0)</f>
        <v>Dreno de ar gasout</v>
      </c>
      <c r="I23" s="53" t="str">
        <f>VLOOKUP(B23,'FTD03'!C:E,3,0)</f>
        <v>DN-40</v>
      </c>
      <c r="J23" s="56" t="str">
        <f>VLOOKUP(B23,'FTD03'!C:G,5,0)</f>
        <v>GEMÜ</v>
      </c>
      <c r="K23" s="57" t="str">
        <f>VLOOKUP(B23,'FTD04'!C:E,1,0)</f>
        <v>Dreno de ar gasout</v>
      </c>
      <c r="L23" s="53" t="str">
        <f>VLOOKUP(B23,'FTD04'!C:E,3,0)</f>
        <v>DN-40</v>
      </c>
      <c r="M23" s="56" t="str">
        <f>VLOOKUP(B23,'FTD04'!C:G,5,0)</f>
        <v>GEMÜ</v>
      </c>
      <c r="N23" s="57" t="str">
        <f>VLOOKUP(B23,'FTD05'!C:E,1,0)</f>
        <v>Dreno de ar gasout</v>
      </c>
      <c r="O23" s="53" t="str">
        <f>VLOOKUP(B23,'FTD05'!C:E,3,0)</f>
        <v>DN-40</v>
      </c>
      <c r="P23" s="56" t="str">
        <f>VLOOKUP(B23,'FTD05'!C:G,5,0)</f>
        <v>GEMÜ</v>
      </c>
      <c r="Q23" s="65" t="str">
        <f>VLOOKUP(B23,'FTD06'!C:E,1,0)</f>
        <v>Dreno de ar gasout</v>
      </c>
      <c r="R23" s="53" t="str">
        <f>VLOOKUP(B23,'FTD06'!C:E,3,0)</f>
        <v>DN-40</v>
      </c>
      <c r="S23" s="74" t="str">
        <f>VLOOKUP(B23,'FTD06'!C:G,5,0)</f>
        <v>GEMÜ</v>
      </c>
      <c r="T23" s="57" t="str">
        <f>VLOOKUP(B23,'FTD07'!C:E,1,0)</f>
        <v>Dreno de ar gasout</v>
      </c>
      <c r="U23" s="53" t="str">
        <f>VLOOKUP(B23,'FTD07'!C:E,3,0)</f>
        <v>DN-40</v>
      </c>
      <c r="V23" s="56" t="str">
        <f>VLOOKUP(B23,'FTD07'!C:G,5,0)</f>
        <v>GEMÜ</v>
      </c>
      <c r="W23" s="65" t="str">
        <f>VLOOKUP(B23,'FTD08'!C:E,1,0)</f>
        <v>Dreno de ar gasout</v>
      </c>
      <c r="X23" s="53" t="str">
        <f>VLOOKUP(B23,'FTD08'!C:E,3,0)</f>
        <v>DN-40</v>
      </c>
      <c r="Y23" s="74" t="str">
        <f>VLOOKUP(B23,'FTD08'!C:G,5,0)</f>
        <v>GEMÜ</v>
      </c>
      <c r="Z23" s="57" t="str">
        <f>VLOOKUP(B23,'FTD09'!C:E,1,0)</f>
        <v>Dreno de ar gasout</v>
      </c>
      <c r="AA23" s="53" t="str">
        <f>VLOOKUP(B23,'FTD09'!C:E,3,0)</f>
        <v>DN-40</v>
      </c>
      <c r="AB23" s="56" t="str">
        <f>VLOOKUP(B23,'FTD09'!C:G,5,0)</f>
        <v>GEMÜ</v>
      </c>
      <c r="AC23" s="65" t="str">
        <f>VLOOKUP(B23,'FTD10'!C:E,1,0)</f>
        <v>Dreno de ar gasout</v>
      </c>
      <c r="AD23" s="53" t="str">
        <f>VLOOKUP(B23,'FTD10'!C:E,3,0)</f>
        <v>DN-40</v>
      </c>
      <c r="AE23" s="74" t="str">
        <f>VLOOKUP(B23,'FTD10'!C:G,5,0)</f>
        <v>ZDL</v>
      </c>
      <c r="AF23" s="57" t="str">
        <f>VLOOKUP(B23,'FTD11'!C:E,1,0)</f>
        <v>Dreno de ar gasout</v>
      </c>
      <c r="AG23" s="53" t="str">
        <f>VLOOKUP(B23,'FTD11'!C:E,3,0)</f>
        <v>DN-40</v>
      </c>
      <c r="AH23" s="56" t="str">
        <f>VLOOKUP(B23,'FTD11'!C:G,5,0)</f>
        <v>GEMÜ</v>
      </c>
      <c r="AI23" s="65" t="str">
        <f>VLOOKUP(B23,'FTD12'!C:E,1,0)</f>
        <v>Dreno de ar gasout</v>
      </c>
      <c r="AJ23" s="53" t="str">
        <f>VLOOKUP(B23,'FTD12'!C:E,3,0)</f>
        <v>DN-40</v>
      </c>
      <c r="AK23" s="53" t="str">
        <f>VLOOKUP(B23,'FTD12'!C:G,5,0)</f>
        <v>GEMÜ</v>
      </c>
      <c r="AL23" s="56">
        <f t="shared" si="1"/>
        <v>11</v>
      </c>
      <c r="AN23" s="63" t="s">
        <v>68</v>
      </c>
      <c r="AO23" s="16" t="s">
        <v>115</v>
      </c>
      <c r="AP23" s="16" t="s">
        <v>51</v>
      </c>
      <c r="AQ23" s="78" t="s">
        <v>116</v>
      </c>
      <c r="AR23" s="84" t="str">
        <f>VLOOKUP(AN23,'PGD02'!A:E,1,0)</f>
        <v>Superior</v>
      </c>
      <c r="AS23" s="53" t="str">
        <f>VLOOKUP(AO23,'PGD02'!C:E,1,0)</f>
        <v>Entrada bloco BV alimentação água quente</v>
      </c>
      <c r="AT23" s="53" t="str">
        <f>VLOOKUP(AO23,'PGD02'!C:E,3,0)</f>
        <v>DN-40</v>
      </c>
      <c r="AU23" s="56" t="str">
        <f>VLOOKUP(AO23,'PGD02'!C:G,5,0)</f>
        <v>GEMÜ</v>
      </c>
      <c r="AV23" s="84" t="str">
        <f>VLOOKUP(AN23,'PGD03'!A:E,1,0)</f>
        <v>Superior</v>
      </c>
      <c r="AW23" s="53" t="str">
        <f>VLOOKUP(AO23,'PGD03'!C:E,1,0)</f>
        <v>Entrada bloco BV alimentação água quente</v>
      </c>
      <c r="AX23" s="53" t="str">
        <f>VLOOKUP(AO23,'PGD03'!C:E,3,0)</f>
        <v>DN-40</v>
      </c>
      <c r="AY23" s="56" t="str">
        <f>VLOOKUP(AO23,'PGD03'!C:G,5,0)</f>
        <v>GEMÜ</v>
      </c>
      <c r="AZ23" s="84" t="str">
        <f>VLOOKUP(AN23,'PGD04'!A:E,1,0)</f>
        <v>Superior</v>
      </c>
      <c r="BA23" s="53" t="str">
        <f>VLOOKUP(AO23,'PGD03'!C:E,1,0)</f>
        <v>Entrada bloco BV alimentação água quente</v>
      </c>
      <c r="BB23" s="53" t="str">
        <f>VLOOKUP(AO23,'PGD04'!C:E,3,0)</f>
        <v>DN-40</v>
      </c>
      <c r="BC23" s="56" t="str">
        <f>VLOOKUP(AO23,'PGD04'!C:G,5,0)</f>
        <v>GEMÜ</v>
      </c>
      <c r="BD23" s="84" t="str">
        <f>VLOOKUP(AN23,'PGD05'!A:E,1,0)</f>
        <v>Superior</v>
      </c>
      <c r="BE23" s="53" t="str">
        <f>VLOOKUP(AO23,'PGD05'!C:E,1,0)</f>
        <v>Entrada bloco BV alimentação água quente</v>
      </c>
      <c r="BF23" s="53" t="str">
        <f>VLOOKUP(AO23,'PGD05'!C:E,3,0)</f>
        <v>DN-40</v>
      </c>
      <c r="BG23" s="56" t="str">
        <f>VLOOKUP(AO23,'PGD05'!C:G,5,0)</f>
        <v>GEMÜ</v>
      </c>
      <c r="BH23" s="84" t="str">
        <f>VLOOKUP(AN23,'PGD06'!A:E,1,0)</f>
        <v>Superior</v>
      </c>
      <c r="BI23" s="53" t="str">
        <f>VLOOKUP(AO23,'PGD06'!C:E,1,0)</f>
        <v>Entrada bloco BV alimentação água quente</v>
      </c>
      <c r="BJ23" s="53" t="str">
        <f>VLOOKUP(AO23,'PGD06'!C:E,3,0)</f>
        <v>DN-40</v>
      </c>
      <c r="BK23" s="56" t="str">
        <f>VLOOKUP(AO23,'PGD06'!C:G,5,0)</f>
        <v>GEMÜ</v>
      </c>
      <c r="BL23" s="84" t="str">
        <f>VLOOKUP(AN23,'PGD07'!A:E,1,0)</f>
        <v>Superior</v>
      </c>
      <c r="BM23" s="53" t="str">
        <f>VLOOKUP(AO23,'PGD07'!C:E,1,0)</f>
        <v>Entrada bloco BV alimentação água quente</v>
      </c>
      <c r="BN23" s="53" t="str">
        <f>VLOOKUP(AO23,'PGD07'!C:E,3,0)</f>
        <v>DN-40</v>
      </c>
      <c r="BO23" s="56" t="str">
        <f>VLOOKUP(AO23,'PGD07'!C:G,5,0)</f>
        <v>GEMÜ</v>
      </c>
      <c r="BP23" s="84" t="str">
        <f>VLOOKUP(AN23,'PGD08'!A:E,1,0)</f>
        <v>Superior</v>
      </c>
      <c r="BQ23" s="53" t="str">
        <f>VLOOKUP(AO23,'PGD08'!C:E,1,0)</f>
        <v>Entrada bloco BV alimentação água quente</v>
      </c>
      <c r="BR23" s="53" t="str">
        <f>VLOOKUP(AO23,'PGD08'!C:E,3,0)</f>
        <v>DN-40</v>
      </c>
      <c r="BS23" s="56" t="str">
        <f>VLOOKUP(AO23,'PGD08'!C:G,5,0)</f>
        <v>GEMÜ</v>
      </c>
      <c r="BT23" s="84" t="str">
        <f>VLOOKUP(AN23,'PGD09'!A:E,1,0)</f>
        <v>Superior</v>
      </c>
      <c r="BU23" s="53" t="str">
        <f>VLOOKUP(AO23,'PGD09'!C:E,1,0)</f>
        <v>Entrada bloco BV alimentação água quente</v>
      </c>
      <c r="BV23" s="53" t="str">
        <f>VLOOKUP(AO23,'PGD09'!C:E,3,0)</f>
        <v>DN-40</v>
      </c>
      <c r="BW23" s="56" t="str">
        <f>VLOOKUP(AO23,'PGD09'!C:G,5,0)</f>
        <v>GEMÜ</v>
      </c>
      <c r="BX23" s="84" t="str">
        <f>VLOOKUP(AN23,'PGD10'!A:E,1,0)</f>
        <v>Superior</v>
      </c>
      <c r="BY23" s="53" t="str">
        <f>VLOOKUP(AO23,'PGD10'!C:E,1,0)</f>
        <v>Entrada bloco BV alimentação água quente</v>
      </c>
      <c r="BZ23" s="53" t="str">
        <f>VLOOKUP(AO23,'PGD10'!C:E,3,0)</f>
        <v>DN-40</v>
      </c>
      <c r="CA23" s="56" t="str">
        <f>VLOOKUP(AO23,'PGD10'!C:G,5,0)</f>
        <v>GEMÜ</v>
      </c>
      <c r="CB23" s="84" t="str">
        <f>VLOOKUP(AN23,'PGD11'!A:E,1,0)</f>
        <v>Superior</v>
      </c>
      <c r="CC23" s="53" t="str">
        <f>VLOOKUP(AO23,'PGD11'!C:E,1,0)</f>
        <v>Entrada bloco BV alimentação água quente</v>
      </c>
      <c r="CD23" s="53" t="str">
        <f>VLOOKUP(AO23,'PGD11'!C:E,3,0)</f>
        <v>DN-40</v>
      </c>
      <c r="CE23" s="56" t="str">
        <f>VLOOKUP(AO23,'PGD11'!C:G,5,0)</f>
        <v>GEMÜ</v>
      </c>
      <c r="CF23" s="84" t="str">
        <f>VLOOKUP(AN23,'PGD12'!A:E,1,0)</f>
        <v>Superior</v>
      </c>
      <c r="CG23" s="53" t="str">
        <f>VLOOKUP(AO23,'PGD12'!C:E,1,0)</f>
        <v>Entrada bloco BV alimentação água quente</v>
      </c>
      <c r="CH23" s="53" t="str">
        <f>VLOOKUP(AO23,'PGD12'!C:E,3,0)</f>
        <v>DN-40</v>
      </c>
      <c r="CI23" s="53" t="str">
        <f>VLOOKUP(AO23,'PGD12'!C:G,5,0)</f>
        <v>GEMÜ</v>
      </c>
      <c r="CJ23" s="56">
        <f t="shared" si="0"/>
        <v>11</v>
      </c>
      <c r="CL23" s="52" t="s">
        <v>117</v>
      </c>
      <c r="CM23" s="16" t="s">
        <v>80</v>
      </c>
      <c r="CN23" s="81" t="s">
        <v>5</v>
      </c>
      <c r="CO23" s="65" t="str">
        <f>VLOOKUP(CL23,'BLD03'!C:E,1,0)</f>
        <v>Linha de recebimento e transferência de produto</v>
      </c>
      <c r="CP23" s="53" t="str">
        <f>VLOOKUP(CL23,'BLD03'!C:E,3,0)</f>
        <v>DN-50</v>
      </c>
      <c r="CQ23" s="53" t="str">
        <f>VLOOKUP(CL23,'BLD02'!C:G,5,0)</f>
        <v>GEMÜ</v>
      </c>
      <c r="CR23" s="56">
        <f t="shared" si="2"/>
        <v>2</v>
      </c>
    </row>
    <row r="24" spans="2:96" x14ac:dyDescent="0.25">
      <c r="B24" s="62" t="s">
        <v>118</v>
      </c>
      <c r="C24" s="14" t="s">
        <v>48</v>
      </c>
      <c r="D24" s="68" t="s">
        <v>6</v>
      </c>
      <c r="E24" s="83" t="str">
        <f>VLOOKUP(B24,'FTD02'!C:E,1,0)</f>
        <v>Dreno de vapor da linha de ar após filtro absoluto</v>
      </c>
      <c r="F24" s="84" t="str">
        <f>VLOOKUP(B24,'FTD02'!C:E,3,0)</f>
        <v>DN-8</v>
      </c>
      <c r="G24" s="82" t="str">
        <f>VLOOKUP(B24,'FTD02'!C:G,5,0)</f>
        <v>ZDL</v>
      </c>
      <c r="H24" s="83" t="str">
        <f>VLOOKUP(B24,'FTD03'!C:E,1,0)</f>
        <v>Dreno de vapor da linha de ar após filtro absoluto</v>
      </c>
      <c r="I24" s="84" t="str">
        <f>VLOOKUP(B24,'FTD03'!C:E,3,0)</f>
        <v>DN-8</v>
      </c>
      <c r="J24" s="82" t="str">
        <f>VLOOKUP(B24,'FTD03'!C:G,5,0)</f>
        <v>ZDL</v>
      </c>
      <c r="K24" s="83" t="str">
        <f>VLOOKUP(B24,'FTD04'!C:E,1,0)</f>
        <v>Dreno de vapor da linha de ar após filtro absoluto</v>
      </c>
      <c r="L24" s="84" t="str">
        <f>VLOOKUP(B24,'FTD04'!C:E,3,0)</f>
        <v>DN-8</v>
      </c>
      <c r="M24" s="82" t="str">
        <f>VLOOKUP(B24,'FTD04'!C:G,5,0)</f>
        <v>ZDL</v>
      </c>
      <c r="N24" s="83" t="str">
        <f>VLOOKUP(B24,'FTD05'!C:E,1,0)</f>
        <v>Dreno de vapor da linha de ar após filtro absoluto</v>
      </c>
      <c r="O24" s="84" t="str">
        <f>VLOOKUP(B24,'FTD05'!C:E,3,0)</f>
        <v>DN-8</v>
      </c>
      <c r="P24" s="82" t="str">
        <f>VLOOKUP(B24,'FTD05'!C:G,5,0)</f>
        <v>ZDL</v>
      </c>
      <c r="Q24" s="85" t="str">
        <f>VLOOKUP(B24,'FTD06'!C:E,1,0)</f>
        <v>Dreno de vapor da linha de ar após filtro absoluto</v>
      </c>
      <c r="R24" s="84" t="str">
        <f>VLOOKUP(B24,'FTD06'!C:E,3,0)</f>
        <v>DN-8</v>
      </c>
      <c r="S24" s="86" t="str">
        <f>VLOOKUP(B24,'FTD06'!C:G,5,0)</f>
        <v>ZDL</v>
      </c>
      <c r="T24" s="83" t="str">
        <f>VLOOKUP(B24,'FTD07'!C:E,1,0)</f>
        <v>Dreno de vapor da linha de ar após filtro absoluto</v>
      </c>
      <c r="U24" s="84" t="str">
        <f>VLOOKUP(B24,'FTD07'!C:E,3,0)</f>
        <v>DN-8</v>
      </c>
      <c r="V24" s="82" t="str">
        <f>VLOOKUP(B24,'FTD07'!C:G,5,0)</f>
        <v>ZDL</v>
      </c>
      <c r="W24" s="85" t="str">
        <f>VLOOKUP(B24,'FTD08'!C:E,1,0)</f>
        <v>Dreno de vapor da linha de ar após filtro absoluto</v>
      </c>
      <c r="X24" s="84" t="str">
        <f>VLOOKUP(B24,'FTD08'!C:E,3,0)</f>
        <v>DN-8</v>
      </c>
      <c r="Y24" s="86" t="str">
        <f>VLOOKUP(B24,'FTD08'!C:G,5,0)</f>
        <v>ZDL</v>
      </c>
      <c r="Z24" s="83" t="str">
        <f>VLOOKUP(B24,'FTD09'!C:E,1,0)</f>
        <v>Dreno de vapor da linha de ar após filtro absoluto</v>
      </c>
      <c r="AA24" s="84" t="str">
        <f>VLOOKUP(B24,'FTD09'!C:E,3,0)</f>
        <v>DN-8</v>
      </c>
      <c r="AB24" s="82" t="str">
        <f>VLOOKUP(B24,'FTD09'!C:G,5,0)</f>
        <v>ZDL</v>
      </c>
      <c r="AC24" s="85" t="str">
        <f>VLOOKUP(B24,'FTD10'!C:E,1,0)</f>
        <v>Dreno de vapor da linha de ar após filtro absoluto</v>
      </c>
      <c r="AD24" s="84" t="str">
        <f>VLOOKUP(B24,'FTD10'!C:E,3,0)</f>
        <v>DN-8</v>
      </c>
      <c r="AE24" s="86" t="str">
        <f>VLOOKUP(B24,'FTD10'!C:G,5,0)</f>
        <v>ZDL</v>
      </c>
      <c r="AF24" s="83" t="str">
        <f>VLOOKUP(B24,'FTD11'!C:E,1,0)</f>
        <v>Dreno de vapor da linha de ar após filtro absoluto</v>
      </c>
      <c r="AG24" s="84" t="str">
        <f>VLOOKUP(B24,'FTD11'!C:E,3,0)</f>
        <v>DN-8</v>
      </c>
      <c r="AH24" s="82" t="str">
        <f>VLOOKUP(B24,'FTD11'!C:G,5,0)</f>
        <v>ZDL</v>
      </c>
      <c r="AI24" s="85" t="str">
        <f>VLOOKUP(B24,'FTD12'!C:E,1,0)</f>
        <v>Dreno de vapor da linha de ar após filtro absoluto</v>
      </c>
      <c r="AJ24" s="84" t="str">
        <f>VLOOKUP(B24,'FTD12'!C:E,3,0)</f>
        <v>DN-8</v>
      </c>
      <c r="AK24" s="84" t="str">
        <f>VLOOKUP(B24,'FTD12'!C:G,5,0)</f>
        <v xml:space="preserve">ZDL </v>
      </c>
      <c r="AL24" s="82">
        <f t="shared" si="1"/>
        <v>11</v>
      </c>
      <c r="AN24" s="62" t="s">
        <v>68</v>
      </c>
      <c r="AO24" s="14" t="s">
        <v>119</v>
      </c>
      <c r="AP24" s="14" t="s">
        <v>86</v>
      </c>
      <c r="AQ24" s="68" t="s">
        <v>120</v>
      </c>
      <c r="AR24" s="84" t="str">
        <f>VLOOKUP(AN24,'PGD02'!A:E,1,0)</f>
        <v>Superior</v>
      </c>
      <c r="AS24" s="84" t="str">
        <f>VLOOKUP(AO24,'PGD02'!C:E,1,0)</f>
        <v>Entrada bloco BV alimentação carbono</v>
      </c>
      <c r="AT24" s="84" t="str">
        <f>VLOOKUP(AO24,'PGD02'!C:E,3,0)</f>
        <v>DN-25</v>
      </c>
      <c r="AU24" s="82" t="str">
        <f>VLOOKUP(AO24,'PGD02'!C:G,5,0)</f>
        <v>GEMÜ</v>
      </c>
      <c r="AV24" s="84" t="str">
        <f>VLOOKUP(AN24,'PGD03'!A:E,1,0)</f>
        <v>Superior</v>
      </c>
      <c r="AW24" s="84" t="str">
        <f>VLOOKUP(AO24,'PGD03'!C:E,1,0)</f>
        <v>Entrada bloco BV alimentação carbono</v>
      </c>
      <c r="AX24" s="84" t="str">
        <f>VLOOKUP(AO24,'PGD03'!C:E,3,0)</f>
        <v>DN-25</v>
      </c>
      <c r="AY24" s="82" t="str">
        <f>VLOOKUP(AO24,'PGD03'!C:G,5,0)</f>
        <v>GEMÜ</v>
      </c>
      <c r="AZ24" s="84" t="str">
        <f>VLOOKUP(AN24,'PGD04'!A:E,1,0)</f>
        <v>Superior</v>
      </c>
      <c r="BA24" s="84" t="str">
        <f>VLOOKUP(AO24,'PGD03'!C:E,1,0)</f>
        <v>Entrada bloco BV alimentação carbono</v>
      </c>
      <c r="BB24" s="84" t="str">
        <f>VLOOKUP(AO24,'PGD04'!C:E,3,0)</f>
        <v>DN-25</v>
      </c>
      <c r="BC24" s="82" t="str">
        <f>VLOOKUP(AO24,'PGD04'!C:G,5,0)</f>
        <v>GEMÜ</v>
      </c>
      <c r="BD24" s="84" t="str">
        <f>VLOOKUP(AN24,'PGD05'!A:E,1,0)</f>
        <v>Superior</v>
      </c>
      <c r="BE24" s="84" t="str">
        <f>VLOOKUP(AO24,'PGD05'!C:E,1,0)</f>
        <v>Entrada bloco BV alimentação carbono</v>
      </c>
      <c r="BF24" s="84" t="str">
        <f>VLOOKUP(AO24,'PGD05'!C:E,3,0)</f>
        <v>DN-25</v>
      </c>
      <c r="BG24" s="82" t="str">
        <f>VLOOKUP(AO24,'PGD05'!C:G,5,0)</f>
        <v>GEMÜ</v>
      </c>
      <c r="BH24" s="84" t="str">
        <f>VLOOKUP(AN24,'PGD06'!A:E,1,0)</f>
        <v>Superior</v>
      </c>
      <c r="BI24" s="84" t="str">
        <f>VLOOKUP(AO24,'PGD06'!C:E,1,0)</f>
        <v>Entrada bloco BV alimentação carbono</v>
      </c>
      <c r="BJ24" s="84" t="str">
        <f>VLOOKUP(AO24,'PGD06'!C:E,3,0)</f>
        <v>DN-25</v>
      </c>
      <c r="BK24" s="82" t="str">
        <f>VLOOKUP(AO24,'PGD06'!C:G,5,0)</f>
        <v>GEMÜ</v>
      </c>
      <c r="BL24" s="84" t="str">
        <f>VLOOKUP(AN24,'PGD07'!A:E,1,0)</f>
        <v>Superior</v>
      </c>
      <c r="BM24" s="84" t="str">
        <f>VLOOKUP(AO24,'PGD07'!C:E,1,0)</f>
        <v>Entrada bloco BV alimentação carbono</v>
      </c>
      <c r="BN24" s="84" t="str">
        <f>VLOOKUP(AO24,'PGD07'!C:E,3,0)</f>
        <v>DN-25</v>
      </c>
      <c r="BO24" s="82" t="str">
        <f>VLOOKUP(AO24,'PGD07'!C:G,5,0)</f>
        <v>GEMÜ</v>
      </c>
      <c r="BP24" s="84" t="str">
        <f>VLOOKUP(AN24,'PGD08'!A:E,1,0)</f>
        <v>Superior</v>
      </c>
      <c r="BQ24" s="84" t="str">
        <f>VLOOKUP(AO24,'PGD08'!C:E,1,0)</f>
        <v>Entrada bloco BV alimentação carbono</v>
      </c>
      <c r="BR24" s="84" t="str">
        <f>VLOOKUP(AO24,'PGD08'!C:E,3,0)</f>
        <v>DN-25</v>
      </c>
      <c r="BS24" s="82" t="str">
        <f>VLOOKUP(AO24,'PGD08'!C:G,5,0)</f>
        <v>GEMÜ</v>
      </c>
      <c r="BT24" s="84" t="str">
        <f>VLOOKUP(AN24,'PGD09'!A:E,1,0)</f>
        <v>Superior</v>
      </c>
      <c r="BU24" s="84" t="str">
        <f>VLOOKUP(AO24,'PGD09'!C:E,1,0)</f>
        <v>Entrada bloco BV alimentação carbono</v>
      </c>
      <c r="BV24" s="84" t="str">
        <f>VLOOKUP(AO24,'PGD09'!C:E,3,0)</f>
        <v>DN-25</v>
      </c>
      <c r="BW24" s="82" t="str">
        <f>VLOOKUP(AO24,'PGD09'!C:G,5,0)</f>
        <v>GEMÜ</v>
      </c>
      <c r="BX24" s="84" t="str">
        <f>VLOOKUP(AN24,'PGD10'!A:E,1,0)</f>
        <v>Superior</v>
      </c>
      <c r="BY24" s="84" t="str">
        <f>VLOOKUP(AO24,'PGD10'!C:E,1,0)</f>
        <v>Entrada bloco BV alimentação carbono</v>
      </c>
      <c r="BZ24" s="84" t="str">
        <f>VLOOKUP(AO24,'PGD10'!C:E,3,0)</f>
        <v>DN-25</v>
      </c>
      <c r="CA24" s="82" t="str">
        <f>VLOOKUP(AO24,'PGD10'!C:G,5,0)</f>
        <v>GEMÜ</v>
      </c>
      <c r="CB24" s="84" t="str">
        <f>VLOOKUP(AN24,'PGD11'!A:E,1,0)</f>
        <v>Superior</v>
      </c>
      <c r="CC24" s="84" t="str">
        <f>VLOOKUP(AO24,'PGD11'!C:E,1,0)</f>
        <v>Entrada bloco BV alimentação carbono</v>
      </c>
      <c r="CD24" s="84" t="str">
        <f>VLOOKUP(AO24,'PGD11'!C:E,3,0)</f>
        <v>DN-25</v>
      </c>
      <c r="CE24" s="82" t="str">
        <f>VLOOKUP(AO24,'PGD11'!C:G,5,0)</f>
        <v>GEMÜ</v>
      </c>
      <c r="CF24" s="84" t="str">
        <f>VLOOKUP(AN24,'PGD12'!A:E,1,0)</f>
        <v>Superior</v>
      </c>
      <c r="CG24" s="84" t="str">
        <f>VLOOKUP(AO24,'PGD12'!C:E,1,0)</f>
        <v>Entrada bloco BV alimentação carbono</v>
      </c>
      <c r="CH24" s="84" t="str">
        <f>VLOOKUP(AO24,'PGD12'!C:E,3,0)</f>
        <v>DN-25</v>
      </c>
      <c r="CI24" s="84" t="str">
        <f>VLOOKUP(AO24,'PGD12'!C:G,5,0)</f>
        <v>GEMÜ</v>
      </c>
      <c r="CJ24" s="82">
        <f t="shared" si="0"/>
        <v>11</v>
      </c>
      <c r="CL24" s="51" t="s">
        <v>121</v>
      </c>
      <c r="CM24" s="6" t="s">
        <v>51</v>
      </c>
      <c r="CN24" s="80" t="s">
        <v>5</v>
      </c>
      <c r="CO24" s="85" t="str">
        <f>VLOOKUP(CL24,'BLD03'!C:E,1,0)</f>
        <v xml:space="preserve">Entrada bloco BV trasferencia do fermentador </v>
      </c>
      <c r="CP24" s="84" t="str">
        <f>VLOOKUP(CL24,'BLD03'!C:E,3,0)</f>
        <v>DN-40</v>
      </c>
      <c r="CQ24" s="84" t="str">
        <f>VLOOKUP(CL24,'BLD02'!C:G,5,0)</f>
        <v>GEMÜ</v>
      </c>
      <c r="CR24" s="82">
        <f t="shared" si="2"/>
        <v>2</v>
      </c>
    </row>
    <row r="25" spans="2:96" x14ac:dyDescent="0.25">
      <c r="B25" s="64" t="s">
        <v>115</v>
      </c>
      <c r="C25" s="7" t="s">
        <v>80</v>
      </c>
      <c r="D25" s="69" t="s">
        <v>5</v>
      </c>
      <c r="E25" s="57" t="str">
        <f>VLOOKUP(B25,'FTD02'!C:E,1,0)</f>
        <v>Entrada bloco BV alimentação água quente</v>
      </c>
      <c r="F25" s="53" t="str">
        <f>VLOOKUP(B25,'FTD02'!C:E,3,0)</f>
        <v>DN-50</v>
      </c>
      <c r="G25" s="56" t="str">
        <f>VLOOKUP(B25,'FTD02'!C:G,5,0)</f>
        <v>GEMÜ</v>
      </c>
      <c r="H25" s="57" t="str">
        <f>VLOOKUP(B25,'FTD03'!C:E,1,0)</f>
        <v>Entrada bloco BV alimentação água quente</v>
      </c>
      <c r="I25" s="53" t="str">
        <f>VLOOKUP(B25,'FTD03'!C:E,3,0)</f>
        <v>DN-50</v>
      </c>
      <c r="J25" s="56" t="str">
        <f>VLOOKUP(B25,'FTD03'!C:G,5,0)</f>
        <v>GEMÜ</v>
      </c>
      <c r="K25" s="57" t="str">
        <f>VLOOKUP(B25,'FTD04'!C:E,1,0)</f>
        <v>Entrada bloco BV alimentação água quente</v>
      </c>
      <c r="L25" s="53" t="str">
        <f>VLOOKUP(B25,'FTD04'!C:E,3,0)</f>
        <v>DN-50</v>
      </c>
      <c r="M25" s="56" t="str">
        <f>VLOOKUP(B25,'FTD04'!C:G,5,0)</f>
        <v>GEMÜ</v>
      </c>
      <c r="N25" s="57" t="str">
        <f>VLOOKUP(B25,'FTD05'!C:E,1,0)</f>
        <v>Entrada bloco BV alimentação água quente</v>
      </c>
      <c r="O25" s="53" t="str">
        <f>VLOOKUP(B25,'FTD05'!C:E,3,0)</f>
        <v>DN-50</v>
      </c>
      <c r="P25" s="56" t="str">
        <f>VLOOKUP(B25,'FTD05'!C:G,5,0)</f>
        <v>GEMÜ</v>
      </c>
      <c r="Q25" s="65" t="str">
        <f>VLOOKUP(B25,'FTD06'!C:E,1,0)</f>
        <v>Entrada bloco BV alimentação água quente</v>
      </c>
      <c r="R25" s="53" t="str">
        <f>VLOOKUP(B25,'FTD06'!C:E,3,0)</f>
        <v>DN-50</v>
      </c>
      <c r="S25" s="74" t="str">
        <f>VLOOKUP(B25,'FTD06'!C:G,5,0)</f>
        <v>GEMÜ</v>
      </c>
      <c r="T25" s="57" t="str">
        <f>VLOOKUP(B25,'FTD07'!C:E,1,0)</f>
        <v>Entrada bloco BV alimentação água quente</v>
      </c>
      <c r="U25" s="53" t="str">
        <f>VLOOKUP(B25,'FTD07'!C:E,3,0)</f>
        <v>DN-50</v>
      </c>
      <c r="V25" s="56" t="str">
        <f>VLOOKUP(B25,'FTD07'!C:G,5,0)</f>
        <v>GEMÜ</v>
      </c>
      <c r="W25" s="65" t="str">
        <f>VLOOKUP(B25,'FTD08'!C:E,1,0)</f>
        <v>Entrada bloco BV alimentação água quente</v>
      </c>
      <c r="X25" s="53" t="str">
        <f>VLOOKUP(B25,'FTD08'!C:E,3,0)</f>
        <v>DN-50</v>
      </c>
      <c r="Y25" s="74" t="str">
        <f>VLOOKUP(B25,'FTD08'!C:G,5,0)</f>
        <v>GEMÜ</v>
      </c>
      <c r="Z25" s="57" t="str">
        <f>VLOOKUP(B25,'FTD09'!C:E,1,0)</f>
        <v>Entrada bloco BV alimentação água quente</v>
      </c>
      <c r="AA25" s="116" t="str">
        <f>VLOOKUP(B25,'FTD09'!C:E,3,0)</f>
        <v>DN-40</v>
      </c>
      <c r="AB25" s="56" t="str">
        <f>VLOOKUP(B25,'FTD09'!C:G,5,0)</f>
        <v>GEMÜ</v>
      </c>
      <c r="AC25" s="65" t="str">
        <f>VLOOKUP(B25,'FTD10'!C:E,1,0)</f>
        <v>Entrada bloco BV alimentação água quente</v>
      </c>
      <c r="AD25" s="53" t="str">
        <f>VLOOKUP(B25,'FTD10'!C:E,3,0)</f>
        <v>DN-50</v>
      </c>
      <c r="AE25" s="74" t="str">
        <f>VLOOKUP(B25,'FTD10'!C:G,5,0)</f>
        <v>GEMÜ</v>
      </c>
      <c r="AF25" s="57" t="str">
        <f>VLOOKUP(B25,'FTD11'!C:E,1,0)</f>
        <v>Entrada bloco BV alimentação água quente</v>
      </c>
      <c r="AG25" s="53" t="str">
        <f>VLOOKUP(B25,'FTD11'!C:E,3,0)</f>
        <v>DN-50</v>
      </c>
      <c r="AH25" s="56" t="str">
        <f>VLOOKUP(B25,'FTD11'!C:G,5,0)</f>
        <v>GEMÜ</v>
      </c>
      <c r="AI25" s="65" t="str">
        <f>VLOOKUP(B25,'FTD12'!C:E,1,0)</f>
        <v>Entrada bloco BV alimentação água quente</v>
      </c>
      <c r="AJ25" s="53" t="str">
        <f>VLOOKUP(B25,'FTD12'!C:E,3,0)</f>
        <v>DN-50</v>
      </c>
      <c r="AK25" s="53" t="str">
        <f>VLOOKUP(B25,'FTD12'!C:G,5,0)</f>
        <v>GEMÜ</v>
      </c>
      <c r="AL25" s="56">
        <f t="shared" si="1"/>
        <v>10</v>
      </c>
      <c r="AN25" s="63" t="s">
        <v>68</v>
      </c>
      <c r="AO25" s="16" t="s">
        <v>122</v>
      </c>
      <c r="AP25" s="16" t="s">
        <v>86</v>
      </c>
      <c r="AQ25" s="78" t="s">
        <v>123</v>
      </c>
      <c r="AR25" s="84" t="str">
        <f>VLOOKUP(AN25,'PGD02'!A:E,1,0)</f>
        <v>Superior</v>
      </c>
      <c r="AS25" s="53" t="str">
        <f>VLOOKUP(AO25,'PGD02'!C:E,1,0)</f>
        <v>Entrada bloco BV alimentação nitrogênio</v>
      </c>
      <c r="AT25" s="53" t="str">
        <f>VLOOKUP(AO25,'PGD02'!C:E,3,0)</f>
        <v>DN-25</v>
      </c>
      <c r="AU25" s="56" t="str">
        <f>VLOOKUP(AO25,'PGD02'!C:G,5,0)</f>
        <v>GEMÜ</v>
      </c>
      <c r="AV25" s="84" t="str">
        <f>VLOOKUP(AN25,'PGD03'!A:E,1,0)</f>
        <v>Superior</v>
      </c>
      <c r="AW25" s="53" t="str">
        <f>VLOOKUP(AO25,'PGD03'!C:E,1,0)</f>
        <v>Entrada bloco BV alimentação nitrogênio</v>
      </c>
      <c r="AX25" s="53" t="str">
        <f>VLOOKUP(AO25,'PGD03'!C:E,3,0)</f>
        <v>DN-25</v>
      </c>
      <c r="AY25" s="56" t="str">
        <f>VLOOKUP(AO25,'PGD03'!C:G,5,0)</f>
        <v>GEMÜ</v>
      </c>
      <c r="AZ25" s="84" t="str">
        <f>VLOOKUP(AN25,'PGD04'!A:E,1,0)</f>
        <v>Superior</v>
      </c>
      <c r="BA25" s="53" t="str">
        <f>VLOOKUP(AO25,'PGD03'!C:E,1,0)</f>
        <v>Entrada bloco BV alimentação nitrogênio</v>
      </c>
      <c r="BB25" s="53" t="str">
        <f>VLOOKUP(AO25,'PGD04'!C:E,3,0)</f>
        <v>DN-25</v>
      </c>
      <c r="BC25" s="56" t="str">
        <f>VLOOKUP(AO25,'PGD04'!C:G,5,0)</f>
        <v>GEMÜ</v>
      </c>
      <c r="BD25" s="84" t="str">
        <f>VLOOKUP(AN25,'PGD05'!A:E,1,0)</f>
        <v>Superior</v>
      </c>
      <c r="BE25" s="53" t="str">
        <f>VLOOKUP(AO25,'PGD05'!C:E,1,0)</f>
        <v>Entrada bloco BV alimentação nitrogênio</v>
      </c>
      <c r="BF25" s="53" t="str">
        <f>VLOOKUP(AO25,'PGD05'!C:E,3,0)</f>
        <v>DN-25</v>
      </c>
      <c r="BG25" s="56" t="str">
        <f>VLOOKUP(AO25,'PGD05'!C:G,5,0)</f>
        <v>GEMÜ</v>
      </c>
      <c r="BH25" s="84" t="str">
        <f>VLOOKUP(AN25,'PGD06'!A:E,1,0)</f>
        <v>Superior</v>
      </c>
      <c r="BI25" s="53" t="str">
        <f>VLOOKUP(AO25,'PGD06'!C:E,1,0)</f>
        <v>Entrada bloco BV alimentação nitrogênio</v>
      </c>
      <c r="BJ25" s="53" t="str">
        <f>VLOOKUP(AO25,'PGD06'!C:E,3,0)</f>
        <v>DN-25</v>
      </c>
      <c r="BK25" s="56" t="str">
        <f>VLOOKUP(AO25,'PGD06'!C:G,5,0)</f>
        <v>GEMÜ</v>
      </c>
      <c r="BL25" s="84" t="str">
        <f>VLOOKUP(AN25,'PGD07'!A:E,1,0)</f>
        <v>Superior</v>
      </c>
      <c r="BM25" s="53" t="str">
        <f>VLOOKUP(AO25,'PGD07'!C:E,1,0)</f>
        <v>Entrada bloco BV alimentação nitrogênio</v>
      </c>
      <c r="BN25" s="53" t="str">
        <f>VLOOKUP(AO25,'PGD07'!C:E,3,0)</f>
        <v>DN-25</v>
      </c>
      <c r="BO25" s="56" t="str">
        <f>VLOOKUP(AO25,'PGD07'!C:G,5,0)</f>
        <v>GEMÜ</v>
      </c>
      <c r="BP25" s="84" t="str">
        <f>VLOOKUP(AN25,'PGD08'!A:E,1,0)</f>
        <v>Superior</v>
      </c>
      <c r="BQ25" s="53" t="str">
        <f>VLOOKUP(AO25,'PGD08'!C:E,1,0)</f>
        <v>Entrada bloco BV alimentação nitrogênio</v>
      </c>
      <c r="BR25" s="53" t="str">
        <f>VLOOKUP(AO25,'PGD08'!C:E,3,0)</f>
        <v>DN-25</v>
      </c>
      <c r="BS25" s="56" t="str">
        <f>VLOOKUP(AO25,'PGD08'!C:G,5,0)</f>
        <v>GEMÜ</v>
      </c>
      <c r="BT25" s="84" t="str">
        <f>VLOOKUP(AN25,'PGD09'!A:E,1,0)</f>
        <v>Superior</v>
      </c>
      <c r="BU25" s="53" t="str">
        <f>VLOOKUP(AO25,'PGD09'!C:E,1,0)</f>
        <v>Entrada bloco BV alimentação nitrogênio</v>
      </c>
      <c r="BV25" s="53" t="str">
        <f>VLOOKUP(AO25,'PGD09'!C:E,3,0)</f>
        <v>DN-25</v>
      </c>
      <c r="BW25" s="56" t="str">
        <f>VLOOKUP(AO25,'PGD09'!C:G,5,0)</f>
        <v>GEMÜ</v>
      </c>
      <c r="BX25" s="84" t="str">
        <f>VLOOKUP(AN25,'PGD10'!A:E,1,0)</f>
        <v>Superior</v>
      </c>
      <c r="BY25" s="53" t="str">
        <f>VLOOKUP(AO25,'PGD10'!C:E,1,0)</f>
        <v>Entrada bloco BV alimentação nitrogênio</v>
      </c>
      <c r="BZ25" s="53" t="str">
        <f>VLOOKUP(AO25,'PGD10'!C:E,3,0)</f>
        <v>DN-25</v>
      </c>
      <c r="CA25" s="56" t="str">
        <f>VLOOKUP(AO25,'PGD10'!C:G,5,0)</f>
        <v>GEMÜ</v>
      </c>
      <c r="CB25" s="84" t="str">
        <f>VLOOKUP(AN25,'PGD11'!A:E,1,0)</f>
        <v>Superior</v>
      </c>
      <c r="CC25" s="53" t="str">
        <f>VLOOKUP(AO25,'PGD11'!C:E,1,0)</f>
        <v>Entrada bloco BV alimentação nitrogênio</v>
      </c>
      <c r="CD25" s="53" t="str">
        <f>VLOOKUP(AO25,'PGD11'!C:E,3,0)</f>
        <v>DN-25</v>
      </c>
      <c r="CE25" s="56" t="str">
        <f>VLOOKUP(AO25,'PGD11'!C:G,5,0)</f>
        <v>GEMÜ</v>
      </c>
      <c r="CF25" s="84" t="str">
        <f>VLOOKUP(AN25,'PGD12'!A:E,1,0)</f>
        <v>Superior</v>
      </c>
      <c r="CG25" s="53" t="str">
        <f>VLOOKUP(AO25,'PGD12'!C:E,1,0)</f>
        <v>Entrada bloco BV alimentação nitrogênio</v>
      </c>
      <c r="CH25" s="53" t="str">
        <f>VLOOKUP(AO25,'PGD12'!C:E,3,0)</f>
        <v>DN-25</v>
      </c>
      <c r="CI25" s="53" t="str">
        <f>VLOOKUP(AO25,'PGD12'!C:G,5,0)</f>
        <v>GEMÜ</v>
      </c>
      <c r="CJ25" s="56">
        <f t="shared" si="0"/>
        <v>11</v>
      </c>
      <c r="CL25" s="52" t="s">
        <v>124</v>
      </c>
      <c r="CM25" s="16" t="s">
        <v>51</v>
      </c>
      <c r="CN25" s="81" t="s">
        <v>5</v>
      </c>
      <c r="CO25" s="65" t="str">
        <f>VLOOKUP(CL25,'BLD03'!C:E,1,0)</f>
        <v xml:space="preserve">Entrada blender  BV trasferencia do fermentador </v>
      </c>
      <c r="CP25" s="53" t="str">
        <f>VLOOKUP(CL25,'BLD03'!C:E,3,0)</f>
        <v>DN-40</v>
      </c>
      <c r="CQ25" s="53" t="str">
        <f>VLOOKUP(CL25,'BLD02'!C:G,5,0)</f>
        <v>GEMÜ</v>
      </c>
      <c r="CR25" s="56">
        <f t="shared" si="2"/>
        <v>2</v>
      </c>
    </row>
    <row r="26" spans="2:96" x14ac:dyDescent="0.25">
      <c r="B26" s="62" t="s">
        <v>119</v>
      </c>
      <c r="C26" s="14" t="s">
        <v>51</v>
      </c>
      <c r="D26" s="68" t="s">
        <v>5</v>
      </c>
      <c r="E26" s="83" t="str">
        <f>VLOOKUP(B26,'FTD02'!C:E,1,0)</f>
        <v>Entrada bloco BV alimentação carbono</v>
      </c>
      <c r="F26" s="84" t="str">
        <f>VLOOKUP(B26,'FTD02'!C:E,3,0)</f>
        <v>DN-40</v>
      </c>
      <c r="G26" s="82" t="str">
        <f>VLOOKUP(B26,'FTD02'!C:G,5,0)</f>
        <v>GEMÜ</v>
      </c>
      <c r="H26" s="83" t="str">
        <f>VLOOKUP(B26,'FTD03'!C:E,1,0)</f>
        <v>Entrada bloco BV alimentação carbono</v>
      </c>
      <c r="I26" s="84" t="str">
        <f>VLOOKUP(B26,'FTD03'!C:E,3,0)</f>
        <v>DN-40</v>
      </c>
      <c r="J26" s="82" t="str">
        <f>VLOOKUP(B26,'FTD03'!C:G,5,0)</f>
        <v>GEMÜ</v>
      </c>
      <c r="K26" s="83" t="str">
        <f>VLOOKUP(B26,'FTD04'!C:E,1,0)</f>
        <v>Entrada bloco BV alimentação carbono</v>
      </c>
      <c r="L26" s="84" t="str">
        <f>VLOOKUP(B26,'FTD04'!C:E,3,0)</f>
        <v>DN-40</v>
      </c>
      <c r="M26" s="82" t="str">
        <f>VLOOKUP(B26,'FTD04'!C:G,5,0)</f>
        <v>GEMÜ</v>
      </c>
      <c r="N26" s="83" t="str">
        <f>VLOOKUP(B26,'FTD05'!C:E,1,0)</f>
        <v>Entrada bloco BV alimentação carbono</v>
      </c>
      <c r="O26" s="84" t="str">
        <f>VLOOKUP(B26,'FTD05'!C:E,3,0)</f>
        <v>DN-40</v>
      </c>
      <c r="P26" s="82" t="str">
        <f>VLOOKUP(B26,'FTD05'!C:G,5,0)</f>
        <v>GEMÜ</v>
      </c>
      <c r="Q26" s="85" t="str">
        <f>VLOOKUP(B26,'FTD06'!C:E,1,0)</f>
        <v>Entrada bloco BV alimentação carbono</v>
      </c>
      <c r="R26" s="84" t="str">
        <f>VLOOKUP(B26,'FTD06'!C:E,3,0)</f>
        <v>DN-40</v>
      </c>
      <c r="S26" s="86" t="str">
        <f>VLOOKUP(B26,'FTD06'!C:G,5,0)</f>
        <v>GEMÜ</v>
      </c>
      <c r="T26" s="83" t="str">
        <f>VLOOKUP(B26,'FTD07'!C:E,1,0)</f>
        <v>Entrada bloco BV alimentação carbono</v>
      </c>
      <c r="U26" s="84" t="str">
        <f>VLOOKUP(B26,'FTD07'!C:E,3,0)</f>
        <v>DN-40</v>
      </c>
      <c r="V26" s="82" t="str">
        <f>VLOOKUP(B26,'FTD07'!C:G,5,0)</f>
        <v>GEMÜ</v>
      </c>
      <c r="W26" s="85" t="str">
        <f>VLOOKUP(B26,'FTD08'!C:E,1,0)</f>
        <v>Entrada bloco BV alimentação carbono</v>
      </c>
      <c r="X26" s="84" t="str">
        <f>VLOOKUP(B26,'FTD08'!C:E,3,0)</f>
        <v>DN-40</v>
      </c>
      <c r="Y26" s="86" t="str">
        <f>VLOOKUP(B26,'FTD08'!C:G,5,0)</f>
        <v>GEMÜ</v>
      </c>
      <c r="Z26" s="83" t="str">
        <f>VLOOKUP(B26,'FTD09'!C:E,1,0)</f>
        <v>Entrada bloco BV alimentação carbono</v>
      </c>
      <c r="AA26" s="84" t="str">
        <f>VLOOKUP(B26,'FTD09'!C:E,3,0)</f>
        <v>DN-40</v>
      </c>
      <c r="AB26" s="82" t="str">
        <f>VLOOKUP(B26,'FTD09'!C:G,5,0)</f>
        <v>GEMÜ</v>
      </c>
      <c r="AC26" s="85" t="str">
        <f>VLOOKUP(B26,'FTD10'!C:E,1,0)</f>
        <v>Entrada bloco BV alimentação carbono</v>
      </c>
      <c r="AD26" s="84" t="str">
        <f>VLOOKUP(B26,'FTD10'!C:E,3,0)</f>
        <v>DN-40</v>
      </c>
      <c r="AE26" s="86" t="str">
        <f>VLOOKUP(B26,'FTD10'!C:G,5,0)</f>
        <v>GEMÜ</v>
      </c>
      <c r="AF26" s="83" t="str">
        <f>VLOOKUP(B26,'FTD11'!C:E,1,0)</f>
        <v>Entrada bloco BV alimentação carbono</v>
      </c>
      <c r="AG26" s="84" t="str">
        <f>VLOOKUP(B26,'FTD11'!C:E,3,0)</f>
        <v>DN-40</v>
      </c>
      <c r="AH26" s="82" t="str">
        <f>VLOOKUP(B26,'FTD11'!C:G,5,0)</f>
        <v>GEMÜ</v>
      </c>
      <c r="AI26" s="85" t="str">
        <f>VLOOKUP(B26,'FTD12'!C:E,1,0)</f>
        <v>Entrada bloco BV alimentação carbono</v>
      </c>
      <c r="AJ26" s="84" t="str">
        <f>VLOOKUP(B26,'FTD12'!C:E,3,0)</f>
        <v>DN-40</v>
      </c>
      <c r="AK26" s="84" t="str">
        <f>VLOOKUP(B26,'FTD12'!C:G,5,0)</f>
        <v>GEMÜ</v>
      </c>
      <c r="AL26" s="82">
        <f t="shared" si="1"/>
        <v>11</v>
      </c>
      <c r="AN26" s="62" t="s">
        <v>68</v>
      </c>
      <c r="AO26" s="14" t="s">
        <v>125</v>
      </c>
      <c r="AP26" s="14" t="s">
        <v>86</v>
      </c>
      <c r="AQ26" s="68" t="s">
        <v>126</v>
      </c>
      <c r="AR26" s="84" t="str">
        <f>VLOOKUP(AN26,'PGD02'!A:E,1,0)</f>
        <v>Superior</v>
      </c>
      <c r="AS26" s="84" t="str">
        <f>VLOOKUP(AO26,'PGD02'!C:E,1,0)</f>
        <v>Entrada bloco BV alimentação sais</v>
      </c>
      <c r="AT26" s="84" t="str">
        <f>VLOOKUP(AO26,'PGD02'!C:E,3,0)</f>
        <v>DN-25</v>
      </c>
      <c r="AU26" s="82" t="str">
        <f>VLOOKUP(AO26,'PGD02'!C:G,5,0)</f>
        <v>GEMÜ</v>
      </c>
      <c r="AV26" s="84" t="str">
        <f>VLOOKUP(AN26,'PGD03'!A:E,1,0)</f>
        <v>Superior</v>
      </c>
      <c r="AW26" s="84" t="str">
        <f>VLOOKUP(AO26,'PGD03'!C:E,1,0)</f>
        <v>Entrada bloco BV alimentação sais</v>
      </c>
      <c r="AX26" s="84" t="str">
        <f>VLOOKUP(AO26,'PGD03'!C:E,3,0)</f>
        <v>DN-25</v>
      </c>
      <c r="AY26" s="82" t="str">
        <f>VLOOKUP(AO26,'PGD03'!C:G,5,0)</f>
        <v>GEMÜ</v>
      </c>
      <c r="AZ26" s="84" t="str">
        <f>VLOOKUP(AN26,'PGD04'!A:E,1,0)</f>
        <v>Superior</v>
      </c>
      <c r="BA26" s="84" t="str">
        <f>VLOOKUP(AO26,'PGD03'!C:E,1,0)</f>
        <v>Entrada bloco BV alimentação sais</v>
      </c>
      <c r="BB26" s="84" t="str">
        <f>VLOOKUP(AO26,'PGD04'!C:E,3,0)</f>
        <v>DN-25</v>
      </c>
      <c r="BC26" s="82" t="str">
        <f>VLOOKUP(AO26,'PGD04'!C:G,5,0)</f>
        <v>GEMÜ</v>
      </c>
      <c r="BD26" s="84" t="str">
        <f>VLOOKUP(AN26,'PGD05'!A:E,1,0)</f>
        <v>Superior</v>
      </c>
      <c r="BE26" s="84" t="str">
        <f>VLOOKUP(AO26,'PGD05'!C:E,1,0)</f>
        <v>Entrada bloco BV alimentação sais</v>
      </c>
      <c r="BF26" s="84" t="str">
        <f>VLOOKUP(AO26,'PGD05'!C:E,3,0)</f>
        <v>DN-25</v>
      </c>
      <c r="BG26" s="82" t="str">
        <f>VLOOKUP(AO26,'PGD05'!C:G,5,0)</f>
        <v>GEMÜ</v>
      </c>
      <c r="BH26" s="84" t="str">
        <f>VLOOKUP(AN26,'PGD06'!A:E,1,0)</f>
        <v>Superior</v>
      </c>
      <c r="BI26" s="84" t="str">
        <f>VLOOKUP(AO26,'PGD06'!C:E,1,0)</f>
        <v>Entrada bloco BV alimentação sais</v>
      </c>
      <c r="BJ26" s="84" t="str">
        <f>VLOOKUP(AO26,'PGD06'!C:E,3,0)</f>
        <v>DN-25</v>
      </c>
      <c r="BK26" s="82" t="str">
        <f>VLOOKUP(AO26,'PGD06'!C:G,5,0)</f>
        <v>GEMÜ</v>
      </c>
      <c r="BL26" s="84" t="str">
        <f>VLOOKUP(AN26,'PGD07'!A:E,1,0)</f>
        <v>Superior</v>
      </c>
      <c r="BM26" s="84" t="str">
        <f>VLOOKUP(AO26,'PGD07'!C:E,1,0)</f>
        <v>Entrada bloco BV alimentação sais</v>
      </c>
      <c r="BN26" s="84" t="str">
        <f>VLOOKUP(AO26,'PGD07'!C:E,3,0)</f>
        <v>DN-25</v>
      </c>
      <c r="BO26" s="82" t="str">
        <f>VLOOKUP(AO26,'PGD07'!C:G,5,0)</f>
        <v>GEMÜ</v>
      </c>
      <c r="BP26" s="84" t="str">
        <f>VLOOKUP(AN26,'PGD08'!A:E,1,0)</f>
        <v>Superior</v>
      </c>
      <c r="BQ26" s="84" t="str">
        <f>VLOOKUP(AO26,'PGD08'!C:E,1,0)</f>
        <v>Entrada bloco BV alimentação sais</v>
      </c>
      <c r="BR26" s="84" t="str">
        <f>VLOOKUP(AO26,'PGD08'!C:E,3,0)</f>
        <v>DN-25</v>
      </c>
      <c r="BS26" s="82" t="str">
        <f>VLOOKUP(AO26,'PGD08'!C:G,5,0)</f>
        <v>GEMÜ</v>
      </c>
      <c r="BT26" s="84" t="str">
        <f>VLOOKUP(AN26,'PGD09'!A:E,1,0)</f>
        <v>Superior</v>
      </c>
      <c r="BU26" s="84" t="str">
        <f>VLOOKUP(AO26,'PGD09'!C:E,1,0)</f>
        <v>Entrada bloco BV alimentação sais</v>
      </c>
      <c r="BV26" s="84" t="str">
        <f>VLOOKUP(AO26,'PGD09'!C:E,3,0)</f>
        <v>DN-25</v>
      </c>
      <c r="BW26" s="82" t="str">
        <f>VLOOKUP(AO26,'PGD09'!C:G,5,0)</f>
        <v>GEMÜ</v>
      </c>
      <c r="BX26" s="84" t="str">
        <f>VLOOKUP(AN26,'PGD10'!A:E,1,0)</f>
        <v>Superior</v>
      </c>
      <c r="BY26" s="84" t="str">
        <f>VLOOKUP(AO26,'PGD10'!C:E,1,0)</f>
        <v>Entrada bloco BV alimentação sais</v>
      </c>
      <c r="BZ26" s="84" t="str">
        <f>VLOOKUP(AO26,'PGD10'!C:E,3,0)</f>
        <v>DN-25</v>
      </c>
      <c r="CA26" s="82" t="str">
        <f>VLOOKUP(AO26,'PGD10'!C:G,5,0)</f>
        <v>GEMÜ</v>
      </c>
      <c r="CB26" s="84" t="str">
        <f>VLOOKUP(AN26,'PGD11'!A:E,1,0)</f>
        <v>Superior</v>
      </c>
      <c r="CC26" s="84" t="str">
        <f>VLOOKUP(AO26,'PGD11'!C:E,1,0)</f>
        <v>Entrada bloco BV alimentação sais</v>
      </c>
      <c r="CD26" s="84" t="str">
        <f>VLOOKUP(AO26,'PGD11'!C:E,3,0)</f>
        <v>DN-25</v>
      </c>
      <c r="CE26" s="82" t="str">
        <f>VLOOKUP(AO26,'PGD11'!C:G,5,0)</f>
        <v>GEMÜ</v>
      </c>
      <c r="CF26" s="84" t="str">
        <f>VLOOKUP(AN26,'PGD12'!A:E,1,0)</f>
        <v>Superior</v>
      </c>
      <c r="CG26" s="84" t="str">
        <f>VLOOKUP(AO26,'PGD12'!C:E,1,0)</f>
        <v>Entrada bloco BV alimentação sais</v>
      </c>
      <c r="CH26" s="84" t="str">
        <f>VLOOKUP(AO26,'PGD12'!C:E,3,0)</f>
        <v>DN-25</v>
      </c>
      <c r="CI26" s="84" t="str">
        <f>VLOOKUP(AO26,'PGD12'!C:G,5,0)</f>
        <v>GEMÜ</v>
      </c>
      <c r="CJ26" s="82">
        <f t="shared" si="0"/>
        <v>11</v>
      </c>
      <c r="CL26" s="51" t="s">
        <v>127</v>
      </c>
      <c r="CM26" s="6" t="s">
        <v>51</v>
      </c>
      <c r="CN26" s="80" t="s">
        <v>5</v>
      </c>
      <c r="CO26" s="85" t="str">
        <f>VLOOKUP(CL26,'BLD03'!C:E,1,0)</f>
        <v xml:space="preserve">Dreno BV trasnferência do fermentador </v>
      </c>
      <c r="CP26" s="84" t="str">
        <f>VLOOKUP(CL26,'BLD03'!C:E,3,0)</f>
        <v>DN-40</v>
      </c>
      <c r="CQ26" s="84" t="str">
        <f>VLOOKUP(CL26,'BLD02'!C:G,5,0)</f>
        <v>GEMÜ</v>
      </c>
      <c r="CR26" s="82">
        <f t="shared" si="2"/>
        <v>2</v>
      </c>
    </row>
    <row r="27" spans="2:96" x14ac:dyDescent="0.25">
      <c r="B27" s="64" t="s">
        <v>128</v>
      </c>
      <c r="C27" s="7" t="s">
        <v>86</v>
      </c>
      <c r="D27" s="69" t="s">
        <v>5</v>
      </c>
      <c r="E27" s="57" t="str">
        <f>VLOOKUP(B27,'FTD02'!C:E,1,0)</f>
        <v>Entrada bloco BV alimentação CIP</v>
      </c>
      <c r="F27" s="53" t="str">
        <f>VLOOKUP(B27,'FTD02'!C:E,3,0)</f>
        <v>DN-25</v>
      </c>
      <c r="G27" s="56" t="str">
        <f>VLOOKUP(B27,'FTD02'!C:G,5,0)</f>
        <v>GEMÜ</v>
      </c>
      <c r="H27" s="57" t="str">
        <f>VLOOKUP(B27,'FTD03'!C:E,1,0)</f>
        <v>Entrada bloco BV alimentação CIP</v>
      </c>
      <c r="I27" s="53" t="str">
        <f>VLOOKUP(B27,'FTD03'!C:E,3,0)</f>
        <v>DN-25</v>
      </c>
      <c r="J27" s="56" t="str">
        <f>VLOOKUP(B27,'FTD03'!C:G,5,0)</f>
        <v>GEMÜ</v>
      </c>
      <c r="K27" s="57" t="str">
        <f>VLOOKUP(B27,'FTD04'!C:E,1,0)</f>
        <v>Entrada bloco BV alimentação CIP</v>
      </c>
      <c r="L27" s="53" t="str">
        <f>VLOOKUP(B27,'FTD04'!C:E,3,0)</f>
        <v>DN-25</v>
      </c>
      <c r="M27" s="56" t="str">
        <f>VLOOKUP(B27,'FTD04'!C:G,5,0)</f>
        <v>GEMÜ</v>
      </c>
      <c r="N27" s="57" t="str">
        <f>VLOOKUP(B27,'FTD05'!C:E,1,0)</f>
        <v>Entrada bloco BV alimentação CIP</v>
      </c>
      <c r="O27" s="53" t="str">
        <f>VLOOKUP(B27,'FTD05'!C:E,3,0)</f>
        <v>DN-25</v>
      </c>
      <c r="P27" s="56" t="str">
        <f>VLOOKUP(B27,'FTD05'!C:G,5,0)</f>
        <v>GEMÜ</v>
      </c>
      <c r="Q27" s="65" t="str">
        <f>VLOOKUP(B27,'FTD06'!C:E,1,0)</f>
        <v>Entrada bloco BV alimentação CIP</v>
      </c>
      <c r="R27" s="53" t="str">
        <f>VLOOKUP(B27,'FTD06'!C:E,3,0)</f>
        <v>DN-25</v>
      </c>
      <c r="S27" s="74" t="str">
        <f>VLOOKUP(B27,'FTD06'!C:G,5,0)</f>
        <v>GEMÜ</v>
      </c>
      <c r="T27" s="57" t="str">
        <f>VLOOKUP(B27,'FTD07'!C:E,1,0)</f>
        <v>Entrada bloco BV alimentação CIP</v>
      </c>
      <c r="U27" s="53" t="str">
        <f>VLOOKUP(B27,'FTD07'!C:E,3,0)</f>
        <v>DN-25</v>
      </c>
      <c r="V27" s="56" t="str">
        <f>VLOOKUP(B27,'FTD07'!C:G,5,0)</f>
        <v>GEMÜ</v>
      </c>
      <c r="W27" s="65" t="str">
        <f>VLOOKUP(B27,'FTD08'!C:E,1,0)</f>
        <v>Entrada bloco BV alimentação CIP</v>
      </c>
      <c r="X27" s="53" t="str">
        <f>VLOOKUP(B27,'FTD08'!C:E,3,0)</f>
        <v>DN-25</v>
      </c>
      <c r="Y27" s="74" t="str">
        <f>VLOOKUP(B27,'FTD08'!C:G,5,0)</f>
        <v>GEMÜ</v>
      </c>
      <c r="Z27" s="57" t="str">
        <f>VLOOKUP(B27,'FTD09'!C:E,1,0)</f>
        <v>Entrada bloco BV alimentação CIP</v>
      </c>
      <c r="AA27" s="53" t="str">
        <f>VLOOKUP(B27,'FTD09'!C:E,3,0)</f>
        <v>DN-25</v>
      </c>
      <c r="AB27" s="56" t="str">
        <f>VLOOKUP(B27,'FTD09'!C:G,5,0)</f>
        <v>GEMÜ</v>
      </c>
      <c r="AC27" s="65" t="str">
        <f>VLOOKUP(B27,'FTD10'!C:E,1,0)</f>
        <v>Entrada bloco BV alimentação CIP</v>
      </c>
      <c r="AD27" s="53" t="str">
        <f>VLOOKUP(B27,'FTD10'!C:E,3,0)</f>
        <v>DN-25</v>
      </c>
      <c r="AE27" s="74" t="str">
        <f>VLOOKUP(B27,'FTD10'!C:G,5,0)</f>
        <v>GEMÜ</v>
      </c>
      <c r="AF27" s="57" t="str">
        <f>VLOOKUP(B27,'FTD11'!C:E,1,0)</f>
        <v>Entrada bloco BV alimentação CIP</v>
      </c>
      <c r="AG27" s="53" t="str">
        <f>VLOOKUP(B27,'FTD11'!C:E,3,0)</f>
        <v>DN-25</v>
      </c>
      <c r="AH27" s="56" t="str">
        <f>VLOOKUP(B27,'FTD11'!C:G,5,0)</f>
        <v>GEMÜ</v>
      </c>
      <c r="AI27" s="65" t="str">
        <f>VLOOKUP(B27,'FTD12'!C:E,1,0)</f>
        <v>Entrada bloco BV alimentação CIP</v>
      </c>
      <c r="AJ27" s="53" t="str">
        <f>VLOOKUP(B27,'FTD12'!C:E,3,0)</f>
        <v>DN-25</v>
      </c>
      <c r="AK27" s="53" t="str">
        <f>VLOOKUP(B27,'FTD12'!C:G,5,0)</f>
        <v>GEMÜ</v>
      </c>
      <c r="AL27" s="56">
        <f t="shared" si="1"/>
        <v>11</v>
      </c>
      <c r="AN27" s="112" t="s">
        <v>49</v>
      </c>
      <c r="AO27" s="108" t="s">
        <v>129</v>
      </c>
      <c r="AP27" s="108" t="s">
        <v>51</v>
      </c>
      <c r="AQ27" s="114" t="s">
        <v>130</v>
      </c>
      <c r="AR27" s="84" t="str">
        <f>VLOOKUP(AN27,'PGD02'!A:E,1,0)</f>
        <v xml:space="preserve">Inferior </v>
      </c>
      <c r="AS27" s="53" t="str">
        <f>VLOOKUP(AO27,'PGD02'!C:E,1,0)</f>
        <v>Entrada de ar no tanque após filtro absoluto</v>
      </c>
      <c r="AT27" s="53" t="str">
        <f>VLOOKUP(AO27,'PGD02'!C:E,3,0)</f>
        <v>DN-40</v>
      </c>
      <c r="AU27" s="56" t="str">
        <f>VLOOKUP(AO27,'PGD02'!C:G,5,0)</f>
        <v>GEMÜ</v>
      </c>
      <c r="AV27" s="84" t="str">
        <f>VLOOKUP(AN27,'PGD03'!A:E,1,0)</f>
        <v xml:space="preserve">Inferior </v>
      </c>
      <c r="AW27" s="53" t="str">
        <f>VLOOKUP(AO27,'PGD03'!C:E,1,0)</f>
        <v>Entrada de ar no tanque após filtro absoluto</v>
      </c>
      <c r="AX27" s="53" t="str">
        <f>VLOOKUP(AO27,'PGD03'!C:E,3,0)</f>
        <v>DN-40</v>
      </c>
      <c r="AY27" s="56" t="str">
        <f>VLOOKUP(AO27,'PGD03'!C:G,5,0)</f>
        <v>GEMÜ</v>
      </c>
      <c r="AZ27" s="84" t="str">
        <f>VLOOKUP(AN27,'PGD04'!A:E,1,0)</f>
        <v xml:space="preserve">Inferior </v>
      </c>
      <c r="BA27" s="53" t="str">
        <f>VLOOKUP(AO27,'PGD03'!C:E,1,0)</f>
        <v>Entrada de ar no tanque após filtro absoluto</v>
      </c>
      <c r="BB27" s="53" t="str">
        <f>VLOOKUP(AO27,'PGD04'!C:E,3,0)</f>
        <v>DN-40</v>
      </c>
      <c r="BC27" s="56" t="str">
        <f>VLOOKUP(AO27,'PGD04'!C:G,5,0)</f>
        <v>GEMÜ</v>
      </c>
      <c r="BD27" s="84" t="str">
        <f>VLOOKUP(AN27,'PGD05'!A:E,1,0)</f>
        <v xml:space="preserve">Inferior </v>
      </c>
      <c r="BE27" s="53" t="str">
        <f>VLOOKUP(AO27,'PGD05'!C:E,1,0)</f>
        <v>Entrada de ar no tanque após filtro absoluto</v>
      </c>
      <c r="BF27" s="53" t="str">
        <f>VLOOKUP(AO27,'PGD05'!C:E,3,0)</f>
        <v>DN-40</v>
      </c>
      <c r="BG27" s="56" t="str">
        <f>VLOOKUP(AO27,'PGD05'!C:G,5,0)</f>
        <v>GEMÜ</v>
      </c>
      <c r="BH27" s="84" t="str">
        <f>VLOOKUP(AN27,'PGD06'!A:E,1,0)</f>
        <v xml:space="preserve">Inferior </v>
      </c>
      <c r="BI27" s="53" t="str">
        <f>VLOOKUP(AO27,'PGD06'!C:E,1,0)</f>
        <v>Entrada de ar no tanque após filtro absoluto</v>
      </c>
      <c r="BJ27" s="53" t="str">
        <f>VLOOKUP(AO27,'PGD06'!C:E,3,0)</f>
        <v>DN-40</v>
      </c>
      <c r="BK27" s="56" t="str">
        <f>VLOOKUP(AO27,'PGD06'!C:G,5,0)</f>
        <v>GEMÜ</v>
      </c>
      <c r="BL27" s="84" t="str">
        <f>VLOOKUP(AN27,'PGD07'!A:E,1,0)</f>
        <v xml:space="preserve">Inferior </v>
      </c>
      <c r="BM27" s="53" t="str">
        <f>VLOOKUP(AO27,'PGD07'!C:E,1,0)</f>
        <v>Entrada de ar no tanque após filtro absoluto</v>
      </c>
      <c r="BN27" s="53" t="str">
        <f>VLOOKUP(AO27,'PGD07'!C:E,3,0)</f>
        <v>DN-40</v>
      </c>
      <c r="BO27" s="56" t="str">
        <f>VLOOKUP(AO27,'PGD07'!C:G,5,0)</f>
        <v>GEMÜ</v>
      </c>
      <c r="BP27" s="84" t="str">
        <f>VLOOKUP(AN27,'PGD08'!A:E,1,0)</f>
        <v xml:space="preserve">Inferior </v>
      </c>
      <c r="BQ27" s="53" t="str">
        <f>VLOOKUP(AO27,'PGD08'!C:E,1,0)</f>
        <v>Entrada de ar no tanque após filtro absoluto</v>
      </c>
      <c r="BR27" s="53" t="str">
        <f>VLOOKUP(AO27,'PGD08'!C:E,3,0)</f>
        <v>DN-40</v>
      </c>
      <c r="BS27" s="56" t="str">
        <f>VLOOKUP(AO27,'PGD08'!C:G,5,0)</f>
        <v>GEMÜ</v>
      </c>
      <c r="BT27" s="84" t="str">
        <f>VLOOKUP(AN27,'PGD09'!A:E,1,0)</f>
        <v xml:space="preserve">Inferior </v>
      </c>
      <c r="BU27" s="53" t="str">
        <f>VLOOKUP(AO27,'PGD09'!C:E,1,0)</f>
        <v>Entrada de ar no tanque após filtro absoluto</v>
      </c>
      <c r="BV27" s="53" t="str">
        <f>VLOOKUP(AO27,'PGD09'!C:E,3,0)</f>
        <v>DN-40</v>
      </c>
      <c r="BW27" s="56" t="str">
        <f>VLOOKUP(AO27,'PGD09'!C:G,5,0)</f>
        <v>GEMÜ</v>
      </c>
      <c r="BX27" s="84" t="str">
        <f>VLOOKUP(AN27,'PGD10'!A:E,1,0)</f>
        <v xml:space="preserve">Inferior </v>
      </c>
      <c r="BY27" s="53" t="str">
        <f>VLOOKUP(AO27,'PGD10'!C:E,1,0)</f>
        <v>Entrada de ar no tanque após filtro absoluto</v>
      </c>
      <c r="BZ27" s="53" t="str">
        <f>VLOOKUP(AO27,'PGD10'!C:E,3,0)</f>
        <v>DN-40</v>
      </c>
      <c r="CA27" s="56" t="str">
        <f>VLOOKUP(AO27,'PGD10'!C:G,5,0)</f>
        <v>GEMÜ</v>
      </c>
      <c r="CB27" s="84" t="str">
        <f>VLOOKUP(AN27,'PGD11'!A:E,1,0)</f>
        <v xml:space="preserve">Inferior </v>
      </c>
      <c r="CC27" s="53" t="str">
        <f>VLOOKUP(AO27,'PGD11'!C:E,1,0)</f>
        <v>Entrada de ar no tanque após filtro absoluto</v>
      </c>
      <c r="CD27" s="53" t="str">
        <f>VLOOKUP(AO27,'PGD11'!C:E,3,0)</f>
        <v>DN-40</v>
      </c>
      <c r="CE27" s="56" t="str">
        <f>VLOOKUP(AO27,'PGD11'!C:G,5,0)</f>
        <v>GEMÜ</v>
      </c>
      <c r="CF27" s="84" t="str">
        <f>VLOOKUP(AN27,'PGD12'!A:E,1,0)</f>
        <v xml:space="preserve">Inferior </v>
      </c>
      <c r="CG27" s="53" t="str">
        <f>VLOOKUP(AO27,'PGD12'!C:E,1,0)</f>
        <v>Entrada de ar no tanque após filtro absoluto</v>
      </c>
      <c r="CH27" s="53" t="str">
        <f>VLOOKUP(AO27,'PGD12'!C:E,3,0)</f>
        <v>DN-40</v>
      </c>
      <c r="CI27" s="53" t="str">
        <f>VLOOKUP(AO27,'PGD12'!C:G,5,0)</f>
        <v>GEMÜ</v>
      </c>
      <c r="CJ27" s="56">
        <f t="shared" si="0"/>
        <v>11</v>
      </c>
      <c r="CL27" s="52" t="s">
        <v>72</v>
      </c>
      <c r="CM27" s="16" t="s">
        <v>131</v>
      </c>
      <c r="CN27" s="81" t="s">
        <v>5</v>
      </c>
      <c r="CO27" s="65" t="str">
        <f>VLOOKUP(CL27,'BLD03'!C:E,1,0)</f>
        <v xml:space="preserve">Válvula injetora de vapor </v>
      </c>
      <c r="CP27" s="53" t="str">
        <f>VLOOKUP(CL27,'BLD03'!C:E,3,0)</f>
        <v>DN-65</v>
      </c>
      <c r="CQ27" s="53" t="str">
        <f>VLOOKUP(CL27,'BLD02'!C:G,5,0)</f>
        <v>GEMÜ</v>
      </c>
      <c r="CR27" s="56">
        <f t="shared" si="2"/>
        <v>2</v>
      </c>
    </row>
    <row r="28" spans="2:96" x14ac:dyDescent="0.25">
      <c r="B28" s="62" t="s">
        <v>122</v>
      </c>
      <c r="C28" s="14" t="s">
        <v>51</v>
      </c>
      <c r="D28" s="68" t="s">
        <v>5</v>
      </c>
      <c r="E28" s="83" t="str">
        <f>VLOOKUP(B28,'FTD02'!C:E,1,0)</f>
        <v>Entrada bloco BV alimentação nitrogênio</v>
      </c>
      <c r="F28" s="84" t="str">
        <f>VLOOKUP(B28,'FTD02'!C:E,3,0)</f>
        <v>DN-40</v>
      </c>
      <c r="G28" s="82" t="str">
        <f>VLOOKUP(B28,'FTD02'!C:G,5,0)</f>
        <v>GEMÜ</v>
      </c>
      <c r="H28" s="83" t="str">
        <f>VLOOKUP(B28,'FTD03'!C:E,1,0)</f>
        <v>Entrada bloco BV alimentação nitrogênio</v>
      </c>
      <c r="I28" s="84" t="str">
        <f>VLOOKUP(B28,'FTD03'!C:E,3,0)</f>
        <v>DN-40</v>
      </c>
      <c r="J28" s="82" t="str">
        <f>VLOOKUP(B28,'FTD03'!C:G,5,0)</f>
        <v>GEMÜ</v>
      </c>
      <c r="K28" s="83" t="str">
        <f>VLOOKUP(B28,'FTD04'!C:E,1,0)</f>
        <v>Entrada bloco BV alimentação nitrogênio</v>
      </c>
      <c r="L28" s="84" t="str">
        <f>VLOOKUP(B28,'FTD04'!C:E,3,0)</f>
        <v>DN-40</v>
      </c>
      <c r="M28" s="82" t="str">
        <f>VLOOKUP(B28,'FTD04'!C:G,5,0)</f>
        <v>GEMÜ</v>
      </c>
      <c r="N28" s="83" t="str">
        <f>VLOOKUP(B28,'FTD05'!C:E,1,0)</f>
        <v>Entrada bloco BV alimentação nitrogênio</v>
      </c>
      <c r="O28" s="84" t="str">
        <f>VLOOKUP(B28,'FTD05'!C:E,3,0)</f>
        <v>DN-40</v>
      </c>
      <c r="P28" s="82" t="str">
        <f>VLOOKUP(B28,'FTD05'!C:G,5,0)</f>
        <v>GEMÜ</v>
      </c>
      <c r="Q28" s="85" t="str">
        <f>VLOOKUP(B28,'FTD06'!C:E,1,0)</f>
        <v>Entrada bloco BV alimentação nitrogênio</v>
      </c>
      <c r="R28" s="84" t="str">
        <f>VLOOKUP(B28,'FTD06'!C:E,3,0)</f>
        <v>DN-40</v>
      </c>
      <c r="S28" s="86" t="str">
        <f>VLOOKUP(B28,'FTD06'!C:G,5,0)</f>
        <v>GEMÜ</v>
      </c>
      <c r="T28" s="83" t="str">
        <f>VLOOKUP(B28,'FTD07'!C:E,1,0)</f>
        <v>Entrada bloco BV alimentação nitrogênio</v>
      </c>
      <c r="U28" s="84" t="str">
        <f>VLOOKUP(B28,'FTD07'!C:E,3,0)</f>
        <v>DN-40</v>
      </c>
      <c r="V28" s="82" t="str">
        <f>VLOOKUP(B28,'FTD07'!C:G,5,0)</f>
        <v>GEMÜ</v>
      </c>
      <c r="W28" s="85" t="str">
        <f>VLOOKUP(B28,'FTD08'!C:E,1,0)</f>
        <v>Entrada bloco BV alimentação nitrogênio</v>
      </c>
      <c r="X28" s="84" t="str">
        <f>VLOOKUP(B28,'FTD08'!C:E,3,0)</f>
        <v>DN-40</v>
      </c>
      <c r="Y28" s="86" t="str">
        <f>VLOOKUP(B28,'FTD08'!C:G,5,0)</f>
        <v>GEMÜ</v>
      </c>
      <c r="Z28" s="83" t="str">
        <f>VLOOKUP(B28,'FTD09'!C:E,1,0)</f>
        <v>Entrada bloco BV alimentação nitrogênio</v>
      </c>
      <c r="AA28" s="84" t="str">
        <f>VLOOKUP(B28,'FTD09'!C:E,3,0)</f>
        <v>DN-40</v>
      </c>
      <c r="AB28" s="82" t="str">
        <f>VLOOKUP(B28,'FTD09'!C:G,5,0)</f>
        <v>GEMÜ</v>
      </c>
      <c r="AC28" s="85" t="str">
        <f>VLOOKUP(B28,'FTD10'!C:E,1,0)</f>
        <v>Entrada bloco BV alimentação nitrogênio</v>
      </c>
      <c r="AD28" s="84" t="str">
        <f>VLOOKUP(B28,'FTD10'!C:E,3,0)</f>
        <v>DN-40</v>
      </c>
      <c r="AE28" s="86" t="str">
        <f>VLOOKUP(B28,'FTD10'!C:G,5,0)</f>
        <v>GEMÜ</v>
      </c>
      <c r="AF28" s="83" t="str">
        <f>VLOOKUP(B28,'FTD11'!C:E,1,0)</f>
        <v>Entrada bloco BV alimentação nitrogênio</v>
      </c>
      <c r="AG28" s="84" t="str">
        <f>VLOOKUP(B28,'FTD11'!C:E,3,0)</f>
        <v>DN-40</v>
      </c>
      <c r="AH28" s="82" t="str">
        <f>VLOOKUP(B28,'FTD11'!C:G,5,0)</f>
        <v>GEMÜ</v>
      </c>
      <c r="AI28" s="85" t="str">
        <f>VLOOKUP(B28,'FTD12'!C:E,1,0)</f>
        <v>Entrada bloco BV alimentação nitrogênio</v>
      </c>
      <c r="AJ28" s="84" t="str">
        <f>VLOOKUP(B28,'FTD12'!C:E,3,0)</f>
        <v>DN-40</v>
      </c>
      <c r="AK28" s="84" t="str">
        <f>VLOOKUP(B28,'FTD12'!C:G,5,0)</f>
        <v>GEMÜ</v>
      </c>
      <c r="AL28" s="82">
        <f t="shared" si="1"/>
        <v>11</v>
      </c>
      <c r="AN28" s="113" t="s">
        <v>68</v>
      </c>
      <c r="AO28" s="107" t="s">
        <v>132</v>
      </c>
      <c r="AP28" s="107" t="s">
        <v>86</v>
      </c>
      <c r="AQ28" s="115" t="s">
        <v>133</v>
      </c>
      <c r="AR28" s="84" t="str">
        <f>VLOOKUP(AN28,'PGD02'!A:E,1,0)</f>
        <v>Superior</v>
      </c>
      <c r="AS28" s="84" t="str">
        <f>VLOOKUP(AO28,'PGD02'!C:E,1,0)</f>
        <v>Entrada de vapor na linha de ar após filtro absoluto</v>
      </c>
      <c r="AT28" s="84" t="str">
        <f>VLOOKUP(AO28,'PGD02'!C:E,3,0)</f>
        <v>DN-25</v>
      </c>
      <c r="AU28" s="82" t="str">
        <f>VLOOKUP(AO28,'PGD02'!C:G,5,0)</f>
        <v>GEMÜ</v>
      </c>
      <c r="AV28" s="84" t="str">
        <f>VLOOKUP(AN28,'PGD03'!A:E,1,0)</f>
        <v>Superior</v>
      </c>
      <c r="AW28" s="84" t="str">
        <f>VLOOKUP(AO28,'PGD03'!C:E,1,0)</f>
        <v>Entrada de vapor na linha de ar após filtro absoluto</v>
      </c>
      <c r="AX28" s="84" t="str">
        <f>VLOOKUP(AO28,'PGD03'!C:E,3,0)</f>
        <v>DN-25</v>
      </c>
      <c r="AY28" s="82" t="str">
        <f>VLOOKUP(AO28,'PGD03'!C:G,5,0)</f>
        <v>GEMÜ</v>
      </c>
      <c r="AZ28" s="84" t="str">
        <f>VLOOKUP(AN28,'PGD04'!A:E,1,0)</f>
        <v>Superior</v>
      </c>
      <c r="BA28" s="84" t="str">
        <f>VLOOKUP(AO28,'PGD03'!C:E,1,0)</f>
        <v>Entrada de vapor na linha de ar após filtro absoluto</v>
      </c>
      <c r="BB28" s="84" t="str">
        <f>VLOOKUP(AO28,'PGD04'!C:E,3,0)</f>
        <v>DN-25</v>
      </c>
      <c r="BC28" s="82" t="str">
        <f>VLOOKUP(AO28,'PGD04'!C:G,5,0)</f>
        <v>GEMÜ</v>
      </c>
      <c r="BD28" s="84" t="str">
        <f>VLOOKUP(AN28,'PGD05'!A:E,1,0)</f>
        <v>Superior</v>
      </c>
      <c r="BE28" s="84" t="str">
        <f>VLOOKUP(AO28,'PGD05'!C:E,1,0)</f>
        <v>Entrada de vapor na linha de ar após filtro absoluto</v>
      </c>
      <c r="BF28" s="84" t="str">
        <f>VLOOKUP(AO28,'PGD05'!C:E,3,0)</f>
        <v>DN-25</v>
      </c>
      <c r="BG28" s="82" t="str">
        <f>VLOOKUP(AO28,'PGD05'!C:G,5,0)</f>
        <v>GEMÜ</v>
      </c>
      <c r="BH28" s="84" t="str">
        <f>VLOOKUP(AN28,'PGD06'!A:E,1,0)</f>
        <v>Superior</v>
      </c>
      <c r="BI28" s="84" t="str">
        <f>VLOOKUP(AO28,'PGD06'!C:E,1,0)</f>
        <v>Entrada de vapor na linha de ar após filtro absoluto</v>
      </c>
      <c r="BJ28" s="84" t="str">
        <f>VLOOKUP(AO28,'PGD06'!C:E,3,0)</f>
        <v>DN-25</v>
      </c>
      <c r="BK28" s="82" t="str">
        <f>VLOOKUP(AO28,'PGD06'!C:G,5,0)</f>
        <v>GEMÜ</v>
      </c>
      <c r="BL28" s="84" t="str">
        <f>VLOOKUP(AN28,'PGD07'!A:E,1,0)</f>
        <v>Superior</v>
      </c>
      <c r="BM28" s="84" t="str">
        <f>VLOOKUP(AO28,'PGD07'!C:E,1,0)</f>
        <v>Entrada de vapor na linha de ar após filtro absoluto</v>
      </c>
      <c r="BN28" s="84" t="str">
        <f>VLOOKUP(AO28,'PGD07'!C:E,3,0)</f>
        <v>DN-25</v>
      </c>
      <c r="BO28" s="82" t="str">
        <f>VLOOKUP(AO28,'PGD07'!C:G,5,0)</f>
        <v>GEMÜ</v>
      </c>
      <c r="BP28" s="84" t="str">
        <f>VLOOKUP(AN28,'PGD08'!A:E,1,0)</f>
        <v>Superior</v>
      </c>
      <c r="BQ28" s="84" t="str">
        <f>VLOOKUP(AO28,'PGD08'!C:E,1,0)</f>
        <v>Entrada de vapor na linha de ar após filtro absoluto</v>
      </c>
      <c r="BR28" s="84" t="str">
        <f>VLOOKUP(AO28,'PGD08'!C:E,3,0)</f>
        <v>DN-25</v>
      </c>
      <c r="BS28" s="82" t="str">
        <f>VLOOKUP(AO28,'PGD08'!C:G,5,0)</f>
        <v>GEMÜ</v>
      </c>
      <c r="BT28" s="84" t="str">
        <f>VLOOKUP(AN28,'PGD09'!A:E,1,0)</f>
        <v>Superior</v>
      </c>
      <c r="BU28" s="84" t="str">
        <f>VLOOKUP(AO28,'PGD09'!C:E,1,0)</f>
        <v>Entrada de vapor na linha de ar após filtro absoluto</v>
      </c>
      <c r="BV28" s="84" t="str">
        <f>VLOOKUP(AO28,'PGD09'!C:E,3,0)</f>
        <v>DN-25</v>
      </c>
      <c r="BW28" s="82" t="str">
        <f>VLOOKUP(AO28,'PGD09'!C:G,5,0)</f>
        <v>GEMÜ</v>
      </c>
      <c r="BX28" s="84" t="str">
        <f>VLOOKUP(AN28,'PGD10'!A:E,1,0)</f>
        <v>Superior</v>
      </c>
      <c r="BY28" s="84" t="str">
        <f>VLOOKUP(AO28,'PGD10'!C:E,1,0)</f>
        <v>Entrada de vapor na linha de ar após filtro absoluto</v>
      </c>
      <c r="BZ28" s="84" t="str">
        <f>VLOOKUP(AO28,'PGD10'!C:E,3,0)</f>
        <v>DN-25</v>
      </c>
      <c r="CA28" s="82" t="str">
        <f>VLOOKUP(AO28,'PGD10'!C:G,5,0)</f>
        <v>GEMÜ</v>
      </c>
      <c r="CB28" s="84" t="str">
        <f>VLOOKUP(AN28,'PGD11'!A:E,1,0)</f>
        <v>Superior</v>
      </c>
      <c r="CC28" s="84" t="str">
        <f>VLOOKUP(AO28,'PGD11'!C:E,1,0)</f>
        <v>Entrada de vapor na linha de ar após filtro absoluto</v>
      </c>
      <c r="CD28" s="84" t="str">
        <f>VLOOKUP(AO28,'PGD11'!C:E,3,0)</f>
        <v>DN-25</v>
      </c>
      <c r="CE28" s="82" t="str">
        <f>VLOOKUP(AO28,'PGD11'!C:G,5,0)</f>
        <v>GEMÜ</v>
      </c>
      <c r="CF28" s="84" t="str">
        <f>VLOOKUP(AN28,'PGD12'!A:E,1,0)</f>
        <v>Superior</v>
      </c>
      <c r="CG28" s="84" t="str">
        <f>VLOOKUP(AO28,'PGD12'!C:E,1,0)</f>
        <v>Entrada de vapor na linha de ar após filtro absoluto</v>
      </c>
      <c r="CH28" s="84" t="str">
        <f>VLOOKUP(AO28,'PGD12'!C:E,3,0)</f>
        <v>DN-25</v>
      </c>
      <c r="CI28" s="84" t="str">
        <f>VLOOKUP(AO28,'PGD12'!C:G,5,0)</f>
        <v>GEMÜ</v>
      </c>
      <c r="CJ28" s="82">
        <f t="shared" si="0"/>
        <v>11</v>
      </c>
      <c r="CL28" s="51" t="s">
        <v>134</v>
      </c>
      <c r="CM28" s="6" t="s">
        <v>76</v>
      </c>
      <c r="CN28" s="80" t="s">
        <v>5</v>
      </c>
      <c r="CO28" s="85" t="str">
        <f>VLOOKUP(CL28,'BLD03'!C:E,1,0)</f>
        <v>Entrada de vapor na linha de ar</v>
      </c>
      <c r="CP28" s="116" t="str">
        <f>VLOOKUP(CL28,'BLD03'!C:E,3,0)</f>
        <v>DN-25</v>
      </c>
      <c r="CQ28" s="84" t="str">
        <f>VLOOKUP(CL28,'BLD02'!C:G,5,0)</f>
        <v>GEMÜ</v>
      </c>
      <c r="CR28" s="82">
        <f t="shared" si="2"/>
        <v>1</v>
      </c>
    </row>
    <row r="29" spans="2:96" x14ac:dyDescent="0.25">
      <c r="B29" s="64" t="s">
        <v>125</v>
      </c>
      <c r="C29" s="7" t="s">
        <v>51</v>
      </c>
      <c r="D29" s="69" t="s">
        <v>5</v>
      </c>
      <c r="E29" s="57" t="str">
        <f>VLOOKUP(B29,'FTD02'!C:E,1,0)</f>
        <v>Entrada bloco BV alimentação sais</v>
      </c>
      <c r="F29" s="53" t="str">
        <f>VLOOKUP(B29,'FTD02'!C:E,3,0)</f>
        <v>DN-40</v>
      </c>
      <c r="G29" s="56" t="str">
        <f>VLOOKUP(B29,'FTD02'!C:G,5,0)</f>
        <v>GEMÜ</v>
      </c>
      <c r="H29" s="57" t="str">
        <f>VLOOKUP(B29,'FTD03'!C:E,1,0)</f>
        <v>Entrada bloco BV alimentação sais</v>
      </c>
      <c r="I29" s="53" t="str">
        <f>VLOOKUP(B29,'FTD03'!C:E,3,0)</f>
        <v>DN-40</v>
      </c>
      <c r="J29" s="56" t="str">
        <f>VLOOKUP(B29,'FTD03'!C:G,5,0)</f>
        <v>GEMÜ</v>
      </c>
      <c r="K29" s="57" t="str">
        <f>VLOOKUP(B29,'FTD04'!C:E,1,0)</f>
        <v>Entrada bloco BV alimentação sais</v>
      </c>
      <c r="L29" s="53" t="str">
        <f>VLOOKUP(B29,'FTD04'!C:E,3,0)</f>
        <v>DN-40</v>
      </c>
      <c r="M29" s="56" t="str">
        <f>VLOOKUP(B29,'FTD04'!C:G,5,0)</f>
        <v>GEMÜ</v>
      </c>
      <c r="N29" s="57" t="str">
        <f>VLOOKUP(B29,'FTD05'!C:E,1,0)</f>
        <v>Entrada bloco BV alimentação sais</v>
      </c>
      <c r="O29" s="53" t="str">
        <f>VLOOKUP(B29,'FTD05'!C:E,3,0)</f>
        <v>DN-40</v>
      </c>
      <c r="P29" s="56" t="str">
        <f>VLOOKUP(B29,'FTD05'!C:G,5,0)</f>
        <v>GEMÜ</v>
      </c>
      <c r="Q29" s="65" t="str">
        <f>VLOOKUP(B29,'FTD06'!C:E,1,0)</f>
        <v>Entrada bloco BV alimentação sais</v>
      </c>
      <c r="R29" s="53" t="str">
        <f>VLOOKUP(B29,'FTD06'!C:E,3,0)</f>
        <v>DN-40</v>
      </c>
      <c r="S29" s="74" t="str">
        <f>VLOOKUP(B29,'FTD06'!C:G,5,0)</f>
        <v>GEMÜ</v>
      </c>
      <c r="T29" s="57" t="str">
        <f>VLOOKUP(B29,'FTD07'!C:E,1,0)</f>
        <v>Entrada bloco BV alimentação sais</v>
      </c>
      <c r="U29" s="53" t="str">
        <f>VLOOKUP(B29,'FTD07'!C:E,3,0)</f>
        <v>DN-40</v>
      </c>
      <c r="V29" s="56" t="str">
        <f>VLOOKUP(B29,'FTD07'!C:G,5,0)</f>
        <v>GEMÜ</v>
      </c>
      <c r="W29" s="65" t="str">
        <f>VLOOKUP(B29,'FTD08'!C:E,1,0)</f>
        <v>Entrada bloco BV alimentação sais</v>
      </c>
      <c r="X29" s="53" t="str">
        <f>VLOOKUP(B29,'FTD08'!C:E,3,0)</f>
        <v>DN-40</v>
      </c>
      <c r="Y29" s="74" t="str">
        <f>VLOOKUP(B29,'FTD08'!C:G,5,0)</f>
        <v>GEMÜ</v>
      </c>
      <c r="Z29" s="57" t="str">
        <f>VLOOKUP(B29,'FTD09'!C:E,1,0)</f>
        <v>Entrada bloco BV alimentação sais</v>
      </c>
      <c r="AA29" s="53" t="str">
        <f>VLOOKUP(B29,'FTD09'!C:E,3,0)</f>
        <v>DN-40</v>
      </c>
      <c r="AB29" s="56" t="str">
        <f>VLOOKUP(B29,'FTD09'!C:G,5,0)</f>
        <v>GEMÜ</v>
      </c>
      <c r="AC29" s="65" t="str">
        <f>VLOOKUP(B29,'FTD10'!C:E,1,0)</f>
        <v>Entrada bloco BV alimentação sais</v>
      </c>
      <c r="AD29" s="53" t="str">
        <f>VLOOKUP(B29,'FTD10'!C:E,3,0)</f>
        <v>DN-40</v>
      </c>
      <c r="AE29" s="74" t="str">
        <f>VLOOKUP(B29,'FTD10'!C:G,5,0)</f>
        <v>GEMÜ</v>
      </c>
      <c r="AF29" s="57" t="str">
        <f>VLOOKUP(B29,'FTD11'!C:E,1,0)</f>
        <v>Entrada bloco BV alimentação sais</v>
      </c>
      <c r="AG29" s="53" t="str">
        <f>VLOOKUP(B29,'FTD11'!C:E,3,0)</f>
        <v>DN-40</v>
      </c>
      <c r="AH29" s="56" t="str">
        <f>VLOOKUP(B29,'FTD11'!C:G,5,0)</f>
        <v>GEMÜ</v>
      </c>
      <c r="AI29" s="65" t="str">
        <f>VLOOKUP(B29,'FTD12'!C:E,1,0)</f>
        <v>Entrada bloco BV alimentação sais</v>
      </c>
      <c r="AJ29" s="53" t="str">
        <f>VLOOKUP(B29,'FTD12'!C:E,3,0)</f>
        <v>DN-40</v>
      </c>
      <c r="AK29" s="53" t="str">
        <f>VLOOKUP(B29,'FTD12'!C:G,5,0)</f>
        <v>GEMÜ</v>
      </c>
      <c r="AL29" s="56">
        <f t="shared" si="1"/>
        <v>11</v>
      </c>
      <c r="AN29" s="63" t="s">
        <v>68</v>
      </c>
      <c r="AO29" s="16" t="s">
        <v>135</v>
      </c>
      <c r="AP29" s="16" t="s">
        <v>51</v>
      </c>
      <c r="AQ29" s="78" t="s">
        <v>136</v>
      </c>
      <c r="AR29" s="84" t="str">
        <f>VLOOKUP(AN29,'PGD02'!A:E,1,0)</f>
        <v>Superior</v>
      </c>
      <c r="AS29" s="53" t="str">
        <f>VLOOKUP(AO29,'PGD02'!C:E,1,0)</f>
        <v>Entrada propagador BV alimentação água quente</v>
      </c>
      <c r="AT29" s="53" t="str">
        <f>VLOOKUP(AO29,'PGD02'!C:E,3,0)</f>
        <v>DN-40</v>
      </c>
      <c r="AU29" s="56" t="str">
        <f>VLOOKUP(AO29,'PGD02'!C:G,5,0)</f>
        <v>GEMÜ</v>
      </c>
      <c r="AV29" s="84" t="str">
        <f>VLOOKUP(AN29,'PGD03'!A:E,1,0)</f>
        <v>Superior</v>
      </c>
      <c r="AW29" s="53" t="str">
        <f>VLOOKUP(AO29,'PGD03'!C:E,1,0)</f>
        <v>Entrada propagador BV alimentação água quente</v>
      </c>
      <c r="AX29" s="53" t="str">
        <f>VLOOKUP(AO29,'PGD03'!C:E,3,0)</f>
        <v>DN-40</v>
      </c>
      <c r="AY29" s="56" t="str">
        <f>VLOOKUP(AO29,'PGD03'!C:G,5,0)</f>
        <v>GEMÜ</v>
      </c>
      <c r="AZ29" s="84" t="str">
        <f>VLOOKUP(AN29,'PGD04'!A:E,1,0)</f>
        <v>Superior</v>
      </c>
      <c r="BA29" s="53" t="str">
        <f>VLOOKUP(AO29,'PGD03'!C:E,1,0)</f>
        <v>Entrada propagador BV alimentação água quente</v>
      </c>
      <c r="BB29" s="53" t="str">
        <f>VLOOKUP(AO29,'PGD04'!C:E,3,0)</f>
        <v>DN-40</v>
      </c>
      <c r="BC29" s="56" t="str">
        <f>VLOOKUP(AO29,'PGD04'!C:G,5,0)</f>
        <v>GEMÜ</v>
      </c>
      <c r="BD29" s="84" t="str">
        <f>VLOOKUP(AN29,'PGD05'!A:E,1,0)</f>
        <v>Superior</v>
      </c>
      <c r="BE29" s="53" t="str">
        <f>VLOOKUP(AO29,'PGD05'!C:E,1,0)</f>
        <v>Entrada propagador BV alimentação água quente</v>
      </c>
      <c r="BF29" s="53" t="str">
        <f>VLOOKUP(AO29,'PGD05'!C:E,3,0)</f>
        <v>DN-40</v>
      </c>
      <c r="BG29" s="56" t="str">
        <f>VLOOKUP(AO29,'PGD05'!C:G,5,0)</f>
        <v>GEMÜ</v>
      </c>
      <c r="BH29" s="84" t="str">
        <f>VLOOKUP(AN29,'PGD06'!A:E,1,0)</f>
        <v>Superior</v>
      </c>
      <c r="BI29" s="53" t="str">
        <f>VLOOKUP(AO29,'PGD06'!C:E,1,0)</f>
        <v>Entrada propagador BV alimentação água quente</v>
      </c>
      <c r="BJ29" s="53" t="str">
        <f>VLOOKUP(AO29,'PGD06'!C:E,3,0)</f>
        <v>DN-40</v>
      </c>
      <c r="BK29" s="56" t="str">
        <f>VLOOKUP(AO29,'PGD06'!C:G,5,0)</f>
        <v>GEMÜ</v>
      </c>
      <c r="BL29" s="84" t="str">
        <f>VLOOKUP(AN29,'PGD07'!A:E,1,0)</f>
        <v>Superior</v>
      </c>
      <c r="BM29" s="53" t="str">
        <f>VLOOKUP(AO29,'PGD07'!C:E,1,0)</f>
        <v>Entrada propagador BV alimentação água quente</v>
      </c>
      <c r="BN29" s="53" t="str">
        <f>VLOOKUP(AO29,'PGD07'!C:E,3,0)</f>
        <v>DN-40</v>
      </c>
      <c r="BO29" s="56" t="str">
        <f>VLOOKUP(AO29,'PGD07'!C:G,5,0)</f>
        <v>GEMÜ</v>
      </c>
      <c r="BP29" s="84" t="str">
        <f>VLOOKUP(AN29,'PGD08'!A:E,1,0)</f>
        <v>Superior</v>
      </c>
      <c r="BQ29" s="53" t="str">
        <f>VLOOKUP(AO29,'PGD08'!C:E,1,0)</f>
        <v>Entrada propagador BV alimentação água quente</v>
      </c>
      <c r="BR29" s="53" t="str">
        <f>VLOOKUP(AO29,'PGD08'!C:E,3,0)</f>
        <v>DN-40</v>
      </c>
      <c r="BS29" s="56" t="str">
        <f>VLOOKUP(AO29,'PGD08'!C:G,5,0)</f>
        <v>GEMÜ</v>
      </c>
      <c r="BT29" s="84" t="str">
        <f>VLOOKUP(AN29,'PGD09'!A:E,1,0)</f>
        <v>Superior</v>
      </c>
      <c r="BU29" s="53" t="str">
        <f>VLOOKUP(AO29,'PGD09'!C:E,1,0)</f>
        <v>Entrada propagador BV alimentação água quente</v>
      </c>
      <c r="BV29" s="53" t="str">
        <f>VLOOKUP(AO29,'PGD09'!C:E,3,0)</f>
        <v>DN-40</v>
      </c>
      <c r="BW29" s="56" t="str">
        <f>VLOOKUP(AO29,'PGD09'!C:G,5,0)</f>
        <v>GEMÜ</v>
      </c>
      <c r="BX29" s="84" t="str">
        <f>VLOOKUP(AN29,'PGD10'!A:E,1,0)</f>
        <v>Superior</v>
      </c>
      <c r="BY29" s="53" t="str">
        <f>VLOOKUP(AO29,'PGD10'!C:E,1,0)</f>
        <v>Entrada propagador BV alimentação água quente</v>
      </c>
      <c r="BZ29" s="53" t="str">
        <f>VLOOKUP(AO29,'PGD10'!C:E,3,0)</f>
        <v>DN-40</v>
      </c>
      <c r="CA29" s="56" t="str">
        <f>VLOOKUP(AO29,'PGD10'!C:G,5,0)</f>
        <v>GEMÜ</v>
      </c>
      <c r="CB29" s="84" t="str">
        <f>VLOOKUP(AN29,'PGD11'!A:E,1,0)</f>
        <v>Superior</v>
      </c>
      <c r="CC29" s="53" t="str">
        <f>VLOOKUP(AO29,'PGD11'!C:E,1,0)</f>
        <v>Entrada propagador BV alimentação água quente</v>
      </c>
      <c r="CD29" s="53" t="str">
        <f>VLOOKUP(AO29,'PGD11'!C:E,3,0)</f>
        <v>DN-40</v>
      </c>
      <c r="CE29" s="56" t="str">
        <f>VLOOKUP(AO29,'PGD11'!C:G,5,0)</f>
        <v>GEMÜ</v>
      </c>
      <c r="CF29" s="84" t="str">
        <f>VLOOKUP(AN29,'PGD12'!A:E,1,0)</f>
        <v>Superior</v>
      </c>
      <c r="CG29" s="53" t="str">
        <f>VLOOKUP(AO29,'PGD12'!C:E,1,0)</f>
        <v>Entrada propagador BV alimentação água quente</v>
      </c>
      <c r="CH29" s="53" t="str">
        <f>VLOOKUP(AO29,'PGD12'!C:E,3,0)</f>
        <v>DN-40</v>
      </c>
      <c r="CI29" s="53" t="str">
        <f>VLOOKUP(AO29,'PGD12'!C:G,5,0)</f>
        <v>GEMÜ</v>
      </c>
      <c r="CJ29" s="56">
        <f t="shared" si="0"/>
        <v>11</v>
      </c>
      <c r="CL29" s="52" t="s">
        <v>47</v>
      </c>
      <c r="CM29" s="16" t="s">
        <v>48</v>
      </c>
      <c r="CN29" s="81" t="s">
        <v>5</v>
      </c>
      <c r="CO29" s="65" t="str">
        <f>VLOOKUP(CL29,'BLD03'!C:E,1,0)</f>
        <v xml:space="preserve">Alimentação de vapor fundo do tanque e bloco de amostra </v>
      </c>
      <c r="CP29" s="53" t="str">
        <f>VLOOKUP(CL29,'BLD03'!C:E,3,0)</f>
        <v>DN-8</v>
      </c>
      <c r="CQ29" s="53" t="str">
        <f>VLOOKUP(CL29,'BLD02'!C:G,5,0)</f>
        <v>GEMÜ</v>
      </c>
      <c r="CR29" s="56">
        <f t="shared" si="2"/>
        <v>2</v>
      </c>
    </row>
    <row r="30" spans="2:96" x14ac:dyDescent="0.25">
      <c r="B30" s="62" t="s">
        <v>93</v>
      </c>
      <c r="C30" s="14" t="s">
        <v>51</v>
      </c>
      <c r="D30" s="68" t="s">
        <v>5</v>
      </c>
      <c r="E30" s="83" t="str">
        <f>VLOOKUP(B30,'FTD02'!C:E,1,0)</f>
        <v>Entrada bloco BV transferência do propagador</v>
      </c>
      <c r="F30" s="84" t="str">
        <f>VLOOKUP(B30,'FTD02'!C:E,3,0)</f>
        <v>DN-40</v>
      </c>
      <c r="G30" s="82" t="str">
        <f>VLOOKUP(B30,'FTD02'!C:G,5,0)</f>
        <v>GEMÜ</v>
      </c>
      <c r="H30" s="83" t="str">
        <f>VLOOKUP(B30,'FTD03'!C:E,1,0)</f>
        <v>Entrada bloco BV transferência do propagador</v>
      </c>
      <c r="I30" s="84" t="str">
        <f>VLOOKUP(B30,'FTD03'!C:E,3,0)</f>
        <v>DN-40</v>
      </c>
      <c r="J30" s="82" t="str">
        <f>VLOOKUP(B30,'FTD03'!C:G,5,0)</f>
        <v>GEMÜ</v>
      </c>
      <c r="K30" s="83" t="str">
        <f>VLOOKUP(B30,'FTD04'!C:E,1,0)</f>
        <v>Entrada bloco BV transferência do propagador</v>
      </c>
      <c r="L30" s="84" t="str">
        <f>VLOOKUP(B30,'FTD04'!C:E,3,0)</f>
        <v>DN-40</v>
      </c>
      <c r="M30" s="82" t="str">
        <f>VLOOKUP(B30,'FTD04'!C:G,5,0)</f>
        <v>GEMÜ</v>
      </c>
      <c r="N30" s="83" t="str">
        <f>VLOOKUP(B30,'FTD05'!C:E,1,0)</f>
        <v>Entrada bloco BV transferência do propagador</v>
      </c>
      <c r="O30" s="84" t="str">
        <f>VLOOKUP(B30,'FTD05'!C:E,3,0)</f>
        <v>DN-40</v>
      </c>
      <c r="P30" s="82" t="str">
        <f>VLOOKUP(B30,'FTD05'!C:G,5,0)</f>
        <v>GEMÜ</v>
      </c>
      <c r="Q30" s="85" t="str">
        <f>VLOOKUP(B30,'FTD06'!C:E,1,0)</f>
        <v>Entrada bloco BV transferência do propagador</v>
      </c>
      <c r="R30" s="84" t="str">
        <f>VLOOKUP(B30,'FTD06'!C:E,3,0)</f>
        <v>DN-40</v>
      </c>
      <c r="S30" s="86" t="str">
        <f>VLOOKUP(B30,'FTD06'!C:G,5,0)</f>
        <v>GEMÜ</v>
      </c>
      <c r="T30" s="83" t="str">
        <f>VLOOKUP(B30,'FTD07'!C:E,1,0)</f>
        <v>Entrada bloco BV transferência do propagador</v>
      </c>
      <c r="U30" s="84" t="str">
        <f>VLOOKUP(B30,'FTD07'!C:E,3,0)</f>
        <v>DN-40</v>
      </c>
      <c r="V30" s="82" t="str">
        <f>VLOOKUP(B30,'FTD07'!C:G,5,0)</f>
        <v>GEMÜ</v>
      </c>
      <c r="W30" s="85" t="str">
        <f>VLOOKUP(B30,'FTD08'!C:E,1,0)</f>
        <v>Entrada bloco BV transferência do propagador</v>
      </c>
      <c r="X30" s="84" t="str">
        <f>VLOOKUP(B30,'FTD08'!C:E,3,0)</f>
        <v>DN-40</v>
      </c>
      <c r="Y30" s="86" t="str">
        <f>VLOOKUP(B30,'FTD08'!C:G,5,0)</f>
        <v>GEMÜ</v>
      </c>
      <c r="Z30" s="83" t="str">
        <f>VLOOKUP(B30,'FTD09'!C:E,1,0)</f>
        <v>Entrada bloco BV transferência do propagador</v>
      </c>
      <c r="AA30" s="84" t="str">
        <f>VLOOKUP(B30,'FTD09'!C:E,3,0)</f>
        <v>DN-40</v>
      </c>
      <c r="AB30" s="82" t="str">
        <f>VLOOKUP(B30,'FTD09'!C:G,5,0)</f>
        <v>GEMÜ</v>
      </c>
      <c r="AC30" s="85" t="str">
        <f>VLOOKUP(B30,'FTD10'!C:E,1,0)</f>
        <v>Entrada bloco BV transferência do propagador</v>
      </c>
      <c r="AD30" s="84" t="str">
        <f>VLOOKUP(B30,'FTD10'!C:E,3,0)</f>
        <v>DN-40</v>
      </c>
      <c r="AE30" s="86" t="str">
        <f>VLOOKUP(B30,'FTD10'!C:G,5,0)</f>
        <v>GEMÜ</v>
      </c>
      <c r="AF30" s="83" t="str">
        <f>VLOOKUP(B30,'FTD11'!C:E,1,0)</f>
        <v>Entrada bloco BV transferência do propagador</v>
      </c>
      <c r="AG30" s="84" t="str">
        <f>VLOOKUP(B30,'FTD11'!C:E,3,0)</f>
        <v>DN-40</v>
      </c>
      <c r="AH30" s="82" t="str">
        <f>VLOOKUP(B30,'FTD11'!C:G,5,0)</f>
        <v>GEMÜ</v>
      </c>
      <c r="AI30" s="85" t="str">
        <f>VLOOKUP(B30,'FTD12'!C:E,1,0)</f>
        <v>Entrada bloco BV transferência do propagador</v>
      </c>
      <c r="AJ30" s="84" t="str">
        <f>VLOOKUP(B30,'FTD12'!C:E,3,0)</f>
        <v>DN-40</v>
      </c>
      <c r="AK30" s="84" t="str">
        <f>VLOOKUP(B30,'FTD12'!C:G,5,0)</f>
        <v>GEMÜ</v>
      </c>
      <c r="AL30" s="82">
        <f t="shared" si="1"/>
        <v>11</v>
      </c>
      <c r="AN30" s="62" t="s">
        <v>68</v>
      </c>
      <c r="AO30" s="14" t="s">
        <v>137</v>
      </c>
      <c r="AP30" s="14" t="s">
        <v>86</v>
      </c>
      <c r="AQ30" s="68" t="s">
        <v>138</v>
      </c>
      <c r="AR30" s="84" t="str">
        <f>VLOOKUP(AN30,'PGD02'!A:E,1,0)</f>
        <v>Superior</v>
      </c>
      <c r="AS30" s="84" t="str">
        <f>VLOOKUP(AO30,'PGD02'!C:E,1,0)</f>
        <v>Entrada propagador BV alimentação carbono</v>
      </c>
      <c r="AT30" s="84" t="str">
        <f>VLOOKUP(AO30,'PGD02'!C:E,3,0)</f>
        <v>DN-25</v>
      </c>
      <c r="AU30" s="82" t="str">
        <f>VLOOKUP(AO30,'PGD02'!C:G,5,0)</f>
        <v>GEMÜ</v>
      </c>
      <c r="AV30" s="84" t="str">
        <f>VLOOKUP(AN30,'PGD03'!A:E,1,0)</f>
        <v>Superior</v>
      </c>
      <c r="AW30" s="84" t="str">
        <f>VLOOKUP(AO30,'PGD03'!C:E,1,0)</f>
        <v>Entrada propagador BV alimentação carbono</v>
      </c>
      <c r="AX30" s="84" t="str">
        <f>VLOOKUP(AO30,'PGD03'!C:E,3,0)</f>
        <v>DN-25</v>
      </c>
      <c r="AY30" s="82" t="str">
        <f>VLOOKUP(AO30,'PGD03'!C:G,5,0)</f>
        <v>GEMÜ</v>
      </c>
      <c r="AZ30" s="84" t="str">
        <f>VLOOKUP(AN30,'PGD04'!A:E,1,0)</f>
        <v>Superior</v>
      </c>
      <c r="BA30" s="84" t="str">
        <f>VLOOKUP(AO30,'PGD03'!C:E,1,0)</f>
        <v>Entrada propagador BV alimentação carbono</v>
      </c>
      <c r="BB30" s="84" t="str">
        <f>VLOOKUP(AO30,'PGD04'!C:E,3,0)</f>
        <v>DN-25</v>
      </c>
      <c r="BC30" s="82" t="str">
        <f>VLOOKUP(AO30,'PGD04'!C:G,5,0)</f>
        <v>GEMÜ</v>
      </c>
      <c r="BD30" s="84" t="str">
        <f>VLOOKUP(AN30,'PGD05'!A:E,1,0)</f>
        <v>Superior</v>
      </c>
      <c r="BE30" s="84" t="str">
        <f>VLOOKUP(AO30,'PGD05'!C:E,1,0)</f>
        <v>Entrada propagador BV alimentação carbono</v>
      </c>
      <c r="BF30" s="84" t="str">
        <f>VLOOKUP(AO30,'PGD05'!C:E,3,0)</f>
        <v>DN-25</v>
      </c>
      <c r="BG30" s="82" t="str">
        <f>VLOOKUP(AO30,'PGD05'!C:G,5,0)</f>
        <v>GEMÜ</v>
      </c>
      <c r="BH30" s="84" t="str">
        <f>VLOOKUP(AN30,'PGD06'!A:E,1,0)</f>
        <v>Superior</v>
      </c>
      <c r="BI30" s="84" t="str">
        <f>VLOOKUP(AO30,'PGD06'!C:E,1,0)</f>
        <v>Entrada propagador BV alimentação carbono</v>
      </c>
      <c r="BJ30" s="84" t="str">
        <f>VLOOKUP(AO30,'PGD06'!C:E,3,0)</f>
        <v>DN-25</v>
      </c>
      <c r="BK30" s="82" t="str">
        <f>VLOOKUP(AO30,'PGD06'!C:G,5,0)</f>
        <v>GEMÜ</v>
      </c>
      <c r="BL30" s="84" t="str">
        <f>VLOOKUP(AN30,'PGD07'!A:E,1,0)</f>
        <v>Superior</v>
      </c>
      <c r="BM30" s="84" t="str">
        <f>VLOOKUP(AO30,'PGD07'!C:E,1,0)</f>
        <v>Entrada propagador BV alimentação carbono</v>
      </c>
      <c r="BN30" s="84" t="str">
        <f>VLOOKUP(AO30,'PGD07'!C:E,3,0)</f>
        <v>DN-25</v>
      </c>
      <c r="BO30" s="82" t="str">
        <f>VLOOKUP(AO30,'PGD07'!C:G,5,0)</f>
        <v>GEMÜ</v>
      </c>
      <c r="BP30" s="84" t="str">
        <f>VLOOKUP(AN30,'PGD08'!A:E,1,0)</f>
        <v>Superior</v>
      </c>
      <c r="BQ30" s="84" t="str">
        <f>VLOOKUP(AO30,'PGD08'!C:E,1,0)</f>
        <v>Entrada propagador BV alimentação carbono</v>
      </c>
      <c r="BR30" s="84" t="str">
        <f>VLOOKUP(AO30,'PGD08'!C:E,3,0)</f>
        <v>DN-25</v>
      </c>
      <c r="BS30" s="82" t="str">
        <f>VLOOKUP(AO30,'PGD08'!C:G,5,0)</f>
        <v>GEMÜ</v>
      </c>
      <c r="BT30" s="84" t="str">
        <f>VLOOKUP(AN30,'PGD09'!A:E,1,0)</f>
        <v>Superior</v>
      </c>
      <c r="BU30" s="84" t="str">
        <f>VLOOKUP(AO30,'PGD09'!C:E,1,0)</f>
        <v>Entrada propagador BV alimentação carbono</v>
      </c>
      <c r="BV30" s="84" t="str">
        <f>VLOOKUP(AO30,'PGD09'!C:E,3,0)</f>
        <v>DN-25</v>
      </c>
      <c r="BW30" s="82" t="str">
        <f>VLOOKUP(AO30,'PGD09'!C:G,5,0)</f>
        <v>GEMÜ</v>
      </c>
      <c r="BX30" s="84" t="str">
        <f>VLOOKUP(AN30,'PGD10'!A:E,1,0)</f>
        <v>Superior</v>
      </c>
      <c r="BY30" s="84" t="str">
        <f>VLOOKUP(AO30,'PGD10'!C:E,1,0)</f>
        <v>Entrada propagador BV alimentação carbono</v>
      </c>
      <c r="BZ30" s="84" t="str">
        <f>VLOOKUP(AO30,'PGD10'!C:E,3,0)</f>
        <v>DN-25</v>
      </c>
      <c r="CA30" s="82" t="str">
        <f>VLOOKUP(AO30,'PGD10'!C:G,5,0)</f>
        <v>GEMÜ</v>
      </c>
      <c r="CB30" s="84" t="str">
        <f>VLOOKUP(AN30,'PGD11'!A:E,1,0)</f>
        <v>Superior</v>
      </c>
      <c r="CC30" s="84" t="str">
        <f>VLOOKUP(AO30,'PGD11'!C:E,1,0)</f>
        <v>Entrada propagador BV alimentação carbono</v>
      </c>
      <c r="CD30" s="84" t="str">
        <f>VLOOKUP(AO30,'PGD11'!C:E,3,0)</f>
        <v>DN-25</v>
      </c>
      <c r="CE30" s="82" t="str">
        <f>VLOOKUP(AO30,'PGD11'!C:G,5,0)</f>
        <v>GEMÜ</v>
      </c>
      <c r="CF30" s="84" t="str">
        <f>VLOOKUP(AN30,'PGD12'!A:E,1,0)</f>
        <v>Superior</v>
      </c>
      <c r="CG30" s="84" t="str">
        <f>VLOOKUP(AO30,'PGD12'!C:E,1,0)</f>
        <v>Entrada propagador BV alimentação carbono</v>
      </c>
      <c r="CH30" s="84" t="str">
        <f>VLOOKUP(AO30,'PGD12'!C:E,3,0)</f>
        <v>DN-25</v>
      </c>
      <c r="CI30" s="84" t="str">
        <f>VLOOKUP(AO30,'PGD12'!C:G,5,0)</f>
        <v>GEMÜ</v>
      </c>
      <c r="CJ30" s="82">
        <f t="shared" si="0"/>
        <v>11</v>
      </c>
      <c r="CL30" s="51" t="s">
        <v>128</v>
      </c>
      <c r="CM30" s="6" t="s">
        <v>86</v>
      </c>
      <c r="CN30" s="80" t="s">
        <v>5</v>
      </c>
      <c r="CO30" s="85" t="str">
        <f>VLOOKUP(CL30,'BLD03'!C:E,1,0)</f>
        <v>Entrada bloco BV alimentação CIP</v>
      </c>
      <c r="CP30" s="84" t="str">
        <f>VLOOKUP(CL30,'BLD03'!C:E,3,0)</f>
        <v>DN-25</v>
      </c>
      <c r="CQ30" s="84" t="str">
        <f>VLOOKUP(CL30,'BLD02'!C:G,5,0)</f>
        <v>GEMÜ</v>
      </c>
      <c r="CR30" s="82">
        <f t="shared" si="2"/>
        <v>2</v>
      </c>
    </row>
    <row r="31" spans="2:96" x14ac:dyDescent="0.25">
      <c r="B31" s="64" t="s">
        <v>139</v>
      </c>
      <c r="C31" s="7" t="s">
        <v>76</v>
      </c>
      <c r="D31" s="69" t="s">
        <v>5</v>
      </c>
      <c r="E31" s="57" t="e">
        <f>VLOOKUP(B31,'FTD02'!C:E,1,0)</f>
        <v>#N/A</v>
      </c>
      <c r="F31" s="53" t="e">
        <f>VLOOKUP(B31,'FTD02'!C:E,3,0)</f>
        <v>#N/A</v>
      </c>
      <c r="G31" s="56" t="e">
        <f>VLOOKUP(B31,'FTD02'!C:G,5,0)</f>
        <v>#N/A</v>
      </c>
      <c r="H31" s="57" t="e">
        <f>VLOOKUP(B31,'FTD03'!C:E,1,0)</f>
        <v>#N/A</v>
      </c>
      <c r="I31" s="53" t="e">
        <f>VLOOKUP(B31,'FTD03'!C:E,3,0)</f>
        <v>#N/A</v>
      </c>
      <c r="J31" s="56" t="e">
        <f>VLOOKUP(B31,'FTD03'!C:G,5,0)</f>
        <v>#N/A</v>
      </c>
      <c r="K31" s="57" t="e">
        <f>VLOOKUP(B31,'FTD04'!C:E,1,0)</f>
        <v>#N/A</v>
      </c>
      <c r="L31" s="53" t="e">
        <f>VLOOKUP(B31,'FTD04'!C:E,3,0)</f>
        <v>#N/A</v>
      </c>
      <c r="M31" s="56" t="e">
        <f>VLOOKUP(B31,'FTD04'!C:G,5,0)</f>
        <v>#N/A</v>
      </c>
      <c r="N31" s="57" t="e">
        <f>VLOOKUP(B31,'FTD05'!C:E,1,0)</f>
        <v>#N/A</v>
      </c>
      <c r="O31" s="53" t="e">
        <f>VLOOKUP(B31,'FTD05'!C:E,3,0)</f>
        <v>#N/A</v>
      </c>
      <c r="P31" s="56" t="e">
        <f>VLOOKUP(B31,'FTD05'!C:G,5,0)</f>
        <v>#N/A</v>
      </c>
      <c r="Q31" s="65" t="e">
        <f>VLOOKUP(B31,'FTD06'!C:E,1,0)</f>
        <v>#N/A</v>
      </c>
      <c r="R31" s="53" t="e">
        <f>VLOOKUP(B31,'FTD06'!C:E,3,0)</f>
        <v>#N/A</v>
      </c>
      <c r="S31" s="74" t="e">
        <f>VLOOKUP(B31,'FTD06'!C:G,5,0)</f>
        <v>#N/A</v>
      </c>
      <c r="T31" s="57" t="e">
        <f>VLOOKUP(B31,'FTD07'!C:E,1,0)</f>
        <v>#N/A</v>
      </c>
      <c r="U31" s="53" t="e">
        <f>VLOOKUP(B31,'FTD07'!C:E,3,0)</f>
        <v>#N/A</v>
      </c>
      <c r="V31" s="56" t="e">
        <f>VLOOKUP(B31,'FTD07'!C:G,5,0)</f>
        <v>#N/A</v>
      </c>
      <c r="W31" s="65" t="e">
        <f>VLOOKUP(B31,'FTD08'!C:E,1,0)</f>
        <v>#N/A</v>
      </c>
      <c r="X31" s="53" t="e">
        <f>VLOOKUP(B31,'FTD08'!C:E,3,0)</f>
        <v>#N/A</v>
      </c>
      <c r="Y31" s="74" t="e">
        <f>VLOOKUP(B31,'FTD08'!C:G,5,0)</f>
        <v>#N/A</v>
      </c>
      <c r="Z31" s="57" t="e">
        <f>VLOOKUP(B31,'FTD09'!C:E,1,0)</f>
        <v>#N/A</v>
      </c>
      <c r="AA31" s="53" t="e">
        <f>VLOOKUP(B31,'FTD09'!C:E,3,0)</f>
        <v>#N/A</v>
      </c>
      <c r="AB31" s="56" t="e">
        <f>VLOOKUP(B31,'FTD09'!C:G,5,0)</f>
        <v>#N/A</v>
      </c>
      <c r="AC31" s="65" t="e">
        <f>VLOOKUP(B31,'FTD10'!C:E,1,0)</f>
        <v>#N/A</v>
      </c>
      <c r="AD31" s="53" t="e">
        <f>VLOOKUP(B31,'FTD10'!C:E,3,0)</f>
        <v>#N/A</v>
      </c>
      <c r="AE31" s="74" t="e">
        <f>VLOOKUP(B31,'FTD10'!C:G,5,0)</f>
        <v>#N/A</v>
      </c>
      <c r="AF31" s="57" t="e">
        <f>VLOOKUP(B31,'FTD11'!C:E,1,0)</f>
        <v>#N/A</v>
      </c>
      <c r="AG31" s="53" t="e">
        <f>VLOOKUP(B31,'FTD11'!C:E,3,0)</f>
        <v>#N/A</v>
      </c>
      <c r="AH31" s="56" t="e">
        <f>VLOOKUP(B31,'FTD11'!C:G,5,0)</f>
        <v>#N/A</v>
      </c>
      <c r="AI31" s="65" t="e">
        <f>VLOOKUP(B31,'FTD12'!C:E,1,0)</f>
        <v>#N/A</v>
      </c>
      <c r="AJ31" s="53" t="e">
        <f>VLOOKUP(B31,'FTD12'!C:E,3,0)</f>
        <v>#N/A</v>
      </c>
      <c r="AK31" s="53" t="e">
        <f>VLOOKUP(B31,'FTD12'!C:G,5,0)</f>
        <v>#N/A</v>
      </c>
      <c r="AL31" s="56">
        <f t="shared" si="1"/>
        <v>32</v>
      </c>
      <c r="AN31" s="63" t="s">
        <v>68</v>
      </c>
      <c r="AO31" s="16" t="s">
        <v>140</v>
      </c>
      <c r="AP31" s="16" t="s">
        <v>86</v>
      </c>
      <c r="AQ31" s="78" t="s">
        <v>141</v>
      </c>
      <c r="AR31" s="84" t="str">
        <f>VLOOKUP(AN31,'PGD02'!A:E,1,0)</f>
        <v>Superior</v>
      </c>
      <c r="AS31" s="53" t="str">
        <f>VLOOKUP(AO31,'PGD02'!C:E,1,0)</f>
        <v>Entrada propagador BV alimentação nitrogênio</v>
      </c>
      <c r="AT31" s="53" t="str">
        <f>VLOOKUP(AO31,'PGD02'!C:E,3,0)</f>
        <v>DN-25</v>
      </c>
      <c r="AU31" s="56" t="str">
        <f>VLOOKUP(AO31,'PGD02'!C:G,5,0)</f>
        <v>GEMÜ</v>
      </c>
      <c r="AV31" s="84" t="str">
        <f>VLOOKUP(AN31,'PGD03'!A:E,1,0)</f>
        <v>Superior</v>
      </c>
      <c r="AW31" s="53" t="str">
        <f>VLOOKUP(AO31,'PGD03'!C:E,1,0)</f>
        <v>Entrada propagador BV alimentação nitrogênio</v>
      </c>
      <c r="AX31" s="53" t="str">
        <f>VLOOKUP(AO31,'PGD03'!C:E,3,0)</f>
        <v>DN-25</v>
      </c>
      <c r="AY31" s="56" t="str">
        <f>VLOOKUP(AO31,'PGD03'!C:G,5,0)</f>
        <v>GEMÜ</v>
      </c>
      <c r="AZ31" s="84" t="str">
        <f>VLOOKUP(AN31,'PGD04'!A:E,1,0)</f>
        <v>Superior</v>
      </c>
      <c r="BA31" s="53" t="str">
        <f>VLOOKUP(AO31,'PGD03'!C:E,1,0)</f>
        <v>Entrada propagador BV alimentação nitrogênio</v>
      </c>
      <c r="BB31" s="53" t="str">
        <f>VLOOKUP(AO31,'PGD04'!C:E,3,0)</f>
        <v>DN-25</v>
      </c>
      <c r="BC31" s="56" t="str">
        <f>VLOOKUP(AO31,'PGD04'!C:G,5,0)</f>
        <v>GEMÜ</v>
      </c>
      <c r="BD31" s="84" t="str">
        <f>VLOOKUP(AN31,'PGD05'!A:E,1,0)</f>
        <v>Superior</v>
      </c>
      <c r="BE31" s="53" t="str">
        <f>VLOOKUP(AO31,'PGD05'!C:E,1,0)</f>
        <v>Entrada propagador BV alimentação nitrogênio</v>
      </c>
      <c r="BF31" s="53" t="str">
        <f>VLOOKUP(AO31,'PGD05'!C:E,3,0)</f>
        <v>DN-25</v>
      </c>
      <c r="BG31" s="56" t="str">
        <f>VLOOKUP(AO31,'PGD05'!C:G,5,0)</f>
        <v>GEMÜ</v>
      </c>
      <c r="BH31" s="84" t="str">
        <f>VLOOKUP(AN31,'PGD06'!A:E,1,0)</f>
        <v>Superior</v>
      </c>
      <c r="BI31" s="53" t="str">
        <f>VLOOKUP(AO31,'PGD06'!C:E,1,0)</f>
        <v>Entrada propagador BV alimentação nitrogênio</v>
      </c>
      <c r="BJ31" s="53" t="str">
        <f>VLOOKUP(AO31,'PGD06'!C:E,3,0)</f>
        <v>DN-25</v>
      </c>
      <c r="BK31" s="56" t="str">
        <f>VLOOKUP(AO31,'PGD06'!C:G,5,0)</f>
        <v>GEMÜ</v>
      </c>
      <c r="BL31" s="84" t="str">
        <f>VLOOKUP(AN31,'PGD07'!A:E,1,0)</f>
        <v>Superior</v>
      </c>
      <c r="BM31" s="53" t="str">
        <f>VLOOKUP(AO31,'PGD07'!C:E,1,0)</f>
        <v>Entrada propagador BV alimentação nitrogênio</v>
      </c>
      <c r="BN31" s="53" t="str">
        <f>VLOOKUP(AO31,'PGD07'!C:E,3,0)</f>
        <v>DN-25</v>
      </c>
      <c r="BO31" s="56" t="str">
        <f>VLOOKUP(AO31,'PGD07'!C:G,5,0)</f>
        <v>GEMÜ</v>
      </c>
      <c r="BP31" s="84" t="str">
        <f>VLOOKUP(AN31,'PGD08'!A:E,1,0)</f>
        <v>Superior</v>
      </c>
      <c r="BQ31" s="53" t="str">
        <f>VLOOKUP(AO31,'PGD08'!C:E,1,0)</f>
        <v>Entrada propagador BV alimentação nitrogênio</v>
      </c>
      <c r="BR31" s="53" t="str">
        <f>VLOOKUP(AO31,'PGD08'!C:E,3,0)</f>
        <v>DN-25</v>
      </c>
      <c r="BS31" s="56" t="str">
        <f>VLOOKUP(AO31,'PGD08'!C:G,5,0)</f>
        <v>GEMÜ</v>
      </c>
      <c r="BT31" s="84" t="str">
        <f>VLOOKUP(AN31,'PGD09'!A:E,1,0)</f>
        <v>Superior</v>
      </c>
      <c r="BU31" s="53" t="str">
        <f>VLOOKUP(AO31,'PGD09'!C:E,1,0)</f>
        <v>Entrada propagador BV alimentação nitrogênio</v>
      </c>
      <c r="BV31" s="53" t="str">
        <f>VLOOKUP(AO31,'PGD09'!C:E,3,0)</f>
        <v>DN-25</v>
      </c>
      <c r="BW31" s="56" t="str">
        <f>VLOOKUP(AO31,'PGD09'!C:G,5,0)</f>
        <v>GEMÜ</v>
      </c>
      <c r="BX31" s="84" t="str">
        <f>VLOOKUP(AN31,'PGD10'!A:E,1,0)</f>
        <v>Superior</v>
      </c>
      <c r="BY31" s="53" t="str">
        <f>VLOOKUP(AO31,'PGD10'!C:E,1,0)</f>
        <v>Entrada propagador BV alimentação nitrogênio</v>
      </c>
      <c r="BZ31" s="53" t="str">
        <f>VLOOKUP(AO31,'PGD10'!C:E,3,0)</f>
        <v>DN-25</v>
      </c>
      <c r="CA31" s="56" t="str">
        <f>VLOOKUP(AO31,'PGD10'!C:G,5,0)</f>
        <v>GEMÜ</v>
      </c>
      <c r="CB31" s="84" t="str">
        <f>VLOOKUP(AN31,'PGD11'!A:E,1,0)</f>
        <v>Superior</v>
      </c>
      <c r="CC31" s="53" t="str">
        <f>VLOOKUP(AO31,'PGD11'!C:E,1,0)</f>
        <v>Entrada propagador BV alimentação nitrogênio</v>
      </c>
      <c r="CD31" s="53" t="str">
        <f>VLOOKUP(AO31,'PGD11'!C:E,3,0)</f>
        <v>DN-25</v>
      </c>
      <c r="CE31" s="56" t="str">
        <f>VLOOKUP(AO31,'PGD11'!C:G,5,0)</f>
        <v>GEMÜ</v>
      </c>
      <c r="CF31" s="84" t="str">
        <f>VLOOKUP(AN31,'PGD12'!A:E,1,0)</f>
        <v>Superior</v>
      </c>
      <c r="CG31" s="53" t="str">
        <f>VLOOKUP(AO31,'PGD12'!C:E,1,0)</f>
        <v>Entrada propagador BV alimentação nitrogênio</v>
      </c>
      <c r="CH31" s="53" t="str">
        <f>VLOOKUP(AO31,'PGD12'!C:E,3,0)</f>
        <v>DN-25</v>
      </c>
      <c r="CI31" s="53" t="str">
        <f>VLOOKUP(AO31,'PGD12'!C:G,5,0)</f>
        <v>GEMÜ</v>
      </c>
      <c r="CJ31" s="56">
        <f t="shared" si="0"/>
        <v>11</v>
      </c>
      <c r="CL31" s="52" t="s">
        <v>142</v>
      </c>
      <c r="CM31" s="16" t="s">
        <v>86</v>
      </c>
      <c r="CN31" s="81" t="s">
        <v>5</v>
      </c>
      <c r="CO31" s="65" t="str">
        <f>VLOOKUP(CL31,'BLD03'!C:E,1,0)</f>
        <v>Entrada blender BV alimentação CIP</v>
      </c>
      <c r="CP31" s="53" t="str">
        <f>VLOOKUP(CL31,'BLD03'!C:E,3,0)</f>
        <v>DN-25</v>
      </c>
      <c r="CQ31" s="53" t="str">
        <f>VLOOKUP(CL31,'BLD02'!C:G,5,0)</f>
        <v>GEMÜ</v>
      </c>
      <c r="CR31" s="56">
        <f t="shared" si="2"/>
        <v>2</v>
      </c>
    </row>
    <row r="32" spans="2:96" x14ac:dyDescent="0.25">
      <c r="B32" s="62" t="s">
        <v>143</v>
      </c>
      <c r="C32" s="14" t="s">
        <v>51</v>
      </c>
      <c r="D32" s="68" t="s">
        <v>5</v>
      </c>
      <c r="E32" s="83" t="e">
        <f>VLOOKUP(B32,'FTD02'!C:E,1,0)</f>
        <v>#N/A</v>
      </c>
      <c r="F32" s="84" t="e">
        <f>VLOOKUP(B32,'FTD02'!C:E,3,0)</f>
        <v>#N/A</v>
      </c>
      <c r="G32" s="82" t="e">
        <f>VLOOKUP(B32,'FTD02'!C:G,5,0)</f>
        <v>#N/A</v>
      </c>
      <c r="H32" s="83" t="e">
        <f>VLOOKUP(B32,'FTD03'!C:E,1,0)</f>
        <v>#N/A</v>
      </c>
      <c r="I32" s="84" t="e">
        <f>VLOOKUP(B32,'FTD03'!C:E,3,0)</f>
        <v>#N/A</v>
      </c>
      <c r="J32" s="82" t="e">
        <f>VLOOKUP(B32,'FTD03'!C:G,5,0)</f>
        <v>#N/A</v>
      </c>
      <c r="K32" s="83" t="e">
        <f>VLOOKUP(B32,'FTD04'!C:E,1,0)</f>
        <v>#N/A</v>
      </c>
      <c r="L32" s="84" t="e">
        <f>VLOOKUP(B32,'FTD04'!C:E,3,0)</f>
        <v>#N/A</v>
      </c>
      <c r="M32" s="82" t="e">
        <f>VLOOKUP(B32,'FTD04'!C:G,5,0)</f>
        <v>#N/A</v>
      </c>
      <c r="N32" s="83" t="e">
        <f>VLOOKUP(B32,'FTD05'!C:E,1,0)</f>
        <v>#N/A</v>
      </c>
      <c r="O32" s="84" t="e">
        <f>VLOOKUP(B32,'FTD05'!C:E,3,0)</f>
        <v>#N/A</v>
      </c>
      <c r="P32" s="82" t="e">
        <f>VLOOKUP(B32,'FTD05'!C:G,5,0)</f>
        <v>#N/A</v>
      </c>
      <c r="Q32" s="85" t="e">
        <f>VLOOKUP(B32,'FTD06'!C:E,1,0)</f>
        <v>#N/A</v>
      </c>
      <c r="R32" s="84" t="e">
        <f>VLOOKUP(B32,'FTD06'!C:E,3,0)</f>
        <v>#N/A</v>
      </c>
      <c r="S32" s="86" t="e">
        <f>VLOOKUP(B32,'FTD06'!C:G,5,0)</f>
        <v>#N/A</v>
      </c>
      <c r="T32" s="83" t="e">
        <f>VLOOKUP(B32,'FTD07'!C:E,1,0)</f>
        <v>#N/A</v>
      </c>
      <c r="U32" s="84" t="e">
        <f>VLOOKUP(B32,'FTD07'!C:E,3,0)</f>
        <v>#N/A</v>
      </c>
      <c r="V32" s="82" t="e">
        <f>VLOOKUP(B32,'FTD07'!C:G,5,0)</f>
        <v>#N/A</v>
      </c>
      <c r="W32" s="85" t="e">
        <f>VLOOKUP(B32,'FTD08'!C:E,1,0)</f>
        <v>#N/A</v>
      </c>
      <c r="X32" s="84" t="e">
        <f>VLOOKUP(B32,'FTD08'!C:E,3,0)</f>
        <v>#N/A</v>
      </c>
      <c r="Y32" s="86" t="e">
        <f>VLOOKUP(B32,'FTD08'!C:G,5,0)</f>
        <v>#N/A</v>
      </c>
      <c r="Z32" s="83" t="e">
        <f>VLOOKUP(B32,'FTD09'!C:E,1,0)</f>
        <v>#N/A</v>
      </c>
      <c r="AA32" s="84" t="e">
        <f>VLOOKUP(B32,'FTD09'!C:E,3,0)</f>
        <v>#N/A</v>
      </c>
      <c r="AB32" s="82" t="e">
        <f>VLOOKUP(B32,'FTD09'!C:G,5,0)</f>
        <v>#N/A</v>
      </c>
      <c r="AC32" s="85" t="e">
        <f>VLOOKUP(B32,'FTD10'!C:E,1,0)</f>
        <v>#N/A</v>
      </c>
      <c r="AD32" s="84" t="e">
        <f>VLOOKUP(B32,'FTD10'!C:E,3,0)</f>
        <v>#N/A</v>
      </c>
      <c r="AE32" s="86" t="e">
        <f>VLOOKUP(B32,'FTD10'!C:G,5,0)</f>
        <v>#N/A</v>
      </c>
      <c r="AF32" s="83" t="e">
        <f>VLOOKUP(B32,'FTD11'!C:E,1,0)</f>
        <v>#N/A</v>
      </c>
      <c r="AG32" s="84" t="e">
        <f>VLOOKUP(B32,'FTD11'!C:E,3,0)</f>
        <v>#N/A</v>
      </c>
      <c r="AH32" s="82" t="e">
        <f>VLOOKUP(B32,'FTD11'!C:G,5,0)</f>
        <v>#N/A</v>
      </c>
      <c r="AI32" s="85" t="e">
        <f>VLOOKUP(B32,'FTD12'!C:E,1,0)</f>
        <v>#N/A</v>
      </c>
      <c r="AJ32" s="84" t="e">
        <f>VLOOKUP(B32,'FTD12'!C:E,3,0)</f>
        <v>#N/A</v>
      </c>
      <c r="AK32" s="84" t="e">
        <f>VLOOKUP(B32,'FTD12'!C:G,5,0)</f>
        <v>#N/A</v>
      </c>
      <c r="AL32" s="82">
        <f t="shared" si="1"/>
        <v>32</v>
      </c>
      <c r="AN32" s="62" t="s">
        <v>68</v>
      </c>
      <c r="AO32" s="14" t="s">
        <v>144</v>
      </c>
      <c r="AP32" s="14" t="s">
        <v>86</v>
      </c>
      <c r="AQ32" s="68" t="s">
        <v>145</v>
      </c>
      <c r="AR32" s="84" t="str">
        <f>VLOOKUP(AN32,'PGD02'!A:E,1,0)</f>
        <v>Superior</v>
      </c>
      <c r="AS32" s="84" t="str">
        <f>VLOOKUP(AO32,'PGD02'!C:E,1,0)</f>
        <v>Entrada propagador BV alimentação sais</v>
      </c>
      <c r="AT32" s="84" t="str">
        <f>VLOOKUP(AO32,'PGD02'!C:E,3,0)</f>
        <v>DN-25</v>
      </c>
      <c r="AU32" s="82" t="str">
        <f>VLOOKUP(AO32,'PGD02'!C:G,5,0)</f>
        <v>GEMÜ</v>
      </c>
      <c r="AV32" s="84" t="str">
        <f>VLOOKUP(AN32,'PGD03'!A:E,1,0)</f>
        <v>Superior</v>
      </c>
      <c r="AW32" s="84" t="str">
        <f>VLOOKUP(AO32,'PGD03'!C:E,1,0)</f>
        <v>Entrada propagador BV alimentação sais</v>
      </c>
      <c r="AX32" s="84" t="str">
        <f>VLOOKUP(AO32,'PGD03'!C:E,3,0)</f>
        <v>DN-25</v>
      </c>
      <c r="AY32" s="82" t="str">
        <f>VLOOKUP(AO32,'PGD03'!C:G,5,0)</f>
        <v>GEMÜ</v>
      </c>
      <c r="AZ32" s="84" t="str">
        <f>VLOOKUP(AN32,'PGD04'!A:E,1,0)</f>
        <v>Superior</v>
      </c>
      <c r="BA32" s="84" t="str">
        <f>VLOOKUP(AO32,'PGD03'!C:E,1,0)</f>
        <v>Entrada propagador BV alimentação sais</v>
      </c>
      <c r="BB32" s="84" t="str">
        <f>VLOOKUP(AO32,'PGD04'!C:E,3,0)</f>
        <v>DN-25</v>
      </c>
      <c r="BC32" s="82" t="str">
        <f>VLOOKUP(AO32,'PGD04'!C:G,5,0)</f>
        <v>GEMÜ</v>
      </c>
      <c r="BD32" s="84" t="str">
        <f>VLOOKUP(AN32,'PGD05'!A:E,1,0)</f>
        <v>Superior</v>
      </c>
      <c r="BE32" s="84" t="str">
        <f>VLOOKUP(AO32,'PGD05'!C:E,1,0)</f>
        <v>Entrada propagador BV alimentação sais</v>
      </c>
      <c r="BF32" s="84" t="str">
        <f>VLOOKUP(AO32,'PGD05'!C:E,3,0)</f>
        <v>DN-25</v>
      </c>
      <c r="BG32" s="82" t="str">
        <f>VLOOKUP(AO32,'PGD05'!C:G,5,0)</f>
        <v>GEMÜ</v>
      </c>
      <c r="BH32" s="84" t="str">
        <f>VLOOKUP(AN32,'PGD06'!A:E,1,0)</f>
        <v>Superior</v>
      </c>
      <c r="BI32" s="84" t="str">
        <f>VLOOKUP(AO32,'PGD06'!C:E,1,0)</f>
        <v>Entrada propagador BV alimentação sais</v>
      </c>
      <c r="BJ32" s="84" t="str">
        <f>VLOOKUP(AO32,'PGD06'!C:E,3,0)</f>
        <v>DN-25</v>
      </c>
      <c r="BK32" s="82" t="str">
        <f>VLOOKUP(AO32,'PGD06'!C:G,5,0)</f>
        <v>GEMÜ</v>
      </c>
      <c r="BL32" s="84" t="str">
        <f>VLOOKUP(AN32,'PGD07'!A:E,1,0)</f>
        <v>Superior</v>
      </c>
      <c r="BM32" s="84" t="str">
        <f>VLOOKUP(AO32,'PGD07'!C:E,1,0)</f>
        <v>Entrada propagador BV alimentação sais</v>
      </c>
      <c r="BN32" s="84" t="str">
        <f>VLOOKUP(AO32,'PGD07'!C:E,3,0)</f>
        <v>DN-25</v>
      </c>
      <c r="BO32" s="82" t="str">
        <f>VLOOKUP(AO32,'PGD07'!C:G,5,0)</f>
        <v>GEMÜ</v>
      </c>
      <c r="BP32" s="84" t="str">
        <f>VLOOKUP(AN32,'PGD08'!A:E,1,0)</f>
        <v>Superior</v>
      </c>
      <c r="BQ32" s="84" t="str">
        <f>VLOOKUP(AO32,'PGD08'!C:E,1,0)</f>
        <v>Entrada propagador BV alimentação sais</v>
      </c>
      <c r="BR32" s="84" t="str">
        <f>VLOOKUP(AO32,'PGD08'!C:E,3,0)</f>
        <v>DN-25</v>
      </c>
      <c r="BS32" s="82" t="str">
        <f>VLOOKUP(AO32,'PGD08'!C:G,5,0)</f>
        <v>GEMÜ</v>
      </c>
      <c r="BT32" s="84" t="str">
        <f>VLOOKUP(AN32,'PGD09'!A:E,1,0)</f>
        <v>Superior</v>
      </c>
      <c r="BU32" s="84" t="str">
        <f>VLOOKUP(AO32,'PGD09'!C:E,1,0)</f>
        <v>Entrada propagador BV alimentação sais</v>
      </c>
      <c r="BV32" s="84" t="str">
        <f>VLOOKUP(AO32,'PGD09'!C:E,3,0)</f>
        <v>DN-25</v>
      </c>
      <c r="BW32" s="82" t="str">
        <f>VLOOKUP(AO32,'PGD09'!C:G,5,0)</f>
        <v>GEMÜ</v>
      </c>
      <c r="BX32" s="84" t="str">
        <f>VLOOKUP(AN32,'PGD10'!A:E,1,0)</f>
        <v>Superior</v>
      </c>
      <c r="BY32" s="84" t="str">
        <f>VLOOKUP(AO32,'PGD10'!C:E,1,0)</f>
        <v>Entrada propagador BV alimentação sais</v>
      </c>
      <c r="BZ32" s="84" t="str">
        <f>VLOOKUP(AO32,'PGD10'!C:E,3,0)</f>
        <v>DN-25</v>
      </c>
      <c r="CA32" s="82" t="str">
        <f>VLOOKUP(AO32,'PGD10'!C:G,5,0)</f>
        <v>GEMÜ</v>
      </c>
      <c r="CB32" s="84" t="str">
        <f>VLOOKUP(AN32,'PGD11'!A:E,1,0)</f>
        <v>Superior</v>
      </c>
      <c r="CC32" s="84" t="str">
        <f>VLOOKUP(AO32,'PGD11'!C:E,1,0)</f>
        <v>Entrada propagador BV alimentação sais</v>
      </c>
      <c r="CD32" s="84" t="str">
        <f>VLOOKUP(AO32,'PGD11'!C:E,3,0)</f>
        <v>DN-25</v>
      </c>
      <c r="CE32" s="82" t="str">
        <f>VLOOKUP(AO32,'PGD11'!C:G,5,0)</f>
        <v>GEMÜ</v>
      </c>
      <c r="CF32" s="84" t="str">
        <f>VLOOKUP(AN32,'PGD12'!A:E,1,0)</f>
        <v>Superior</v>
      </c>
      <c r="CG32" s="84" t="str">
        <f>VLOOKUP(AO32,'PGD12'!C:E,1,0)</f>
        <v>Entrada propagador BV alimentação sais</v>
      </c>
      <c r="CH32" s="84" t="str">
        <f>VLOOKUP(AO32,'PGD12'!C:E,3,0)</f>
        <v>DN-25</v>
      </c>
      <c r="CI32" s="84" t="str">
        <f>VLOOKUP(AO32,'PGD12'!C:G,5,0)</f>
        <v>GEMÜ</v>
      </c>
      <c r="CJ32" s="82">
        <f t="shared" si="0"/>
        <v>11</v>
      </c>
      <c r="CL32" s="51" t="s">
        <v>146</v>
      </c>
      <c r="CM32" s="6" t="s">
        <v>86</v>
      </c>
      <c r="CN32" s="80" t="s">
        <v>5</v>
      </c>
      <c r="CO32" s="85" t="str">
        <f>VLOOKUP(CL32,'BLD03'!C:E,1,0)</f>
        <v>Dreno BV alimentação CIP</v>
      </c>
      <c r="CP32" s="116" t="str">
        <f>VLOOKUP(CL32,'BLD03'!C:E,3,0)</f>
        <v>DN-15</v>
      </c>
      <c r="CQ32" s="84" t="str">
        <f>VLOOKUP(CL32,'BLD02'!C:G,5,0)</f>
        <v>ZDL</v>
      </c>
      <c r="CR32" s="82">
        <f t="shared" si="2"/>
        <v>1</v>
      </c>
    </row>
    <row r="33" spans="2:96" x14ac:dyDescent="0.25">
      <c r="B33" s="64" t="s">
        <v>147</v>
      </c>
      <c r="C33" s="7" t="s">
        <v>80</v>
      </c>
      <c r="D33" s="69" t="s">
        <v>5</v>
      </c>
      <c r="E33" s="57" t="str">
        <f>VLOOKUP(B33,'FTD02'!C:E,1,0)</f>
        <v>Entrada fermentador BV alimentação água quente</v>
      </c>
      <c r="F33" s="53" t="str">
        <f>VLOOKUP(B33,'FTD02'!C:E,3,0)</f>
        <v>DN-50</v>
      </c>
      <c r="G33" s="56" t="str">
        <f>VLOOKUP(B33,'FTD02'!C:G,5,0)</f>
        <v>GEMÜ</v>
      </c>
      <c r="H33" s="57" t="str">
        <f>VLOOKUP(B33,'FTD03'!C:E,1,0)</f>
        <v>Entrada fermentador BV alimentação água quente</v>
      </c>
      <c r="I33" s="53" t="str">
        <f>VLOOKUP(B33,'FTD03'!C:E,3,0)</f>
        <v>DN-50</v>
      </c>
      <c r="J33" s="56" t="str">
        <f>VLOOKUP(B33,'FTD03'!C:G,5,0)</f>
        <v>GEMÜ</v>
      </c>
      <c r="K33" s="57" t="str">
        <f>VLOOKUP(B33,'FTD04'!C:E,1,0)</f>
        <v>Entrada fermentador BV alimentação água quente</v>
      </c>
      <c r="L33" s="53" t="str">
        <f>VLOOKUP(B33,'FTD04'!C:E,3,0)</f>
        <v>DN-50</v>
      </c>
      <c r="M33" s="56" t="str">
        <f>VLOOKUP(B33,'FTD04'!C:G,5,0)</f>
        <v>GEMÜ</v>
      </c>
      <c r="N33" s="57" t="str">
        <f>VLOOKUP(B33,'FTD05'!C:E,1,0)</f>
        <v>Entrada fermentador BV alimentação água quente</v>
      </c>
      <c r="O33" s="53" t="str">
        <f>VLOOKUP(B33,'FTD05'!C:E,3,0)</f>
        <v>DN-50</v>
      </c>
      <c r="P33" s="56" t="str">
        <f>VLOOKUP(B33,'FTD05'!C:G,5,0)</f>
        <v>GEMÜ</v>
      </c>
      <c r="Q33" s="65" t="str">
        <f>VLOOKUP(B33,'FTD06'!C:E,1,0)</f>
        <v>Entrada fermentador BV alimentação água quente</v>
      </c>
      <c r="R33" s="53" t="str">
        <f>VLOOKUP(B33,'FTD06'!C:E,3,0)</f>
        <v>DN-50</v>
      </c>
      <c r="S33" s="74" t="str">
        <f>VLOOKUP(B33,'FTD06'!C:G,5,0)</f>
        <v>GEMÜ</v>
      </c>
      <c r="T33" s="57" t="str">
        <f>VLOOKUP(B33,'FTD07'!C:E,1,0)</f>
        <v>Entrada fermentador BV alimentação água quente</v>
      </c>
      <c r="U33" s="53" t="str">
        <f>VLOOKUP(B33,'FTD07'!C:E,3,0)</f>
        <v>DN-50</v>
      </c>
      <c r="V33" s="56" t="str">
        <f>VLOOKUP(B33,'FTD07'!C:G,5,0)</f>
        <v>GEMÜ</v>
      </c>
      <c r="W33" s="65" t="str">
        <f>VLOOKUP(B33,'FTD08'!C:E,1,0)</f>
        <v>Entrada fermentador BV alimentação água quente</v>
      </c>
      <c r="X33" s="53" t="str">
        <f>VLOOKUP(B33,'FTD08'!C:E,3,0)</f>
        <v>DN-50</v>
      </c>
      <c r="Y33" s="74" t="str">
        <f>VLOOKUP(B33,'FTD08'!C:G,5,0)</f>
        <v>GEMÜ</v>
      </c>
      <c r="Z33" s="57" t="str">
        <f>VLOOKUP(B33,'FTD09'!C:E,1,0)</f>
        <v>Entrada fermentador BV alimentação água quente</v>
      </c>
      <c r="AA33" s="116" t="str">
        <f>VLOOKUP(B33,'FTD09'!C:E,3,0)</f>
        <v>DN-40</v>
      </c>
      <c r="AB33" s="56" t="str">
        <f>VLOOKUP(B33,'FTD09'!C:G,5,0)</f>
        <v>GEMÜ</v>
      </c>
      <c r="AC33" s="65" t="str">
        <f>VLOOKUP(B33,'FTD10'!C:E,1,0)</f>
        <v>Entrada fermentador BV alimentação água quente</v>
      </c>
      <c r="AD33" s="53" t="str">
        <f>VLOOKUP(B33,'FTD10'!C:E,3,0)</f>
        <v>DN-50</v>
      </c>
      <c r="AE33" s="74" t="str">
        <f>VLOOKUP(B33,'FTD10'!C:G,5,0)</f>
        <v>GEMÜ</v>
      </c>
      <c r="AF33" s="57" t="str">
        <f>VLOOKUP(B33,'FTD11'!C:E,1,0)</f>
        <v>Entrada fermentador BV alimentação água quente</v>
      </c>
      <c r="AG33" s="53" t="str">
        <f>VLOOKUP(B33,'FTD11'!C:E,3,0)</f>
        <v>DN-50</v>
      </c>
      <c r="AH33" s="56" t="str">
        <f>VLOOKUP(B33,'FTD11'!C:G,5,0)</f>
        <v>GEMÜ</v>
      </c>
      <c r="AI33" s="65" t="str">
        <f>VLOOKUP(B33,'FTD12'!C:E,1,0)</f>
        <v>Entrada fermentador BV alimentação água quente</v>
      </c>
      <c r="AJ33" s="53" t="str">
        <f>VLOOKUP(B33,'FTD12'!C:E,3,0)</f>
        <v>DN-50</v>
      </c>
      <c r="AK33" s="53" t="str">
        <f>VLOOKUP(B33,'FTD12'!C:G,5,0)</f>
        <v>GEMÜ</v>
      </c>
      <c r="AL33" s="56">
        <f t="shared" si="1"/>
        <v>10</v>
      </c>
      <c r="AN33" s="112" t="s">
        <v>68</v>
      </c>
      <c r="AO33" s="108" t="s">
        <v>148</v>
      </c>
      <c r="AP33" s="108" t="s">
        <v>48</v>
      </c>
      <c r="AQ33" s="114" t="s">
        <v>57</v>
      </c>
      <c r="AR33" s="84" t="str">
        <f>VLOOKUP(AN33,'PGD02'!A:E,1,0)</f>
        <v>Superior</v>
      </c>
      <c r="AS33" s="53" t="str">
        <f>VLOOKUP(AO33,'PGD02'!C:E,1,0)</f>
        <v xml:space="preserve">Válvula de bloqueio de vapor da linha de ar pré filtro absoluto </v>
      </c>
      <c r="AT33" s="53" t="str">
        <f>VLOOKUP(AO33,'PGD02'!C:E,3,0)</f>
        <v>DN-8</v>
      </c>
      <c r="AU33" s="56" t="str">
        <f>VLOOKUP(AO33,'PGD02'!C:G,5,0)</f>
        <v>ZDL</v>
      </c>
      <c r="AV33" s="84" t="str">
        <f>VLOOKUP(AN33,'PGD03'!A:E,1,0)</f>
        <v>Superior</v>
      </c>
      <c r="AW33" s="53" t="str">
        <f>VLOOKUP(AO33,'PGD03'!C:E,1,0)</f>
        <v xml:space="preserve">Válvula de bloqueio de vapor da linha de ar pré filtro absoluto </v>
      </c>
      <c r="AX33" s="53" t="str">
        <f>VLOOKUP(AO33,'PGD03'!C:E,3,0)</f>
        <v>DN-8</v>
      </c>
      <c r="AY33" s="56" t="str">
        <f>VLOOKUP(AO33,'PGD03'!C:G,5,0)</f>
        <v>ZDL</v>
      </c>
      <c r="AZ33" s="84" t="str">
        <f>VLOOKUP(AN33,'PGD04'!A:E,1,0)</f>
        <v>Superior</v>
      </c>
      <c r="BA33" s="53" t="str">
        <f>VLOOKUP(AO33,'PGD03'!C:E,1,0)</f>
        <v xml:space="preserve">Válvula de bloqueio de vapor da linha de ar pré filtro absoluto </v>
      </c>
      <c r="BB33" s="53" t="str">
        <f>VLOOKUP(AO33,'PGD04'!C:E,3,0)</f>
        <v>DN-8</v>
      </c>
      <c r="BC33" s="56" t="str">
        <f>VLOOKUP(AO33,'PGD04'!C:G,5,0)</f>
        <v>ZDL</v>
      </c>
      <c r="BD33" s="84" t="str">
        <f>VLOOKUP(AN33,'PGD05'!A:E,1,0)</f>
        <v>Superior</v>
      </c>
      <c r="BE33" s="53" t="str">
        <f>VLOOKUP(AO33,'PGD05'!C:E,1,0)</f>
        <v xml:space="preserve">Válvula de bloqueio de vapor da linha de ar pré filtro absoluto </v>
      </c>
      <c r="BF33" s="53" t="str">
        <f>VLOOKUP(AO33,'PGD05'!C:E,3,0)</f>
        <v>DN-8</v>
      </c>
      <c r="BG33" s="56" t="str">
        <f>VLOOKUP(AO33,'PGD05'!C:G,5,0)</f>
        <v>ZDL</v>
      </c>
      <c r="BH33" s="84" t="str">
        <f>VLOOKUP(AN33,'PGD06'!A:E,1,0)</f>
        <v>Superior</v>
      </c>
      <c r="BI33" s="53" t="str">
        <f>VLOOKUP(AO33,'PGD06'!C:E,1,0)</f>
        <v xml:space="preserve">Válvula de bloqueio de vapor da linha de ar pré filtro absoluto </v>
      </c>
      <c r="BJ33" s="53" t="str">
        <f>VLOOKUP(AO33,'PGD06'!C:E,3,0)</f>
        <v>DN-8</v>
      </c>
      <c r="BK33" s="56" t="str">
        <f>VLOOKUP(AO33,'PGD06'!C:G,5,0)</f>
        <v>ZDL</v>
      </c>
      <c r="BL33" s="84" t="str">
        <f>VLOOKUP(AN33,'PGD07'!A:E,1,0)</f>
        <v>Superior</v>
      </c>
      <c r="BM33" s="53" t="str">
        <f>VLOOKUP(AO33,'PGD07'!C:E,1,0)</f>
        <v xml:space="preserve">Válvula de bloqueio de vapor da linha de ar pré filtro absoluto </v>
      </c>
      <c r="BN33" s="53" t="str">
        <f>VLOOKUP(AO33,'PGD07'!C:E,3,0)</f>
        <v>DN-8</v>
      </c>
      <c r="BO33" s="56" t="str">
        <f>VLOOKUP(AO33,'PGD07'!C:G,5,0)</f>
        <v>ZDL</v>
      </c>
      <c r="BP33" s="84" t="str">
        <f>VLOOKUP(AN33,'PGD08'!A:E,1,0)</f>
        <v>Superior</v>
      </c>
      <c r="BQ33" s="53" t="str">
        <f>VLOOKUP(AO33,'PGD08'!C:E,1,0)</f>
        <v xml:space="preserve">Válvula de bloqueio de vapor da linha de ar pré filtro absoluto </v>
      </c>
      <c r="BR33" s="53" t="str">
        <f>VLOOKUP(AO33,'PGD08'!C:E,3,0)</f>
        <v>DN-8</v>
      </c>
      <c r="BS33" s="56" t="str">
        <f>VLOOKUP(AO33,'PGD08'!C:G,5,0)</f>
        <v>ZDL</v>
      </c>
      <c r="BT33" s="84" t="str">
        <f>VLOOKUP(AN33,'PGD09'!A:E,1,0)</f>
        <v>Superior</v>
      </c>
      <c r="BU33" s="53" t="str">
        <f>VLOOKUP(AO33,'PGD09'!C:E,1,0)</f>
        <v xml:space="preserve">Válvula de bloqueio de vapor da linha de ar pré filtro absoluto </v>
      </c>
      <c r="BV33" s="53" t="str">
        <f>VLOOKUP(AO33,'PGD09'!C:E,3,0)</f>
        <v>DN-8</v>
      </c>
      <c r="BW33" s="56" t="str">
        <f>VLOOKUP(AO33,'PGD09'!C:G,5,0)</f>
        <v>ZDL</v>
      </c>
      <c r="BX33" s="84" t="str">
        <f>VLOOKUP(AN33,'PGD10'!A:E,1,0)</f>
        <v>Superior</v>
      </c>
      <c r="BY33" s="53" t="str">
        <f>VLOOKUP(AO33,'PGD10'!C:E,1,0)</f>
        <v xml:space="preserve">Válvula de bloqueio de vapor da linha de ar pré filtro absoluto </v>
      </c>
      <c r="BZ33" s="53" t="str">
        <f>VLOOKUP(AO33,'PGD10'!C:E,3,0)</f>
        <v>DN-8</v>
      </c>
      <c r="CA33" s="56" t="str">
        <f>VLOOKUP(AO33,'PGD10'!C:G,5,0)</f>
        <v>ZDL</v>
      </c>
      <c r="CB33" s="84" t="str">
        <f>VLOOKUP(AN33,'PGD11'!A:E,1,0)</f>
        <v>Superior</v>
      </c>
      <c r="CC33" s="53" t="str">
        <f>VLOOKUP(AO33,'PGD11'!C:E,1,0)</f>
        <v xml:space="preserve">Válvula de bloqueio de vapor da linha de ar pré filtro absoluto </v>
      </c>
      <c r="CD33" s="53" t="str">
        <f>VLOOKUP(AO33,'PGD11'!C:E,3,0)</f>
        <v>DN-8</v>
      </c>
      <c r="CE33" s="56" t="str">
        <f>VLOOKUP(AO33,'PGD11'!C:G,5,0)</f>
        <v>ZDL</v>
      </c>
      <c r="CF33" s="84" t="str">
        <f>VLOOKUP(AN33,'PGD12'!A:E,1,0)</f>
        <v>Superior</v>
      </c>
      <c r="CG33" s="53" t="str">
        <f>VLOOKUP(AO33,'PGD12'!C:E,1,0)</f>
        <v xml:space="preserve">Válvula de bloqueio de vapor da linha de ar pré filtro absoluto </v>
      </c>
      <c r="CH33" s="53" t="str">
        <f>VLOOKUP(AO33,'PGD12'!C:E,3,0)</f>
        <v>DN-8</v>
      </c>
      <c r="CI33" s="53" t="str">
        <f>VLOOKUP(AO33,'PGD12'!C:G,5,0)</f>
        <v>ZDL</v>
      </c>
      <c r="CJ33" s="56">
        <f t="shared" si="0"/>
        <v>11</v>
      </c>
      <c r="CL33" s="52" t="s">
        <v>149</v>
      </c>
      <c r="CM33" s="16" t="s">
        <v>86</v>
      </c>
      <c r="CN33" s="81" t="s">
        <v>5</v>
      </c>
      <c r="CO33" s="65" t="str">
        <f>VLOOKUP(CL33,'BLD03'!C:E,1,0)</f>
        <v xml:space="preserve">Entrada de vapor na linha de produto </v>
      </c>
      <c r="CP33" s="53" t="str">
        <f>VLOOKUP(CL33,'BLD03'!C:E,3,0)</f>
        <v>DN-25</v>
      </c>
      <c r="CQ33" s="53" t="str">
        <f>VLOOKUP(CL33,'BLD02'!C:G,5,0)</f>
        <v>GEMÜ</v>
      </c>
      <c r="CR33" s="56">
        <f t="shared" si="2"/>
        <v>2</v>
      </c>
    </row>
    <row r="34" spans="2:96" x14ac:dyDescent="0.25">
      <c r="B34" s="62" t="s">
        <v>150</v>
      </c>
      <c r="C34" s="14" t="s">
        <v>51</v>
      </c>
      <c r="D34" s="68" t="s">
        <v>5</v>
      </c>
      <c r="E34" s="83" t="str">
        <f>VLOOKUP(B34,'FTD02'!C:E,1,0)</f>
        <v>Entrada fermentador BV alimentação carbono</v>
      </c>
      <c r="F34" s="84" t="str">
        <f>VLOOKUP(B34,'FTD02'!C:E,3,0)</f>
        <v>DN-40</v>
      </c>
      <c r="G34" s="82" t="str">
        <f>VLOOKUP(B34,'FTD02'!C:G,5,0)</f>
        <v>GEMÜ</v>
      </c>
      <c r="H34" s="83" t="str">
        <f>VLOOKUP(B34,'FTD03'!C:E,1,0)</f>
        <v>Entrada fermentador BV alimentação carbono</v>
      </c>
      <c r="I34" s="84" t="str">
        <f>VLOOKUP(B34,'FTD03'!C:E,3,0)</f>
        <v>DN-40</v>
      </c>
      <c r="J34" s="82" t="str">
        <f>VLOOKUP(B34,'FTD03'!C:G,5,0)</f>
        <v>GEMÜ</v>
      </c>
      <c r="K34" s="83" t="str">
        <f>VLOOKUP(B34,'FTD04'!C:E,1,0)</f>
        <v>Entrada fermentador BV alimentação carbono</v>
      </c>
      <c r="L34" s="84" t="str">
        <f>VLOOKUP(B34,'FTD04'!C:E,3,0)</f>
        <v>DN-40</v>
      </c>
      <c r="M34" s="82" t="str">
        <f>VLOOKUP(B34,'FTD04'!C:G,5,0)</f>
        <v>GEMÜ</v>
      </c>
      <c r="N34" s="83" t="str">
        <f>VLOOKUP(B34,'FTD05'!C:E,1,0)</f>
        <v>Entrada fermentador BV alimentação carbono</v>
      </c>
      <c r="O34" s="84" t="str">
        <f>VLOOKUP(B34,'FTD05'!C:E,3,0)</f>
        <v>DN-40</v>
      </c>
      <c r="P34" s="82" t="str">
        <f>VLOOKUP(B34,'FTD05'!C:G,5,0)</f>
        <v>GEMÜ</v>
      </c>
      <c r="Q34" s="85" t="str">
        <f>VLOOKUP(B34,'FTD06'!C:E,1,0)</f>
        <v>Entrada fermentador BV alimentação carbono</v>
      </c>
      <c r="R34" s="84" t="str">
        <f>VLOOKUP(B34,'FTD06'!C:E,3,0)</f>
        <v>DN-40</v>
      </c>
      <c r="S34" s="86" t="str">
        <f>VLOOKUP(B34,'FTD06'!C:G,5,0)</f>
        <v>GEMÜ</v>
      </c>
      <c r="T34" s="83" t="str">
        <f>VLOOKUP(B34,'FTD07'!C:E,1,0)</f>
        <v>Entrada fermentador BV alimentação carbono</v>
      </c>
      <c r="U34" s="84" t="str">
        <f>VLOOKUP(B34,'FTD07'!C:E,3,0)</f>
        <v>DN-40</v>
      </c>
      <c r="V34" s="82" t="str">
        <f>VLOOKUP(B34,'FTD07'!C:G,5,0)</f>
        <v>GEMÜ</v>
      </c>
      <c r="W34" s="85" t="str">
        <f>VLOOKUP(B34,'FTD08'!C:E,1,0)</f>
        <v>Entrada fermentador BV alimentação carbono</v>
      </c>
      <c r="X34" s="84" t="str">
        <f>VLOOKUP(B34,'FTD08'!C:E,3,0)</f>
        <v>DN-40</v>
      </c>
      <c r="Y34" s="86" t="str">
        <f>VLOOKUP(B34,'FTD08'!C:G,5,0)</f>
        <v>GEMÜ</v>
      </c>
      <c r="Z34" s="83" t="str">
        <f>VLOOKUP(B34,'FTD09'!C:E,1,0)</f>
        <v>Entrada fermentador BV alimentação carbono</v>
      </c>
      <c r="AA34" s="84" t="str">
        <f>VLOOKUP(B34,'FTD09'!C:E,3,0)</f>
        <v>DN-40</v>
      </c>
      <c r="AB34" s="82" t="str">
        <f>VLOOKUP(B34,'FTD09'!C:G,5,0)</f>
        <v>GEMÜ</v>
      </c>
      <c r="AC34" s="85" t="str">
        <f>VLOOKUP(B34,'FTD10'!C:E,1,0)</f>
        <v>Entrada fermentador BV alimentação carbono</v>
      </c>
      <c r="AD34" s="84" t="str">
        <f>VLOOKUP(B34,'FTD10'!C:E,3,0)</f>
        <v>DN-40</v>
      </c>
      <c r="AE34" s="86" t="str">
        <f>VLOOKUP(B34,'FTD10'!C:G,5,0)</f>
        <v>GEMÜ</v>
      </c>
      <c r="AF34" s="83" t="str">
        <f>VLOOKUP(B34,'FTD11'!C:E,1,0)</f>
        <v>Entrada fermentador BV alimentação carbono</v>
      </c>
      <c r="AG34" s="84" t="str">
        <f>VLOOKUP(B34,'FTD11'!C:E,3,0)</f>
        <v>DN-40</v>
      </c>
      <c r="AH34" s="82" t="str">
        <f>VLOOKUP(B34,'FTD11'!C:G,5,0)</f>
        <v>GEMÜ</v>
      </c>
      <c r="AI34" s="85" t="str">
        <f>VLOOKUP(B34,'FTD12'!C:E,1,0)</f>
        <v>Entrada fermentador BV alimentação carbono</v>
      </c>
      <c r="AJ34" s="84" t="str">
        <f>VLOOKUP(B34,'FTD12'!C:E,3,0)</f>
        <v>DN-40</v>
      </c>
      <c r="AK34" s="84" t="str">
        <f>VLOOKUP(B34,'FTD12'!C:G,5,0)</f>
        <v>GEMÜ</v>
      </c>
      <c r="AL34" s="82">
        <f t="shared" si="1"/>
        <v>11</v>
      </c>
      <c r="AN34" s="113" t="s">
        <v>68</v>
      </c>
      <c r="AO34" s="107" t="s">
        <v>151</v>
      </c>
      <c r="AP34" s="107" t="s">
        <v>51</v>
      </c>
      <c r="AQ34" s="115" t="s">
        <v>57</v>
      </c>
      <c r="AR34" s="84" t="str">
        <f>VLOOKUP(AN34,'PGD02'!A:E,1,0)</f>
        <v>Superior</v>
      </c>
      <c r="AS34" s="84" t="str">
        <f>VLOOKUP(AO34,'PGD02'!C:E,1,0)</f>
        <v>Válvula de bloqueio linha de ar pós filtro absoluto</v>
      </c>
      <c r="AT34" s="84" t="str">
        <f>VLOOKUP(AO34,'PGD02'!C:E,3,0)</f>
        <v>DN-40</v>
      </c>
      <c r="AU34" s="82" t="str">
        <f>VLOOKUP(AO34,'PGD02'!C:G,5,0)</f>
        <v>GEMÜ</v>
      </c>
      <c r="AV34" s="84" t="str">
        <f>VLOOKUP(AN34,'PGD03'!A:E,1,0)</f>
        <v>Superior</v>
      </c>
      <c r="AW34" s="84" t="str">
        <f>VLOOKUP(AO34,'PGD03'!C:E,1,0)</f>
        <v>Válvula de bloqueio linha de ar pós filtro absoluto</v>
      </c>
      <c r="AX34" s="84" t="str">
        <f>VLOOKUP(AO34,'PGD03'!C:E,3,0)</f>
        <v>DN-40</v>
      </c>
      <c r="AY34" s="82" t="str">
        <f>VLOOKUP(AO34,'PGD03'!C:G,5,0)</f>
        <v>GEMÜ</v>
      </c>
      <c r="AZ34" s="84" t="str">
        <f>VLOOKUP(AN34,'PGD04'!A:E,1,0)</f>
        <v>Superior</v>
      </c>
      <c r="BA34" s="84" t="str">
        <f>VLOOKUP(AO34,'PGD03'!C:E,1,0)</f>
        <v>Válvula de bloqueio linha de ar pós filtro absoluto</v>
      </c>
      <c r="BB34" s="84" t="str">
        <f>VLOOKUP(AO34,'PGD04'!C:E,3,0)</f>
        <v>DN-40</v>
      </c>
      <c r="BC34" s="82" t="str">
        <f>VLOOKUP(AO34,'PGD04'!C:G,5,0)</f>
        <v>GEMÜ</v>
      </c>
      <c r="BD34" s="84" t="str">
        <f>VLOOKUP(AN34,'PGD05'!A:E,1,0)</f>
        <v>Superior</v>
      </c>
      <c r="BE34" s="84" t="str">
        <f>VLOOKUP(AO34,'PGD05'!C:E,1,0)</f>
        <v>Válvula de bloqueio linha de ar pós filtro absoluto</v>
      </c>
      <c r="BF34" s="84" t="str">
        <f>VLOOKUP(AO34,'PGD05'!C:E,3,0)</f>
        <v>DN-40</v>
      </c>
      <c r="BG34" s="82" t="str">
        <f>VLOOKUP(AO34,'PGD05'!C:G,5,0)</f>
        <v>GEMÜ</v>
      </c>
      <c r="BH34" s="84" t="str">
        <f>VLOOKUP(AN34,'PGD06'!A:E,1,0)</f>
        <v>Superior</v>
      </c>
      <c r="BI34" s="84" t="str">
        <f>VLOOKUP(AO34,'PGD06'!C:E,1,0)</f>
        <v>Válvula de bloqueio linha de ar pós filtro absoluto</v>
      </c>
      <c r="BJ34" s="84" t="str">
        <f>VLOOKUP(AO34,'PGD06'!C:E,3,0)</f>
        <v>DN-40</v>
      </c>
      <c r="BK34" s="82" t="str">
        <f>VLOOKUP(AO34,'PGD06'!C:G,5,0)</f>
        <v>GEMÜ</v>
      </c>
      <c r="BL34" s="84" t="str">
        <f>VLOOKUP(AN34,'PGD07'!A:E,1,0)</f>
        <v>Superior</v>
      </c>
      <c r="BM34" s="84" t="str">
        <f>VLOOKUP(AO34,'PGD07'!C:E,1,0)</f>
        <v>Válvula de bloqueio linha de ar pós filtro absoluto</v>
      </c>
      <c r="BN34" s="84" t="str">
        <f>VLOOKUP(AO34,'PGD07'!C:E,3,0)</f>
        <v>DN-40</v>
      </c>
      <c r="BO34" s="82" t="str">
        <f>VLOOKUP(AO34,'PGD07'!C:G,5,0)</f>
        <v>GEMÜ</v>
      </c>
      <c r="BP34" s="84" t="str">
        <f>VLOOKUP(AN34,'PGD08'!A:E,1,0)</f>
        <v>Superior</v>
      </c>
      <c r="BQ34" s="84" t="str">
        <f>VLOOKUP(AO34,'PGD08'!C:E,1,0)</f>
        <v>Válvula de bloqueio linha de ar pós filtro absoluto</v>
      </c>
      <c r="BR34" s="84" t="str">
        <f>VLOOKUP(AO34,'PGD08'!C:E,3,0)</f>
        <v>DN-40</v>
      </c>
      <c r="BS34" s="82" t="str">
        <f>VLOOKUP(AO34,'PGD08'!C:G,5,0)</f>
        <v>GEMÜ</v>
      </c>
      <c r="BT34" s="84" t="str">
        <f>VLOOKUP(AN34,'PGD09'!A:E,1,0)</f>
        <v>Superior</v>
      </c>
      <c r="BU34" s="84" t="str">
        <f>VLOOKUP(AO34,'PGD09'!C:E,1,0)</f>
        <v>Válvula de bloqueio linha de ar pós filtro absoluto</v>
      </c>
      <c r="BV34" s="84" t="str">
        <f>VLOOKUP(AO34,'PGD09'!C:E,3,0)</f>
        <v>DN-40</v>
      </c>
      <c r="BW34" s="82" t="str">
        <f>VLOOKUP(AO34,'PGD09'!C:G,5,0)</f>
        <v>GEMÜ</v>
      </c>
      <c r="BX34" s="84" t="str">
        <f>VLOOKUP(AN34,'PGD10'!A:E,1,0)</f>
        <v>Superior</v>
      </c>
      <c r="BY34" s="84" t="str">
        <f>VLOOKUP(AO34,'PGD10'!C:E,1,0)</f>
        <v>Válvula de bloqueio linha de ar pós filtro absoluto</v>
      </c>
      <c r="BZ34" s="84" t="str">
        <f>VLOOKUP(AO34,'PGD10'!C:E,3,0)</f>
        <v>DN-40</v>
      </c>
      <c r="CA34" s="82" t="str">
        <f>VLOOKUP(AO34,'PGD10'!C:G,5,0)</f>
        <v>GEMÜ</v>
      </c>
      <c r="CB34" s="84" t="str">
        <f>VLOOKUP(AN34,'PGD11'!A:E,1,0)</f>
        <v>Superior</v>
      </c>
      <c r="CC34" s="84" t="str">
        <f>VLOOKUP(AO34,'PGD11'!C:E,1,0)</f>
        <v>Válvula de bloqueio linha de ar pós filtro absoluto</v>
      </c>
      <c r="CD34" s="84" t="str">
        <f>VLOOKUP(AO34,'PGD11'!C:E,3,0)</f>
        <v>DN-40</v>
      </c>
      <c r="CE34" s="82" t="str">
        <f>VLOOKUP(AO34,'PGD11'!C:G,5,0)</f>
        <v>GEMÜ</v>
      </c>
      <c r="CF34" s="84" t="str">
        <f>VLOOKUP(AN34,'PGD12'!A:E,1,0)</f>
        <v>Superior</v>
      </c>
      <c r="CG34" s="84" t="str">
        <f>VLOOKUP(AO34,'PGD12'!C:E,1,0)</f>
        <v>Válvula de bloqueio linha de ar pós filtro absoluto</v>
      </c>
      <c r="CH34" s="84" t="str">
        <f>VLOOKUP(AO34,'PGD12'!C:E,3,0)</f>
        <v>DN-40</v>
      </c>
      <c r="CI34" s="84" t="str">
        <f>VLOOKUP(AO34,'PGD12'!C:G,5,0)</f>
        <v>GEMÜ</v>
      </c>
      <c r="CJ34" s="82">
        <f t="shared" si="0"/>
        <v>11</v>
      </c>
      <c r="CL34" s="57"/>
      <c r="CM34" s="53"/>
      <c r="CN34" s="72">
        <f>COUNTIF(CN4:CN33,"ZDL")</f>
        <v>8</v>
      </c>
      <c r="CO34" s="65"/>
      <c r="CP34" s="53"/>
      <c r="CQ34" s="54">
        <f>COUNTIF(CQ4:CQ33,"ZDL")</f>
        <v>8</v>
      </c>
      <c r="CR34" s="56"/>
    </row>
    <row r="35" spans="2:96" ht="15.75" thickBot="1" x14ac:dyDescent="0.3">
      <c r="B35" s="64" t="s">
        <v>152</v>
      </c>
      <c r="C35" s="7" t="s">
        <v>86</v>
      </c>
      <c r="D35" s="69" t="s">
        <v>5</v>
      </c>
      <c r="E35" s="57" t="str">
        <f>VLOOKUP(B35,'FTD02'!C:E,1,0)</f>
        <v>Entrada fermentador BV alimentação CIP</v>
      </c>
      <c r="F35" s="53" t="str">
        <f>VLOOKUP(B35,'FTD02'!C:E,3,0)</f>
        <v>DN-25</v>
      </c>
      <c r="G35" s="56" t="str">
        <f>VLOOKUP(B35,'FTD02'!C:G,5,0)</f>
        <v>GEMÜ</v>
      </c>
      <c r="H35" s="57" t="str">
        <f>VLOOKUP(B35,'FTD03'!C:E,1,0)</f>
        <v>Entrada fermentador BV alimentação CIP</v>
      </c>
      <c r="I35" s="53" t="str">
        <f>VLOOKUP(B35,'FTD03'!C:E,3,0)</f>
        <v>DN-25</v>
      </c>
      <c r="J35" s="56" t="str">
        <f>VLOOKUP(B35,'FTD03'!C:G,5,0)</f>
        <v>GEMÜ</v>
      </c>
      <c r="K35" s="57" t="str">
        <f>VLOOKUP(B35,'FTD04'!C:E,1,0)</f>
        <v>Entrada fermentador BV alimentação CIP</v>
      </c>
      <c r="L35" s="53" t="str">
        <f>VLOOKUP(B35,'FTD04'!C:E,3,0)</f>
        <v>DN-25</v>
      </c>
      <c r="M35" s="56" t="str">
        <f>VLOOKUP(B35,'FTD04'!C:G,5,0)</f>
        <v>GEMÜ</v>
      </c>
      <c r="N35" s="57" t="str">
        <f>VLOOKUP(B35,'FTD05'!C:E,1,0)</f>
        <v>Entrada fermentador BV alimentação CIP</v>
      </c>
      <c r="O35" s="53" t="str">
        <f>VLOOKUP(B35,'FTD05'!C:E,3,0)</f>
        <v>DN-25</v>
      </c>
      <c r="P35" s="56" t="str">
        <f>VLOOKUP(B35,'FTD05'!C:G,5,0)</f>
        <v>GEMÜ</v>
      </c>
      <c r="Q35" s="65" t="str">
        <f>VLOOKUP(B35,'FTD06'!C:E,1,0)</f>
        <v>Entrada fermentador BV alimentação CIP</v>
      </c>
      <c r="R35" s="53" t="str">
        <f>VLOOKUP(B35,'FTD06'!C:E,3,0)</f>
        <v>DN-25</v>
      </c>
      <c r="S35" s="74" t="str">
        <f>VLOOKUP(B35,'FTD06'!C:G,5,0)</f>
        <v>GEMÜ</v>
      </c>
      <c r="T35" s="57" t="str">
        <f>VLOOKUP(B35,'FTD07'!C:E,1,0)</f>
        <v>Entrada fermentador BV alimentação CIP</v>
      </c>
      <c r="U35" s="53" t="str">
        <f>VLOOKUP(B35,'FTD07'!C:E,3,0)</f>
        <v>DN-25</v>
      </c>
      <c r="V35" s="56" t="str">
        <f>VLOOKUP(B35,'FTD07'!C:G,5,0)</f>
        <v>GEMÜ</v>
      </c>
      <c r="W35" s="65" t="str">
        <f>VLOOKUP(B35,'FTD08'!C:E,1,0)</f>
        <v>Entrada fermentador BV alimentação CIP</v>
      </c>
      <c r="X35" s="53" t="str">
        <f>VLOOKUP(B35,'FTD08'!C:E,3,0)</f>
        <v>DN-25</v>
      </c>
      <c r="Y35" s="74" t="str">
        <f>VLOOKUP(B35,'FTD08'!C:G,5,0)</f>
        <v>GEMÜ</v>
      </c>
      <c r="Z35" s="57" t="str">
        <f>VLOOKUP(B35,'FTD09'!C:E,1,0)</f>
        <v>Entrada fermentador BV alimentação CIP</v>
      </c>
      <c r="AA35" s="53" t="str">
        <f>VLOOKUP(B35,'FTD09'!C:E,3,0)</f>
        <v>DN-25</v>
      </c>
      <c r="AB35" s="56" t="str">
        <f>VLOOKUP(B35,'FTD09'!C:G,5,0)</f>
        <v>GEMÜ</v>
      </c>
      <c r="AC35" s="65" t="str">
        <f>VLOOKUP(B35,'FTD10'!C:E,1,0)</f>
        <v>Entrada fermentador BV alimentação CIP</v>
      </c>
      <c r="AD35" s="53" t="str">
        <f>VLOOKUP(B35,'FTD10'!C:E,3,0)</f>
        <v>DN-25</v>
      </c>
      <c r="AE35" s="74" t="str">
        <f>VLOOKUP(B35,'FTD10'!C:G,5,0)</f>
        <v>GEMÜ</v>
      </c>
      <c r="AF35" s="57" t="str">
        <f>VLOOKUP(B35,'FTD11'!C:E,1,0)</f>
        <v>Entrada fermentador BV alimentação CIP</v>
      </c>
      <c r="AG35" s="53" t="str">
        <f>VLOOKUP(B35,'FTD11'!C:E,3,0)</f>
        <v>DN-25</v>
      </c>
      <c r="AH35" s="56" t="str">
        <f>VLOOKUP(B35,'FTD11'!C:G,5,0)</f>
        <v>GEMÜ</v>
      </c>
      <c r="AI35" s="65" t="str">
        <f>VLOOKUP(B35,'FTD12'!C:E,1,0)</f>
        <v>Entrada fermentador BV alimentação CIP</v>
      </c>
      <c r="AJ35" s="53" t="str">
        <f>VLOOKUP(B35,'FTD12'!C:E,3,0)</f>
        <v>DN-25</v>
      </c>
      <c r="AK35" s="53" t="str">
        <f>VLOOKUP(B35,'FTD12'!C:G,5,0)</f>
        <v>GEMÜ</v>
      </c>
      <c r="AL35" s="56">
        <f t="shared" si="1"/>
        <v>11</v>
      </c>
      <c r="AN35" s="63" t="s">
        <v>68</v>
      </c>
      <c r="AO35" s="16" t="s">
        <v>153</v>
      </c>
      <c r="AP35" s="16" t="s">
        <v>86</v>
      </c>
      <c r="AQ35" s="78" t="s">
        <v>154</v>
      </c>
      <c r="AR35" s="84" t="str">
        <f>VLOOKUP(AN35,'PGD02'!A:E,1,0)</f>
        <v>Superior</v>
      </c>
      <c r="AS35" s="53" t="str">
        <f>VLOOKUP(AO35,'PGD02'!C:E,1,0)</f>
        <v>Vapor linha alimentação nitrogênio</v>
      </c>
      <c r="AT35" s="53" t="str">
        <f>VLOOKUP(AO35,'PGD02'!C:E,3,0)</f>
        <v>DN-25</v>
      </c>
      <c r="AU35" s="56" t="str">
        <f>VLOOKUP(AO35,'PGD02'!C:G,5,0)</f>
        <v>GEMÜ</v>
      </c>
      <c r="AV35" s="84" t="str">
        <f>VLOOKUP(AN35,'PGD03'!A:E,1,0)</f>
        <v>Superior</v>
      </c>
      <c r="AW35" s="53" t="str">
        <f>VLOOKUP(AO35,'PGD03'!C:E,1,0)</f>
        <v>Vapor linha alimentação nitrogênio</v>
      </c>
      <c r="AX35" s="53" t="str">
        <f>VLOOKUP(AO35,'PGD03'!C:E,3,0)</f>
        <v>DN-25</v>
      </c>
      <c r="AY35" s="56" t="str">
        <f>VLOOKUP(AO35,'PGD03'!C:G,5,0)</f>
        <v>GEMÜ</v>
      </c>
      <c r="AZ35" s="84" t="str">
        <f>VLOOKUP(AN35,'PGD04'!A:E,1,0)</f>
        <v>Superior</v>
      </c>
      <c r="BA35" s="53" t="str">
        <f>VLOOKUP(AO35,'PGD03'!C:E,1,0)</f>
        <v>Vapor linha alimentação nitrogênio</v>
      </c>
      <c r="BB35" s="53" t="str">
        <f>VLOOKUP(AO35,'PGD04'!C:E,3,0)</f>
        <v>DN-25</v>
      </c>
      <c r="BC35" s="56" t="str">
        <f>VLOOKUP(AO35,'PGD04'!C:G,5,0)</f>
        <v>GEMÜ</v>
      </c>
      <c r="BD35" s="84" t="str">
        <f>VLOOKUP(AN35,'PGD05'!A:E,1,0)</f>
        <v>Superior</v>
      </c>
      <c r="BE35" s="53" t="str">
        <f>VLOOKUP(AO35,'PGD05'!C:E,1,0)</f>
        <v>Vapor linha alimentação nitrogênio</v>
      </c>
      <c r="BF35" s="53" t="str">
        <f>VLOOKUP(AO35,'PGD05'!C:E,3,0)</f>
        <v>DN-25</v>
      </c>
      <c r="BG35" s="56" t="str">
        <f>VLOOKUP(AO35,'PGD05'!C:G,5,0)</f>
        <v>GEMÜ</v>
      </c>
      <c r="BH35" s="84" t="str">
        <f>VLOOKUP(AN35,'PGD06'!A:E,1,0)</f>
        <v>Superior</v>
      </c>
      <c r="BI35" s="53" t="str">
        <f>VLOOKUP(AO35,'PGD06'!C:E,1,0)</f>
        <v>Vapor linha alimentação nitrogênio</v>
      </c>
      <c r="BJ35" s="53" t="str">
        <f>VLOOKUP(AO35,'PGD06'!C:E,3,0)</f>
        <v>DN-25</v>
      </c>
      <c r="BK35" s="56" t="str">
        <f>VLOOKUP(AO35,'PGD06'!C:G,5,0)</f>
        <v>GEMÜ</v>
      </c>
      <c r="BL35" s="84" t="str">
        <f>VLOOKUP(AN35,'PGD07'!A:E,1,0)</f>
        <v>Superior</v>
      </c>
      <c r="BM35" s="53" t="str">
        <f>VLOOKUP(AO35,'PGD07'!C:E,1,0)</f>
        <v>Vapor linha alimentação nitrogênio</v>
      </c>
      <c r="BN35" s="53" t="str">
        <f>VLOOKUP(AO35,'PGD07'!C:E,3,0)</f>
        <v>DN-25</v>
      </c>
      <c r="BO35" s="56" t="str">
        <f>VLOOKUP(AO35,'PGD07'!C:G,5,0)</f>
        <v>GEMÜ</v>
      </c>
      <c r="BP35" s="84" t="str">
        <f>VLOOKUP(AN35,'PGD08'!A:E,1,0)</f>
        <v>Superior</v>
      </c>
      <c r="BQ35" s="53" t="str">
        <f>VLOOKUP(AO35,'PGD08'!C:E,1,0)</f>
        <v>Vapor linha alimentação nitrogênio</v>
      </c>
      <c r="BR35" s="53" t="str">
        <f>VLOOKUP(AO35,'PGD08'!C:E,3,0)</f>
        <v>DN-25</v>
      </c>
      <c r="BS35" s="56" t="str">
        <f>VLOOKUP(AO35,'PGD08'!C:G,5,0)</f>
        <v>GEMÜ</v>
      </c>
      <c r="BT35" s="84" t="str">
        <f>VLOOKUP(AN35,'PGD09'!A:E,1,0)</f>
        <v>Superior</v>
      </c>
      <c r="BU35" s="53" t="str">
        <f>VLOOKUP(AO35,'PGD09'!C:E,1,0)</f>
        <v>Vapor linha alimentação nitrogênio</v>
      </c>
      <c r="BV35" s="53" t="str">
        <f>VLOOKUP(AO35,'PGD09'!C:E,3,0)</f>
        <v>DN-25</v>
      </c>
      <c r="BW35" s="56" t="str">
        <f>VLOOKUP(AO35,'PGD09'!C:G,5,0)</f>
        <v>GEMÜ</v>
      </c>
      <c r="BX35" s="84" t="str">
        <f>VLOOKUP(AN35,'PGD10'!A:E,1,0)</f>
        <v>Superior</v>
      </c>
      <c r="BY35" s="53" t="str">
        <f>VLOOKUP(AO35,'PGD10'!C:E,1,0)</f>
        <v>Vapor linha alimentação nitrogênio</v>
      </c>
      <c r="BZ35" s="53" t="str">
        <f>VLOOKUP(AO35,'PGD10'!C:E,3,0)</f>
        <v>DN-25</v>
      </c>
      <c r="CA35" s="56" t="str">
        <f>VLOOKUP(AO35,'PGD10'!C:G,5,0)</f>
        <v>GEMÜ</v>
      </c>
      <c r="CB35" s="84" t="str">
        <f>VLOOKUP(AN35,'PGD11'!A:E,1,0)</f>
        <v>Superior</v>
      </c>
      <c r="CC35" s="53" t="str">
        <f>VLOOKUP(AO35,'PGD11'!C:E,1,0)</f>
        <v>Vapor linha alimentação nitrogênio</v>
      </c>
      <c r="CD35" s="53" t="str">
        <f>VLOOKUP(AO35,'PGD11'!C:E,3,0)</f>
        <v>DN-25</v>
      </c>
      <c r="CE35" s="56" t="str">
        <f>VLOOKUP(AO35,'PGD11'!C:G,5,0)</f>
        <v>GEMÜ</v>
      </c>
      <c r="CF35" s="84" t="str">
        <f>VLOOKUP(AN35,'PGD12'!A:E,1,0)</f>
        <v>Superior</v>
      </c>
      <c r="CG35" s="53" t="str">
        <f>VLOOKUP(AO35,'PGD12'!C:E,1,0)</f>
        <v>Vapor linha alimentação nitrogênio</v>
      </c>
      <c r="CH35" s="53" t="str">
        <f>VLOOKUP(AO35,'PGD12'!C:E,3,0)</f>
        <v>DN-25</v>
      </c>
      <c r="CI35" s="53" t="str">
        <f>VLOOKUP(AO35,'PGD12'!C:G,5,0)</f>
        <v>GEMÜ</v>
      </c>
      <c r="CJ35" s="56">
        <f t="shared" si="0"/>
        <v>11</v>
      </c>
      <c r="CL35" s="58"/>
      <c r="CM35" s="59"/>
      <c r="CN35" s="73">
        <f>COUNTIF(CN4:CN33,"GEMÜ")</f>
        <v>22</v>
      </c>
      <c r="CO35" s="66"/>
      <c r="CP35" s="59"/>
      <c r="CQ35" s="60">
        <f>COUNTIF(CQ4:CQ33,"GEMÜ")</f>
        <v>22</v>
      </c>
      <c r="CR35" s="61"/>
    </row>
    <row r="36" spans="2:96" x14ac:dyDescent="0.25">
      <c r="B36" s="62" t="s">
        <v>155</v>
      </c>
      <c r="C36" s="14" t="s">
        <v>51</v>
      </c>
      <c r="D36" s="68" t="s">
        <v>5</v>
      </c>
      <c r="E36" s="83" t="str">
        <f>VLOOKUP(B36,'FTD02'!C:E,1,0)</f>
        <v>Entrada fermentador BV alimentação nitrogênio</v>
      </c>
      <c r="F36" s="84" t="str">
        <f>VLOOKUP(B36,'FTD02'!C:E,3,0)</f>
        <v>DN-40</v>
      </c>
      <c r="G36" s="82" t="str">
        <f>VLOOKUP(B36,'FTD02'!C:G,5,0)</f>
        <v>GEMÜ</v>
      </c>
      <c r="H36" s="83" t="str">
        <f>VLOOKUP(B36,'FTD03'!C:E,1,0)</f>
        <v>Entrada fermentador BV alimentação nitrogênio</v>
      </c>
      <c r="I36" s="84" t="str">
        <f>VLOOKUP(B36,'FTD03'!C:E,3,0)</f>
        <v>DN-40</v>
      </c>
      <c r="J36" s="82" t="str">
        <f>VLOOKUP(B36,'FTD03'!C:G,5,0)</f>
        <v>GEMÜ</v>
      </c>
      <c r="K36" s="83" t="str">
        <f>VLOOKUP(B36,'FTD04'!C:E,1,0)</f>
        <v>Entrada fermentador BV alimentação nitrogênio</v>
      </c>
      <c r="L36" s="84" t="str">
        <f>VLOOKUP(B36,'FTD04'!C:E,3,0)</f>
        <v>DN-40</v>
      </c>
      <c r="M36" s="82" t="str">
        <f>VLOOKUP(B36,'FTD04'!C:G,5,0)</f>
        <v>GEMÜ</v>
      </c>
      <c r="N36" s="83" t="str">
        <f>VLOOKUP(B36,'FTD05'!C:E,1,0)</f>
        <v>Entrada fermentador BV alimentação nitrogênio</v>
      </c>
      <c r="O36" s="84" t="str">
        <f>VLOOKUP(B36,'FTD05'!C:E,3,0)</f>
        <v>DN-40</v>
      </c>
      <c r="P36" s="82" t="str">
        <f>VLOOKUP(B36,'FTD05'!C:G,5,0)</f>
        <v>GEMÜ</v>
      </c>
      <c r="Q36" s="85" t="str">
        <f>VLOOKUP(B36,'FTD06'!C:E,1,0)</f>
        <v>Entrada fermentador BV alimentação nitrogênio</v>
      </c>
      <c r="R36" s="84" t="str">
        <f>VLOOKUP(B36,'FTD06'!C:E,3,0)</f>
        <v>DN-40</v>
      </c>
      <c r="S36" s="86" t="str">
        <f>VLOOKUP(B36,'FTD06'!C:G,5,0)</f>
        <v>GEMÜ</v>
      </c>
      <c r="T36" s="83" t="str">
        <f>VLOOKUP(B36,'FTD07'!C:E,1,0)</f>
        <v>Entrada fermentador BV alimentação nitrogênio</v>
      </c>
      <c r="U36" s="84" t="str">
        <f>VLOOKUP(B36,'FTD07'!C:E,3,0)</f>
        <v>DN-40</v>
      </c>
      <c r="V36" s="82" t="str">
        <f>VLOOKUP(B36,'FTD07'!C:G,5,0)</f>
        <v>GEMÜ</v>
      </c>
      <c r="W36" s="85" t="str">
        <f>VLOOKUP(B36,'FTD08'!C:E,1,0)</f>
        <v>Entrada fermentador BV alimentação nitrogênio</v>
      </c>
      <c r="X36" s="84" t="str">
        <f>VLOOKUP(B36,'FTD08'!C:E,3,0)</f>
        <v>DN-40</v>
      </c>
      <c r="Y36" s="86" t="str">
        <f>VLOOKUP(B36,'FTD08'!C:G,5,0)</f>
        <v>GEMÜ</v>
      </c>
      <c r="Z36" s="83" t="str">
        <f>VLOOKUP(B36,'FTD09'!C:E,1,0)</f>
        <v>Entrada fermentador BV alimentação nitrogênio</v>
      </c>
      <c r="AA36" s="84" t="str">
        <f>VLOOKUP(B36,'FTD09'!C:E,3,0)</f>
        <v>DN-40</v>
      </c>
      <c r="AB36" s="82" t="str">
        <f>VLOOKUP(B36,'FTD09'!C:G,5,0)</f>
        <v>GEMÜ</v>
      </c>
      <c r="AC36" s="85" t="str">
        <f>VLOOKUP(B36,'FTD10'!C:E,1,0)</f>
        <v>Entrada fermentador BV alimentação nitrogênio</v>
      </c>
      <c r="AD36" s="84" t="str">
        <f>VLOOKUP(B36,'FTD10'!C:E,3,0)</f>
        <v>DN-40</v>
      </c>
      <c r="AE36" s="86" t="str">
        <f>VLOOKUP(B36,'FTD10'!C:G,5,0)</f>
        <v>GEMÜ</v>
      </c>
      <c r="AF36" s="83" t="str">
        <f>VLOOKUP(B36,'FTD11'!C:E,1,0)</f>
        <v>Entrada fermentador BV alimentação nitrogênio</v>
      </c>
      <c r="AG36" s="84" t="str">
        <f>VLOOKUP(B36,'FTD11'!C:E,3,0)</f>
        <v>DN-40</v>
      </c>
      <c r="AH36" s="82" t="str">
        <f>VLOOKUP(B36,'FTD11'!C:G,5,0)</f>
        <v>GEMÜ</v>
      </c>
      <c r="AI36" s="85" t="str">
        <f>VLOOKUP(B36,'FTD12'!C:E,1,0)</f>
        <v>Entrada fermentador BV alimentação nitrogênio</v>
      </c>
      <c r="AJ36" s="84" t="str">
        <f>VLOOKUP(B36,'FTD12'!C:E,3,0)</f>
        <v>DN-40</v>
      </c>
      <c r="AK36" s="84" t="str">
        <f>VLOOKUP(B36,'FTD12'!C:G,5,0)</f>
        <v>GEMÜ</v>
      </c>
      <c r="AL36" s="82">
        <f t="shared" si="1"/>
        <v>11</v>
      </c>
      <c r="AN36" s="62" t="s">
        <v>68</v>
      </c>
      <c r="AO36" s="14" t="s">
        <v>156</v>
      </c>
      <c r="AP36" s="14" t="s">
        <v>86</v>
      </c>
      <c r="AQ36" s="68" t="s">
        <v>157</v>
      </c>
      <c r="AR36" s="84" t="str">
        <f>VLOOKUP(AN36,'PGD02'!A:E,1,0)</f>
        <v>Superior</v>
      </c>
      <c r="AS36" s="84" t="str">
        <f>VLOOKUP(AO36,'PGD02'!C:E,1,0)</f>
        <v>Vapor linha de sais</v>
      </c>
      <c r="AT36" s="84" t="str">
        <f>VLOOKUP(AO36,'PGD02'!C:E,3,0)</f>
        <v>DN-25</v>
      </c>
      <c r="AU36" s="82" t="str">
        <f>VLOOKUP(AO36,'PGD02'!C:G,5,0)</f>
        <v>GEMÜ</v>
      </c>
      <c r="AV36" s="84" t="str">
        <f>VLOOKUP(AN36,'PGD03'!A:E,1,0)</f>
        <v>Superior</v>
      </c>
      <c r="AW36" s="84" t="str">
        <f>VLOOKUP(AO36,'PGD03'!C:E,1,0)</f>
        <v>Vapor linha de sais</v>
      </c>
      <c r="AX36" s="84" t="str">
        <f>VLOOKUP(AO36,'PGD03'!C:E,3,0)</f>
        <v>DN-25</v>
      </c>
      <c r="AY36" s="82" t="str">
        <f>VLOOKUP(AO36,'PGD03'!C:G,5,0)</f>
        <v>GEMÜ</v>
      </c>
      <c r="AZ36" s="84" t="str">
        <f>VLOOKUP(AN36,'PGD04'!A:E,1,0)</f>
        <v>Superior</v>
      </c>
      <c r="BA36" s="84" t="str">
        <f>VLOOKUP(AO36,'PGD03'!C:E,1,0)</f>
        <v>Vapor linha de sais</v>
      </c>
      <c r="BB36" s="84" t="str">
        <f>VLOOKUP(AO36,'PGD04'!C:E,3,0)</f>
        <v>DN-25</v>
      </c>
      <c r="BC36" s="82" t="str">
        <f>VLOOKUP(AO36,'PGD04'!C:G,5,0)</f>
        <v>GEMÜ</v>
      </c>
      <c r="BD36" s="84" t="str">
        <f>VLOOKUP(AN36,'PGD05'!A:E,1,0)</f>
        <v>Superior</v>
      </c>
      <c r="BE36" s="84" t="str">
        <f>VLOOKUP(AO36,'PGD05'!C:E,1,0)</f>
        <v>Vapor linha de sais</v>
      </c>
      <c r="BF36" s="84" t="str">
        <f>VLOOKUP(AO36,'PGD05'!C:E,3,0)</f>
        <v>DN-25</v>
      </c>
      <c r="BG36" s="82" t="str">
        <f>VLOOKUP(AO36,'PGD05'!C:G,5,0)</f>
        <v>GEMÜ</v>
      </c>
      <c r="BH36" s="84" t="str">
        <f>VLOOKUP(AN36,'PGD06'!A:E,1,0)</f>
        <v>Superior</v>
      </c>
      <c r="BI36" s="84" t="str">
        <f>VLOOKUP(AO36,'PGD06'!C:E,1,0)</f>
        <v>Vapor linha de sais</v>
      </c>
      <c r="BJ36" s="84" t="str">
        <f>VLOOKUP(AO36,'PGD06'!C:E,3,0)</f>
        <v>DN-25</v>
      </c>
      <c r="BK36" s="82" t="str">
        <f>VLOOKUP(AO36,'PGD06'!C:G,5,0)</f>
        <v>GEMÜ</v>
      </c>
      <c r="BL36" s="84" t="str">
        <f>VLOOKUP(AN36,'PGD07'!A:E,1,0)</f>
        <v>Superior</v>
      </c>
      <c r="BM36" s="84" t="str">
        <f>VLOOKUP(AO36,'PGD07'!C:E,1,0)</f>
        <v>Vapor linha de sais</v>
      </c>
      <c r="BN36" s="84" t="str">
        <f>VLOOKUP(AO36,'PGD07'!C:E,3,0)</f>
        <v>DN-25</v>
      </c>
      <c r="BO36" s="82" t="str">
        <f>VLOOKUP(AO36,'PGD07'!C:G,5,0)</f>
        <v>GEMÜ</v>
      </c>
      <c r="BP36" s="84" t="str">
        <f>VLOOKUP(AN36,'PGD08'!A:E,1,0)</f>
        <v>Superior</v>
      </c>
      <c r="BQ36" s="84" t="str">
        <f>VLOOKUP(AO36,'PGD08'!C:E,1,0)</f>
        <v>Vapor linha de sais</v>
      </c>
      <c r="BR36" s="84" t="str">
        <f>VLOOKUP(AO36,'PGD08'!C:E,3,0)</f>
        <v>DN-25</v>
      </c>
      <c r="BS36" s="82" t="str">
        <f>VLOOKUP(AO36,'PGD08'!C:G,5,0)</f>
        <v>GEMÜ</v>
      </c>
      <c r="BT36" s="84" t="str">
        <f>VLOOKUP(AN36,'PGD09'!A:E,1,0)</f>
        <v>Superior</v>
      </c>
      <c r="BU36" s="84" t="str">
        <f>VLOOKUP(AO36,'PGD09'!C:E,1,0)</f>
        <v>Vapor linha de sais</v>
      </c>
      <c r="BV36" s="84" t="str">
        <f>VLOOKUP(AO36,'PGD09'!C:E,3,0)</f>
        <v>DN-25</v>
      </c>
      <c r="BW36" s="82" t="str">
        <f>VLOOKUP(AO36,'PGD09'!C:G,5,0)</f>
        <v>GEMÜ</v>
      </c>
      <c r="BX36" s="84" t="str">
        <f>VLOOKUP(AN36,'PGD10'!A:E,1,0)</f>
        <v>Superior</v>
      </c>
      <c r="BY36" s="84" t="str">
        <f>VLOOKUP(AO36,'PGD10'!C:E,1,0)</f>
        <v>Vapor linha de sais</v>
      </c>
      <c r="BZ36" s="84" t="str">
        <f>VLOOKUP(AO36,'PGD10'!C:E,3,0)</f>
        <v>DN-25</v>
      </c>
      <c r="CA36" s="82" t="str">
        <f>VLOOKUP(AO36,'PGD10'!C:G,5,0)</f>
        <v>GEMÜ</v>
      </c>
      <c r="CB36" s="84" t="str">
        <f>VLOOKUP(AN36,'PGD11'!A:E,1,0)</f>
        <v>Superior</v>
      </c>
      <c r="CC36" s="84" t="str">
        <f>VLOOKUP(AO36,'PGD11'!C:E,1,0)</f>
        <v>Vapor linha de sais</v>
      </c>
      <c r="CD36" s="84" t="str">
        <f>VLOOKUP(AO36,'PGD11'!C:E,3,0)</f>
        <v>DN-25</v>
      </c>
      <c r="CE36" s="82" t="str">
        <f>VLOOKUP(AO36,'PGD11'!C:G,5,0)</f>
        <v>GEMÜ</v>
      </c>
      <c r="CF36" s="84" t="str">
        <f>VLOOKUP(AN36,'PGD12'!A:E,1,0)</f>
        <v>Superior</v>
      </c>
      <c r="CG36" s="84" t="str">
        <f>VLOOKUP(AO36,'PGD12'!C:E,1,0)</f>
        <v>Vapor linha de sais</v>
      </c>
      <c r="CH36" s="84" t="str">
        <f>VLOOKUP(AO36,'PGD12'!C:E,3,0)</f>
        <v>DN-25</v>
      </c>
      <c r="CI36" s="84" t="str">
        <f>VLOOKUP(AO36,'PGD12'!C:G,5,0)</f>
        <v>GEMÜ</v>
      </c>
      <c r="CJ36" s="82">
        <f t="shared" si="0"/>
        <v>11</v>
      </c>
    </row>
    <row r="37" spans="2:96" x14ac:dyDescent="0.25">
      <c r="B37" s="64" t="s">
        <v>158</v>
      </c>
      <c r="C37" s="7" t="s">
        <v>51</v>
      </c>
      <c r="D37" s="69" t="s">
        <v>5</v>
      </c>
      <c r="E37" s="57" t="str">
        <f>VLOOKUP(B37,'FTD02'!C:E,1,0)</f>
        <v>Entrada fermentador BV alimentação sais</v>
      </c>
      <c r="F37" s="53" t="str">
        <f>VLOOKUP(B37,'FTD02'!C:E,3,0)</f>
        <v>DN-40</v>
      </c>
      <c r="G37" s="56" t="str">
        <f>VLOOKUP(B37,'FTD02'!C:G,5,0)</f>
        <v>GEMÜ</v>
      </c>
      <c r="H37" s="57" t="str">
        <f>VLOOKUP(B37,'FTD03'!C:E,1,0)</f>
        <v>Entrada fermentador BV alimentação sais</v>
      </c>
      <c r="I37" s="53" t="str">
        <f>VLOOKUP(B37,'FTD03'!C:E,3,0)</f>
        <v>DN-40</v>
      </c>
      <c r="J37" s="56" t="str">
        <f>VLOOKUP(B37,'FTD03'!C:G,5,0)</f>
        <v>GEMÜ</v>
      </c>
      <c r="K37" s="57" t="str">
        <f>VLOOKUP(B37,'FTD04'!C:E,1,0)</f>
        <v>Entrada fermentador BV alimentação sais</v>
      </c>
      <c r="L37" s="53" t="str">
        <f>VLOOKUP(B37,'FTD04'!C:E,3,0)</f>
        <v>DN-40</v>
      </c>
      <c r="M37" s="56" t="str">
        <f>VLOOKUP(B37,'FTD04'!C:G,5,0)</f>
        <v>GEMÜ</v>
      </c>
      <c r="N37" s="57" t="str">
        <f>VLOOKUP(B37,'FTD05'!C:E,1,0)</f>
        <v>Entrada fermentador BV alimentação sais</v>
      </c>
      <c r="O37" s="53" t="str">
        <f>VLOOKUP(B37,'FTD05'!C:E,3,0)</f>
        <v>DN-40</v>
      </c>
      <c r="P37" s="56" t="str">
        <f>VLOOKUP(B37,'FTD05'!C:G,5,0)</f>
        <v>GEMÜ</v>
      </c>
      <c r="Q37" s="65" t="str">
        <f>VLOOKUP(B37,'FTD06'!C:E,1,0)</f>
        <v>Entrada fermentador BV alimentação sais</v>
      </c>
      <c r="R37" s="53" t="str">
        <f>VLOOKUP(B37,'FTD06'!C:E,3,0)</f>
        <v>DN-40</v>
      </c>
      <c r="S37" s="74" t="str">
        <f>VLOOKUP(B37,'FTD06'!C:G,5,0)</f>
        <v>GEMÜ</v>
      </c>
      <c r="T37" s="57" t="str">
        <f>VLOOKUP(B37,'FTD07'!C:E,1,0)</f>
        <v>Entrada fermentador BV alimentação sais</v>
      </c>
      <c r="U37" s="53" t="str">
        <f>VLOOKUP(B37,'FTD07'!C:E,3,0)</f>
        <v>DN-40</v>
      </c>
      <c r="V37" s="56" t="str">
        <f>VLOOKUP(B37,'FTD07'!C:G,5,0)</f>
        <v>GEMÜ</v>
      </c>
      <c r="W37" s="65" t="str">
        <f>VLOOKUP(B37,'FTD08'!C:E,1,0)</f>
        <v>Entrada fermentador BV alimentação sais</v>
      </c>
      <c r="X37" s="53" t="str">
        <f>VLOOKUP(B37,'FTD08'!C:E,3,0)</f>
        <v>DN-40</v>
      </c>
      <c r="Y37" s="74" t="str">
        <f>VLOOKUP(B37,'FTD08'!C:G,5,0)</f>
        <v>GEMÜ</v>
      </c>
      <c r="Z37" s="57" t="str">
        <f>VLOOKUP(B37,'FTD09'!C:E,1,0)</f>
        <v>Entrada fermentador BV alimentação sais</v>
      </c>
      <c r="AA37" s="53" t="str">
        <f>VLOOKUP(B37,'FTD09'!C:E,3,0)</f>
        <v>DN-40</v>
      </c>
      <c r="AB37" s="56" t="str">
        <f>VLOOKUP(B37,'FTD09'!C:G,5,0)</f>
        <v>GEMÜ</v>
      </c>
      <c r="AC37" s="65" t="str">
        <f>VLOOKUP(B37,'FTD10'!C:E,1,0)</f>
        <v>Entrada fermentador BV alimentação sais</v>
      </c>
      <c r="AD37" s="53" t="str">
        <f>VLOOKUP(B37,'FTD10'!C:E,3,0)</f>
        <v>DN-40</v>
      </c>
      <c r="AE37" s="74" t="str">
        <f>VLOOKUP(B37,'FTD10'!C:G,5,0)</f>
        <v>GEMÜ</v>
      </c>
      <c r="AF37" s="57" t="str">
        <f>VLOOKUP(B37,'FTD11'!C:E,1,0)</f>
        <v>Entrada fermentador BV alimentação sais</v>
      </c>
      <c r="AG37" s="53" t="str">
        <f>VLOOKUP(B37,'FTD11'!C:E,3,0)</f>
        <v>DN-40</v>
      </c>
      <c r="AH37" s="56" t="str">
        <f>VLOOKUP(B37,'FTD11'!C:G,5,0)</f>
        <v>GEMÜ</v>
      </c>
      <c r="AI37" s="65" t="str">
        <f>VLOOKUP(B37,'FTD12'!C:E,1,0)</f>
        <v>Entrada fermentador BV alimentação sais</v>
      </c>
      <c r="AJ37" s="53" t="str">
        <f>VLOOKUP(B37,'FTD12'!C:E,3,0)</f>
        <v>DN-40</v>
      </c>
      <c r="AK37" s="53" t="str">
        <f>VLOOKUP(B37,'FTD12'!C:G,5,0)</f>
        <v>GEMÜ</v>
      </c>
      <c r="AL37" s="56">
        <f t="shared" si="1"/>
        <v>11</v>
      </c>
      <c r="AN37" s="63" t="s">
        <v>68</v>
      </c>
      <c r="AO37" s="16" t="s">
        <v>159</v>
      </c>
      <c r="AP37" s="16" t="s">
        <v>86</v>
      </c>
      <c r="AQ37" s="78" t="s">
        <v>160</v>
      </c>
      <c r="AR37" s="84" t="str">
        <f>VLOOKUP(AN37,'PGD02'!A:E,1,0)</f>
        <v>Superior</v>
      </c>
      <c r="AS37" s="53" t="str">
        <f>VLOOKUP(AO37,'PGD02'!C:E,1,0)</f>
        <v>Vapor linha transferência</v>
      </c>
      <c r="AT37" s="53" t="str">
        <f>VLOOKUP(AO37,'PGD02'!C:E,3,0)</f>
        <v>DN-25</v>
      </c>
      <c r="AU37" s="56" t="str">
        <f>VLOOKUP(AO37,'PGD02'!C:G,5,0)</f>
        <v>GEMÜ</v>
      </c>
      <c r="AV37" s="84" t="str">
        <f>VLOOKUP(AN37,'PGD03'!A:E,1,0)</f>
        <v>Superior</v>
      </c>
      <c r="AW37" s="53" t="str">
        <f>VLOOKUP(AO37,'PGD03'!C:E,1,0)</f>
        <v>Vapor linha transferência</v>
      </c>
      <c r="AX37" s="53" t="str">
        <f>VLOOKUP(AO37,'PGD03'!C:E,3,0)</f>
        <v>DN-25</v>
      </c>
      <c r="AY37" s="56" t="str">
        <f>VLOOKUP(AO37,'PGD03'!C:G,5,0)</f>
        <v>GEMÜ</v>
      </c>
      <c r="AZ37" s="84" t="str">
        <f>VLOOKUP(AN37,'PGD04'!A:E,1,0)</f>
        <v>Superior</v>
      </c>
      <c r="BA37" s="53" t="str">
        <f>VLOOKUP(AO37,'PGD03'!C:E,1,0)</f>
        <v>Vapor linha transferência</v>
      </c>
      <c r="BB37" s="53" t="str">
        <f>VLOOKUP(AO37,'PGD04'!C:E,3,0)</f>
        <v>DN-25</v>
      </c>
      <c r="BC37" s="56" t="str">
        <f>VLOOKUP(AO37,'PGD04'!C:G,5,0)</f>
        <v>GEMÜ</v>
      </c>
      <c r="BD37" s="84" t="str">
        <f>VLOOKUP(AN37,'PGD05'!A:E,1,0)</f>
        <v>Superior</v>
      </c>
      <c r="BE37" s="53" t="str">
        <f>VLOOKUP(AO37,'PGD05'!C:E,1,0)</f>
        <v>Vapor linha transferência</v>
      </c>
      <c r="BF37" s="53" t="str">
        <f>VLOOKUP(AO37,'PGD05'!C:E,3,0)</f>
        <v>DN-25</v>
      </c>
      <c r="BG37" s="56" t="str">
        <f>VLOOKUP(AO37,'PGD05'!C:G,5,0)</f>
        <v>GEMÜ</v>
      </c>
      <c r="BH37" s="84" t="str">
        <f>VLOOKUP(AN37,'PGD06'!A:E,1,0)</f>
        <v>Superior</v>
      </c>
      <c r="BI37" s="53" t="str">
        <f>VLOOKUP(AO37,'PGD06'!C:E,1,0)</f>
        <v>Vapor linha transferência</v>
      </c>
      <c r="BJ37" s="53" t="str">
        <f>VLOOKUP(AO37,'PGD06'!C:E,3,0)</f>
        <v>DN-25</v>
      </c>
      <c r="BK37" s="56" t="str">
        <f>VLOOKUP(AO37,'PGD06'!C:G,5,0)</f>
        <v>GEMÜ</v>
      </c>
      <c r="BL37" s="84" t="str">
        <f>VLOOKUP(AN37,'PGD07'!A:E,1,0)</f>
        <v>Superior</v>
      </c>
      <c r="BM37" s="53" t="str">
        <f>VLOOKUP(AO37,'PGD07'!C:E,1,0)</f>
        <v>Vapor linha transferência</v>
      </c>
      <c r="BN37" s="53" t="str">
        <f>VLOOKUP(AO37,'PGD07'!C:E,3,0)</f>
        <v>DN-25</v>
      </c>
      <c r="BO37" s="56" t="str">
        <f>VLOOKUP(AO37,'PGD07'!C:G,5,0)</f>
        <v>GEMÜ</v>
      </c>
      <c r="BP37" s="84" t="str">
        <f>VLOOKUP(AN37,'PGD08'!A:E,1,0)</f>
        <v>Superior</v>
      </c>
      <c r="BQ37" s="53" t="str">
        <f>VLOOKUP(AO37,'PGD08'!C:E,1,0)</f>
        <v>Vapor linha transferência</v>
      </c>
      <c r="BR37" s="53" t="str">
        <f>VLOOKUP(AO37,'PGD08'!C:E,3,0)</f>
        <v>DN-25</v>
      </c>
      <c r="BS37" s="56" t="str">
        <f>VLOOKUP(AO37,'PGD08'!C:G,5,0)</f>
        <v>GEMÜ</v>
      </c>
      <c r="BT37" s="84" t="str">
        <f>VLOOKUP(AN37,'PGD09'!A:E,1,0)</f>
        <v>Superior</v>
      </c>
      <c r="BU37" s="53" t="str">
        <f>VLOOKUP(AO37,'PGD09'!C:E,1,0)</f>
        <v>Vapor linha transferência</v>
      </c>
      <c r="BV37" s="53" t="str">
        <f>VLOOKUP(AO37,'PGD09'!C:E,3,0)</f>
        <v>DN-25</v>
      </c>
      <c r="BW37" s="56" t="str">
        <f>VLOOKUP(AO37,'PGD09'!C:G,5,0)</f>
        <v>GEMÜ</v>
      </c>
      <c r="BX37" s="84" t="str">
        <f>VLOOKUP(AN37,'PGD10'!A:E,1,0)</f>
        <v>Superior</v>
      </c>
      <c r="BY37" s="53" t="str">
        <f>VLOOKUP(AO37,'PGD10'!C:E,1,0)</f>
        <v>Vapor linha transferência</v>
      </c>
      <c r="BZ37" s="53" t="str">
        <f>VLOOKUP(AO37,'PGD10'!C:E,3,0)</f>
        <v>DN-25</v>
      </c>
      <c r="CA37" s="56" t="str">
        <f>VLOOKUP(AO37,'PGD10'!C:G,5,0)</f>
        <v>GEMÜ</v>
      </c>
      <c r="CB37" s="84" t="str">
        <f>VLOOKUP(AN37,'PGD11'!A:E,1,0)</f>
        <v>Superior</v>
      </c>
      <c r="CC37" s="53" t="str">
        <f>VLOOKUP(AO37,'PGD11'!C:E,1,0)</f>
        <v>Vapor linha transferência</v>
      </c>
      <c r="CD37" s="53" t="str">
        <f>VLOOKUP(AO37,'PGD11'!C:E,3,0)</f>
        <v>DN-25</v>
      </c>
      <c r="CE37" s="56" t="str">
        <f>VLOOKUP(AO37,'PGD11'!C:G,5,0)</f>
        <v>GEMÜ</v>
      </c>
      <c r="CF37" s="84" t="str">
        <f>VLOOKUP(AN37,'PGD12'!A:E,1,0)</f>
        <v>Superior</v>
      </c>
      <c r="CG37" s="53" t="str">
        <f>VLOOKUP(AO37,'PGD12'!C:E,1,0)</f>
        <v>Vapor linha transferência</v>
      </c>
      <c r="CH37" s="53" t="str">
        <f>VLOOKUP(AO37,'PGD12'!C:E,3,0)</f>
        <v>DN-25</v>
      </c>
      <c r="CI37" s="53" t="str">
        <f>VLOOKUP(AO37,'PGD12'!C:G,5,0)</f>
        <v>GEMÜ</v>
      </c>
      <c r="CJ37" s="56">
        <f t="shared" si="0"/>
        <v>11</v>
      </c>
    </row>
    <row r="38" spans="2:96" x14ac:dyDescent="0.25">
      <c r="B38" s="62" t="s">
        <v>161</v>
      </c>
      <c r="C38" s="14" t="s">
        <v>51</v>
      </c>
      <c r="D38" s="68" t="s">
        <v>5</v>
      </c>
      <c r="E38" s="83" t="str">
        <f>VLOOKUP(B38,'FTD02'!C:E,1,0)</f>
        <v>Entrada fermentador BV transferência do propagador</v>
      </c>
      <c r="F38" s="84" t="str">
        <f>VLOOKUP(B38,'FTD02'!C:E,3,0)</f>
        <v>DN-40</v>
      </c>
      <c r="G38" s="82" t="str">
        <f>VLOOKUP(B38,'FTD02'!C:G,5,0)</f>
        <v>GEMÜ</v>
      </c>
      <c r="H38" s="83" t="str">
        <f>VLOOKUP(B38,'FTD03'!C:E,1,0)</f>
        <v>Entrada fermentador BV transferência do propagador</v>
      </c>
      <c r="I38" s="84" t="str">
        <f>VLOOKUP(B38,'FTD03'!C:E,3,0)</f>
        <v>DN-40</v>
      </c>
      <c r="J38" s="82" t="str">
        <f>VLOOKUP(B38,'FTD03'!C:G,5,0)</f>
        <v>GEMÜ</v>
      </c>
      <c r="K38" s="83" t="str">
        <f>VLOOKUP(B38,'FTD04'!C:E,1,0)</f>
        <v>Entrada fermentador BV transferência do propagador</v>
      </c>
      <c r="L38" s="84" t="str">
        <f>VLOOKUP(B38,'FTD04'!C:E,3,0)</f>
        <v>DN-40</v>
      </c>
      <c r="M38" s="82" t="str">
        <f>VLOOKUP(B38,'FTD04'!C:G,5,0)</f>
        <v>GEMÜ</v>
      </c>
      <c r="N38" s="83" t="str">
        <f>VLOOKUP(B38,'FTD05'!C:E,1,0)</f>
        <v>Entrada fermentador BV transferência do propagador</v>
      </c>
      <c r="O38" s="84" t="str">
        <f>VLOOKUP(B38,'FTD05'!C:E,3,0)</f>
        <v>DN-40</v>
      </c>
      <c r="P38" s="82" t="str">
        <f>VLOOKUP(B38,'FTD05'!C:G,5,0)</f>
        <v>GEMÜ</v>
      </c>
      <c r="Q38" s="85" t="str">
        <f>VLOOKUP(B38,'FTD06'!C:E,1,0)</f>
        <v>Entrada fermentador BV transferência do propagador</v>
      </c>
      <c r="R38" s="84" t="str">
        <f>VLOOKUP(B38,'FTD06'!C:E,3,0)</f>
        <v>DN-40</v>
      </c>
      <c r="S38" s="86" t="str">
        <f>VLOOKUP(B38,'FTD06'!C:G,5,0)</f>
        <v>GEMÜ</v>
      </c>
      <c r="T38" s="83" t="str">
        <f>VLOOKUP(B38,'FTD07'!C:E,1,0)</f>
        <v>Entrada fermentador BV transferência do propagador</v>
      </c>
      <c r="U38" s="84" t="str">
        <f>VLOOKUP(B38,'FTD07'!C:E,3,0)</f>
        <v>DN-40</v>
      </c>
      <c r="V38" s="82" t="str">
        <f>VLOOKUP(B38,'FTD07'!C:G,5,0)</f>
        <v>GEMÜ</v>
      </c>
      <c r="W38" s="85" t="str">
        <f>VLOOKUP(B38,'FTD08'!C:E,1,0)</f>
        <v>Entrada fermentador BV transferência do propagador</v>
      </c>
      <c r="X38" s="84" t="str">
        <f>VLOOKUP(B38,'FTD08'!C:E,3,0)</f>
        <v>DN-40</v>
      </c>
      <c r="Y38" s="86" t="str">
        <f>VLOOKUP(B38,'FTD08'!C:G,5,0)</f>
        <v>GEMÜ</v>
      </c>
      <c r="Z38" s="83" t="str">
        <f>VLOOKUP(B38,'FTD09'!C:E,1,0)</f>
        <v>Entrada fermentador BV transferência do propagador</v>
      </c>
      <c r="AA38" s="84" t="str">
        <f>VLOOKUP(B38,'FTD09'!C:E,3,0)</f>
        <v>DN-40</v>
      </c>
      <c r="AB38" s="82" t="str">
        <f>VLOOKUP(B38,'FTD09'!C:G,5,0)</f>
        <v>GEMÜ</v>
      </c>
      <c r="AC38" s="85" t="str">
        <f>VLOOKUP(B38,'FTD10'!C:E,1,0)</f>
        <v>Entrada fermentador BV transferência do propagador</v>
      </c>
      <c r="AD38" s="84" t="str">
        <f>VLOOKUP(B38,'FTD10'!C:E,3,0)</f>
        <v>DN-40</v>
      </c>
      <c r="AE38" s="86" t="str">
        <f>VLOOKUP(B38,'FTD10'!C:G,5,0)</f>
        <v>GEMÜ</v>
      </c>
      <c r="AF38" s="83" t="str">
        <f>VLOOKUP(B38,'FTD11'!C:E,1,0)</f>
        <v>Entrada fermentador BV transferência do propagador</v>
      </c>
      <c r="AG38" s="84" t="str">
        <f>VLOOKUP(B38,'FTD11'!C:E,3,0)</f>
        <v>DN-40</v>
      </c>
      <c r="AH38" s="82" t="str">
        <f>VLOOKUP(B38,'FTD11'!C:G,5,0)</f>
        <v>GEMÜ</v>
      </c>
      <c r="AI38" s="85" t="str">
        <f>VLOOKUP(B38,'FTD12'!C:E,1,0)</f>
        <v>Entrada fermentador BV transferência do propagador</v>
      </c>
      <c r="AJ38" s="84" t="str">
        <f>VLOOKUP(B38,'FTD12'!C:E,3,0)</f>
        <v>DN-40</v>
      </c>
      <c r="AK38" s="84" t="str">
        <f>VLOOKUP(B38,'FTD12'!C:G,5,0)</f>
        <v>GEMÜ</v>
      </c>
      <c r="AL38" s="82">
        <f t="shared" si="1"/>
        <v>11</v>
      </c>
      <c r="AN38" s="62" t="s">
        <v>68</v>
      </c>
      <c r="AO38" s="14" t="s">
        <v>162</v>
      </c>
      <c r="AP38" s="14" t="s">
        <v>86</v>
      </c>
      <c r="AQ38" s="68" t="s">
        <v>163</v>
      </c>
      <c r="AR38" s="84" t="str">
        <f>VLOOKUP(AN38,'PGD02'!A:E,1,0)</f>
        <v>Superior</v>
      </c>
      <c r="AS38" s="84" t="str">
        <f>VLOOKUP(AO38,'PGD02'!C:E,1,0)</f>
        <v xml:space="preserve">Entrada bloco BV alimentação CIP </v>
      </c>
      <c r="AT38" s="84" t="str">
        <f>VLOOKUP(AO38,'PGD02'!C:E,3,0)</f>
        <v>DN-25</v>
      </c>
      <c r="AU38" s="82" t="str">
        <f>VLOOKUP(AO38,'PGD02'!C:G,5,0)</f>
        <v>GEMÜ</v>
      </c>
      <c r="AV38" s="84" t="str">
        <f>VLOOKUP(AN38,'PGD03'!A:E,1,0)</f>
        <v>Superior</v>
      </c>
      <c r="AW38" s="84" t="str">
        <f>VLOOKUP(AO38,'PGD03'!C:E,1,0)</f>
        <v xml:space="preserve">Entrada bloco BV alimentação CIP </v>
      </c>
      <c r="AX38" s="84" t="str">
        <f>VLOOKUP(AO38,'PGD03'!C:E,3,0)</f>
        <v>DN-25</v>
      </c>
      <c r="AY38" s="82" t="str">
        <f>VLOOKUP(AO38,'PGD03'!C:G,5,0)</f>
        <v>GEMÜ</v>
      </c>
      <c r="AZ38" s="84" t="str">
        <f>VLOOKUP(AN38,'PGD04'!A:E,1,0)</f>
        <v>Superior</v>
      </c>
      <c r="BA38" s="84" t="str">
        <f>VLOOKUP(AO38,'PGD03'!C:E,1,0)</f>
        <v xml:space="preserve">Entrada bloco BV alimentação CIP </v>
      </c>
      <c r="BB38" s="84" t="str">
        <f>VLOOKUP(AO38,'PGD04'!C:E,3,0)</f>
        <v>DN-25</v>
      </c>
      <c r="BC38" s="82" t="str">
        <f>VLOOKUP(AO38,'PGD04'!C:G,5,0)</f>
        <v>GEMÜ</v>
      </c>
      <c r="BD38" s="84" t="str">
        <f>VLOOKUP(AN38,'PGD05'!A:E,1,0)</f>
        <v>Superior</v>
      </c>
      <c r="BE38" s="84" t="str">
        <f>VLOOKUP(AO38,'PGD05'!C:E,1,0)</f>
        <v xml:space="preserve">Entrada bloco BV alimentação CIP </v>
      </c>
      <c r="BF38" s="84" t="str">
        <f>VLOOKUP(AO38,'PGD05'!C:E,3,0)</f>
        <v>DN-25</v>
      </c>
      <c r="BG38" s="82" t="str">
        <f>VLOOKUP(AO38,'PGD05'!C:G,5,0)</f>
        <v>GEMÜ</v>
      </c>
      <c r="BH38" s="84" t="str">
        <f>VLOOKUP(AN38,'PGD06'!A:E,1,0)</f>
        <v>Superior</v>
      </c>
      <c r="BI38" s="84" t="str">
        <f>VLOOKUP(AO38,'PGD06'!C:E,1,0)</f>
        <v xml:space="preserve">Entrada bloco BV alimentação CIP </v>
      </c>
      <c r="BJ38" s="84" t="str">
        <f>VLOOKUP(AO38,'PGD06'!C:E,3,0)</f>
        <v>DN-25</v>
      </c>
      <c r="BK38" s="82" t="str">
        <f>VLOOKUP(AO38,'PGD06'!C:G,5,0)</f>
        <v>GEMÜ</v>
      </c>
      <c r="BL38" s="84" t="str">
        <f>VLOOKUP(AN38,'PGD07'!A:E,1,0)</f>
        <v>Superior</v>
      </c>
      <c r="BM38" s="84" t="str">
        <f>VLOOKUP(AO38,'PGD07'!C:E,1,0)</f>
        <v xml:space="preserve">Entrada bloco BV alimentação CIP </v>
      </c>
      <c r="BN38" s="84" t="str">
        <f>VLOOKUP(AO38,'PGD07'!C:E,3,0)</f>
        <v>DN-25</v>
      </c>
      <c r="BO38" s="82" t="str">
        <f>VLOOKUP(AO38,'PGD07'!C:G,5,0)</f>
        <v>GEMÜ</v>
      </c>
      <c r="BP38" s="84" t="str">
        <f>VLOOKUP(AN38,'PGD08'!A:E,1,0)</f>
        <v>Superior</v>
      </c>
      <c r="BQ38" s="84" t="str">
        <f>VLOOKUP(AO38,'PGD08'!C:E,1,0)</f>
        <v xml:space="preserve">Entrada bloco BV alimentação CIP </v>
      </c>
      <c r="BR38" s="84" t="str">
        <f>VLOOKUP(AO38,'PGD08'!C:E,3,0)</f>
        <v>DN-25</v>
      </c>
      <c r="BS38" s="82" t="str">
        <f>VLOOKUP(AO38,'PGD08'!C:G,5,0)</f>
        <v>GEMÜ</v>
      </c>
      <c r="BT38" s="84" t="str">
        <f>VLOOKUP(AN38,'PGD09'!A:E,1,0)</f>
        <v>Superior</v>
      </c>
      <c r="BU38" s="84" t="str">
        <f>VLOOKUP(AO38,'PGD09'!C:E,1,0)</f>
        <v xml:space="preserve">Entrada bloco BV alimentação CIP </v>
      </c>
      <c r="BV38" s="84" t="str">
        <f>VLOOKUP(AO38,'PGD09'!C:E,3,0)</f>
        <v>DN-25</v>
      </c>
      <c r="BW38" s="82" t="str">
        <f>VLOOKUP(AO38,'PGD09'!C:G,5,0)</f>
        <v>GEMÜ</v>
      </c>
      <c r="BX38" s="84" t="str">
        <f>VLOOKUP(AN38,'PGD10'!A:E,1,0)</f>
        <v>Superior</v>
      </c>
      <c r="BY38" s="84" t="str">
        <f>VLOOKUP(AO38,'PGD10'!C:E,1,0)</f>
        <v xml:space="preserve">Entrada bloco BV alimentação CIP </v>
      </c>
      <c r="BZ38" s="84" t="str">
        <f>VLOOKUP(AO38,'PGD10'!C:E,3,0)</f>
        <v>DN-25</v>
      </c>
      <c r="CA38" s="82" t="str">
        <f>VLOOKUP(AO38,'PGD10'!C:G,5,0)</f>
        <v>GEMÜ</v>
      </c>
      <c r="CB38" s="84" t="str">
        <f>VLOOKUP(AN38,'PGD11'!A:E,1,0)</f>
        <v>Superior</v>
      </c>
      <c r="CC38" s="84" t="str">
        <f>VLOOKUP(AO38,'PGD11'!C:E,1,0)</f>
        <v xml:space="preserve">Entrada bloco BV alimentação CIP </v>
      </c>
      <c r="CD38" s="84" t="str">
        <f>VLOOKUP(AO38,'PGD11'!C:E,3,0)</f>
        <v>DN-25</v>
      </c>
      <c r="CE38" s="82" t="str">
        <f>VLOOKUP(AO38,'PGD11'!C:G,5,0)</f>
        <v>GEMÜ</v>
      </c>
      <c r="CF38" s="84" t="str">
        <f>VLOOKUP(AN38,'PGD12'!A:E,1,0)</f>
        <v>Superior</v>
      </c>
      <c r="CG38" s="84" t="str">
        <f>VLOOKUP(AO38,'PGD12'!C:E,1,0)</f>
        <v xml:space="preserve">Entrada bloco BV alimentação CIP </v>
      </c>
      <c r="CH38" s="84" t="str">
        <f>VLOOKUP(AO38,'PGD12'!C:E,3,0)</f>
        <v>DN-25</v>
      </c>
      <c r="CI38" s="84" t="str">
        <f>VLOOKUP(AO38,'PGD12'!C:G,5,0)</f>
        <v>GEMÜ</v>
      </c>
      <c r="CJ38" s="82">
        <f t="shared" si="0"/>
        <v>11</v>
      </c>
    </row>
    <row r="39" spans="2:96" x14ac:dyDescent="0.25">
      <c r="B39" s="64" t="s">
        <v>105</v>
      </c>
      <c r="C39" s="7" t="s">
        <v>48</v>
      </c>
      <c r="D39" s="69" t="s">
        <v>6</v>
      </c>
      <c r="E39" s="57" t="str">
        <f>VLOOKUP(B39,'FTD02'!C:E,1,0)</f>
        <v xml:space="preserve">Válvula de bloqueio vapor linha de ar pré filtro absoluto </v>
      </c>
      <c r="F39" s="53" t="str">
        <f>VLOOKUP(B39,'FTD02'!C:E,3,0)</f>
        <v>DN-8</v>
      </c>
      <c r="G39" s="56" t="str">
        <f>VLOOKUP(B39,'FTD02'!C:G,5,0)</f>
        <v>ZDL</v>
      </c>
      <c r="H39" s="57" t="str">
        <f>VLOOKUP(B39,'FTD03'!C:E,1,0)</f>
        <v xml:space="preserve">Válvula de bloqueio vapor linha de ar pré filtro absoluto </v>
      </c>
      <c r="I39" s="53" t="str">
        <f>VLOOKUP(B39,'FTD03'!C:E,3,0)</f>
        <v>DN-8</v>
      </c>
      <c r="J39" s="56" t="str">
        <f>VLOOKUP(B39,'FTD03'!C:G,5,0)</f>
        <v>ZDL</v>
      </c>
      <c r="K39" s="57" t="str">
        <f>VLOOKUP(B39,'FTD04'!C:E,1,0)</f>
        <v xml:space="preserve">Válvula de bloqueio vapor linha de ar pré filtro absoluto </v>
      </c>
      <c r="L39" s="53" t="str">
        <f>VLOOKUP(B39,'FTD04'!C:E,3,0)</f>
        <v>DN-8</v>
      </c>
      <c r="M39" s="56" t="str">
        <f>VLOOKUP(B39,'FTD04'!C:G,5,0)</f>
        <v>ZDL</v>
      </c>
      <c r="N39" s="57" t="str">
        <f>VLOOKUP(B39,'FTD05'!C:E,1,0)</f>
        <v xml:space="preserve">Válvula de bloqueio vapor linha de ar pré filtro absoluto </v>
      </c>
      <c r="O39" s="53" t="str">
        <f>VLOOKUP(B39,'FTD05'!C:E,3,0)</f>
        <v>DN-8</v>
      </c>
      <c r="P39" s="56" t="str">
        <f>VLOOKUP(B39,'FTD05'!C:G,5,0)</f>
        <v>ZDL</v>
      </c>
      <c r="Q39" s="65" t="str">
        <f>VLOOKUP(B39,'FTD06'!C:E,1,0)</f>
        <v xml:space="preserve">Válvula de bloqueio vapor linha de ar pré filtro absoluto </v>
      </c>
      <c r="R39" s="53" t="str">
        <f>VLOOKUP(B39,'FTD06'!C:E,3,0)</f>
        <v>DN-8</v>
      </c>
      <c r="S39" s="74" t="str">
        <f>VLOOKUP(B39,'FTD06'!C:G,5,0)</f>
        <v>GEMÜ</v>
      </c>
      <c r="T39" s="57" t="str">
        <f>VLOOKUP(B39,'FTD07'!C:E,1,0)</f>
        <v xml:space="preserve">Válvula de bloqueio vapor linha de ar pré filtro absoluto </v>
      </c>
      <c r="U39" s="53" t="str">
        <f>VLOOKUP(B39,'FTD07'!C:E,3,0)</f>
        <v>DN-8</v>
      </c>
      <c r="V39" s="56" t="str">
        <f>VLOOKUP(B39,'FTD07'!C:G,5,0)</f>
        <v>ZDL</v>
      </c>
      <c r="W39" s="65" t="str">
        <f>VLOOKUP(B39,'FTD08'!C:E,1,0)</f>
        <v xml:space="preserve">Válvula de bloqueio vapor linha de ar pré filtro absoluto </v>
      </c>
      <c r="X39" s="53" t="str">
        <f>VLOOKUP(B39,'FTD08'!C:E,3,0)</f>
        <v>DN-8</v>
      </c>
      <c r="Y39" s="74" t="str">
        <f>VLOOKUP(B39,'FTD08'!C:G,5,0)</f>
        <v>ZDL</v>
      </c>
      <c r="Z39" s="57" t="str">
        <f>VLOOKUP(B39,'FTD09'!C:E,1,0)</f>
        <v xml:space="preserve">Válvula de bloqueio vapor linha de ar pré filtro absoluto </v>
      </c>
      <c r="AA39" s="53" t="str">
        <f>VLOOKUP(B39,'FTD09'!C:E,3,0)</f>
        <v>DN-8</v>
      </c>
      <c r="AB39" s="56" t="str">
        <f>VLOOKUP(B39,'FTD09'!C:G,5,0)</f>
        <v>ZDL</v>
      </c>
      <c r="AC39" s="65" t="str">
        <f>VLOOKUP(B39,'FTD10'!C:E,1,0)</f>
        <v xml:space="preserve">Válvula de bloqueio vapor linha de ar pré filtro absoluto </v>
      </c>
      <c r="AD39" s="53" t="str">
        <f>VLOOKUP(B39,'FTD10'!C:E,3,0)</f>
        <v>DN-8</v>
      </c>
      <c r="AE39" s="74" t="str">
        <f>VLOOKUP(B39,'FTD10'!C:G,5,0)</f>
        <v>ZDL</v>
      </c>
      <c r="AF39" s="57" t="str">
        <f>VLOOKUP(B39,'FTD11'!C:E,1,0)</f>
        <v xml:space="preserve">Válvula de bloqueio vapor linha de ar pré filtro absoluto </v>
      </c>
      <c r="AG39" s="53" t="str">
        <f>VLOOKUP(B39,'FTD11'!C:E,3,0)</f>
        <v>DN-8</v>
      </c>
      <c r="AH39" s="56" t="str">
        <f>VLOOKUP(B39,'FTD11'!C:G,5,0)</f>
        <v>ZDL</v>
      </c>
      <c r="AI39" s="65" t="str">
        <f>VLOOKUP(B39,'FTD12'!C:E,1,0)</f>
        <v xml:space="preserve">Válvula de bloqueio vapor linha de ar pré filtro absoluto </v>
      </c>
      <c r="AJ39" s="53" t="str">
        <f>VLOOKUP(B39,'FTD12'!C:E,3,0)</f>
        <v>DN-8</v>
      </c>
      <c r="AK39" s="53" t="str">
        <f>VLOOKUP(B39,'FTD12'!C:G,5,0)</f>
        <v xml:space="preserve">ZDL </v>
      </c>
      <c r="AL39" s="56">
        <f t="shared" si="1"/>
        <v>11</v>
      </c>
      <c r="AN39" s="63" t="s">
        <v>68</v>
      </c>
      <c r="AO39" s="16" t="s">
        <v>164</v>
      </c>
      <c r="AP39" s="16" t="s">
        <v>86</v>
      </c>
      <c r="AQ39" s="78" t="s">
        <v>165</v>
      </c>
      <c r="AR39" s="84" t="str">
        <f>VLOOKUP(AN39,'PGD02'!A:E,1,0)</f>
        <v>Superior</v>
      </c>
      <c r="AS39" s="53" t="str">
        <f>VLOOKUP(AO39,'PGD02'!C:E,1,0)</f>
        <v xml:space="preserve">Entrada propagador BV alimentação CIP </v>
      </c>
      <c r="AT39" s="53" t="str">
        <f>VLOOKUP(AO39,'PGD02'!C:E,3,0)</f>
        <v>DN-25</v>
      </c>
      <c r="AU39" s="56" t="str">
        <f>VLOOKUP(AO39,'PGD02'!C:G,5,0)</f>
        <v>GEMÜ</v>
      </c>
      <c r="AV39" s="84" t="str">
        <f>VLOOKUP(AN39,'PGD03'!A:E,1,0)</f>
        <v>Superior</v>
      </c>
      <c r="AW39" s="53" t="str">
        <f>VLOOKUP(AO39,'PGD03'!C:E,1,0)</f>
        <v xml:space="preserve">Entrada propagador BV alimentação CIP </v>
      </c>
      <c r="AX39" s="53" t="str">
        <f>VLOOKUP(AO39,'PGD03'!C:E,3,0)</f>
        <v>DN-25</v>
      </c>
      <c r="AY39" s="56" t="str">
        <f>VLOOKUP(AO39,'PGD03'!C:G,5,0)</f>
        <v>GEMÜ</v>
      </c>
      <c r="AZ39" s="84" t="str">
        <f>VLOOKUP(AN39,'PGD04'!A:E,1,0)</f>
        <v>Superior</v>
      </c>
      <c r="BA39" s="53" t="str">
        <f>VLOOKUP(AO39,'PGD03'!C:E,1,0)</f>
        <v xml:space="preserve">Entrada propagador BV alimentação CIP </v>
      </c>
      <c r="BB39" s="53" t="str">
        <f>VLOOKUP(AO39,'PGD04'!C:E,3,0)</f>
        <v>DN-25</v>
      </c>
      <c r="BC39" s="56" t="str">
        <f>VLOOKUP(AO39,'PGD04'!C:G,5,0)</f>
        <v>GEMÜ</v>
      </c>
      <c r="BD39" s="84" t="str">
        <f>VLOOKUP(AN39,'PGD05'!A:E,1,0)</f>
        <v>Superior</v>
      </c>
      <c r="BE39" s="53" t="str">
        <f>VLOOKUP(AO39,'PGD05'!C:E,1,0)</f>
        <v xml:space="preserve">Entrada propagador BV alimentação CIP </v>
      </c>
      <c r="BF39" s="53" t="str">
        <f>VLOOKUP(AO39,'PGD05'!C:E,3,0)</f>
        <v>DN-25</v>
      </c>
      <c r="BG39" s="56" t="str">
        <f>VLOOKUP(AO39,'PGD05'!C:G,5,0)</f>
        <v>GEMÜ</v>
      </c>
      <c r="BH39" s="84" t="str">
        <f>VLOOKUP(AN39,'PGD06'!A:E,1,0)</f>
        <v>Superior</v>
      </c>
      <c r="BI39" s="53" t="str">
        <f>VLOOKUP(AO39,'PGD06'!C:E,1,0)</f>
        <v xml:space="preserve">Entrada propagador BV alimentação CIP </v>
      </c>
      <c r="BJ39" s="53" t="str">
        <f>VLOOKUP(AO39,'PGD06'!C:E,3,0)</f>
        <v>DN-25</v>
      </c>
      <c r="BK39" s="56" t="str">
        <f>VLOOKUP(AO39,'PGD06'!C:G,5,0)</f>
        <v>GEMÜ</v>
      </c>
      <c r="BL39" s="84" t="str">
        <f>VLOOKUP(AN39,'PGD07'!A:E,1,0)</f>
        <v>Superior</v>
      </c>
      <c r="BM39" s="53" t="str">
        <f>VLOOKUP(AO39,'PGD07'!C:E,1,0)</f>
        <v xml:space="preserve">Entrada propagador BV alimentação CIP </v>
      </c>
      <c r="BN39" s="53" t="str">
        <f>VLOOKUP(AO39,'PGD07'!C:E,3,0)</f>
        <v>DN-25</v>
      </c>
      <c r="BO39" s="56" t="str">
        <f>VLOOKUP(AO39,'PGD07'!C:G,5,0)</f>
        <v>GEMÜ</v>
      </c>
      <c r="BP39" s="84" t="str">
        <f>VLOOKUP(AN39,'PGD08'!A:E,1,0)</f>
        <v>Superior</v>
      </c>
      <c r="BQ39" s="53" t="str">
        <f>VLOOKUP(AO39,'PGD08'!C:E,1,0)</f>
        <v xml:space="preserve">Entrada propagador BV alimentação CIP </v>
      </c>
      <c r="BR39" s="53" t="str">
        <f>VLOOKUP(AO39,'PGD08'!C:E,3,0)</f>
        <v>DN-25</v>
      </c>
      <c r="BS39" s="56" t="str">
        <f>VLOOKUP(AO39,'PGD08'!C:G,5,0)</f>
        <v>GEMÜ</v>
      </c>
      <c r="BT39" s="84" t="str">
        <f>VLOOKUP(AN39,'PGD09'!A:E,1,0)</f>
        <v>Superior</v>
      </c>
      <c r="BU39" s="53" t="str">
        <f>VLOOKUP(AO39,'PGD09'!C:E,1,0)</f>
        <v xml:space="preserve">Entrada propagador BV alimentação CIP </v>
      </c>
      <c r="BV39" s="53" t="str">
        <f>VLOOKUP(AO39,'PGD09'!C:E,3,0)</f>
        <v>DN-25</v>
      </c>
      <c r="BW39" s="56" t="str">
        <f>VLOOKUP(AO39,'PGD09'!C:G,5,0)</f>
        <v>GEMÜ</v>
      </c>
      <c r="BX39" s="84" t="str">
        <f>VLOOKUP(AN39,'PGD10'!A:E,1,0)</f>
        <v>Superior</v>
      </c>
      <c r="BY39" s="53" t="str">
        <f>VLOOKUP(AO39,'PGD10'!C:E,1,0)</f>
        <v xml:space="preserve">Entrada propagador BV alimentação CIP </v>
      </c>
      <c r="BZ39" s="53" t="str">
        <f>VLOOKUP(AO39,'PGD10'!C:E,3,0)</f>
        <v>DN-25</v>
      </c>
      <c r="CA39" s="56" t="str">
        <f>VLOOKUP(AO39,'PGD10'!C:G,5,0)</f>
        <v>GEMÜ</v>
      </c>
      <c r="CB39" s="84" t="str">
        <f>VLOOKUP(AN39,'PGD11'!A:E,1,0)</f>
        <v>Superior</v>
      </c>
      <c r="CC39" s="53" t="str">
        <f>VLOOKUP(AO39,'PGD11'!C:E,1,0)</f>
        <v xml:space="preserve">Entrada propagador BV alimentação CIP </v>
      </c>
      <c r="CD39" s="53" t="str">
        <f>VLOOKUP(AO39,'PGD11'!C:E,3,0)</f>
        <v>DN-25</v>
      </c>
      <c r="CE39" s="56" t="str">
        <f>VLOOKUP(AO39,'PGD11'!C:G,5,0)</f>
        <v>GEMÜ</v>
      </c>
      <c r="CF39" s="84" t="str">
        <f>VLOOKUP(AN39,'PGD12'!A:E,1,0)</f>
        <v>Superior</v>
      </c>
      <c r="CG39" s="53" t="str">
        <f>VLOOKUP(AO39,'PGD12'!C:E,1,0)</f>
        <v xml:space="preserve">Entrada propagador BV alimentação CIP </v>
      </c>
      <c r="CH39" s="53" t="str">
        <f>VLOOKUP(AO39,'PGD12'!C:E,3,0)</f>
        <v>DN-25</v>
      </c>
      <c r="CI39" s="53" t="str">
        <f>VLOOKUP(AO39,'PGD12'!C:G,5,0)</f>
        <v>GEMÜ</v>
      </c>
      <c r="CJ39" s="56">
        <f t="shared" si="0"/>
        <v>11</v>
      </c>
    </row>
    <row r="40" spans="2:96" x14ac:dyDescent="0.25">
      <c r="B40" s="62" t="s">
        <v>166</v>
      </c>
      <c r="C40" s="14" t="s">
        <v>76</v>
      </c>
      <c r="D40" s="68" t="s">
        <v>5</v>
      </c>
      <c r="E40" s="83" t="e">
        <f>VLOOKUP(B40,'FTD02'!C:E,1,0)</f>
        <v>#N/A</v>
      </c>
      <c r="F40" s="84" t="e">
        <f>VLOOKUP(B40,'FTD02'!C:E,3,0)</f>
        <v>#N/A</v>
      </c>
      <c r="G40" s="82" t="e">
        <f>VLOOKUP(B40,'FTD02'!C:G,5,0)</f>
        <v>#N/A</v>
      </c>
      <c r="H40" s="83" t="e">
        <f>VLOOKUP(B40,'FTD03'!C:E,1,0)</f>
        <v>#N/A</v>
      </c>
      <c r="I40" s="84" t="e">
        <f>VLOOKUP(B40,'FTD03'!C:E,3,0)</f>
        <v>#N/A</v>
      </c>
      <c r="J40" s="82" t="e">
        <f>VLOOKUP(B40,'FTD03'!C:G,5,0)</f>
        <v>#N/A</v>
      </c>
      <c r="K40" s="83" t="e">
        <f>VLOOKUP(B40,'FTD04'!C:E,1,0)</f>
        <v>#N/A</v>
      </c>
      <c r="L40" s="84" t="e">
        <f>VLOOKUP(B40,'FTD04'!C:E,3,0)</f>
        <v>#N/A</v>
      </c>
      <c r="M40" s="82" t="e">
        <f>VLOOKUP(B40,'FTD04'!C:G,5,0)</f>
        <v>#N/A</v>
      </c>
      <c r="N40" s="83" t="e">
        <f>VLOOKUP(B40,'FTD05'!C:E,1,0)</f>
        <v>#N/A</v>
      </c>
      <c r="O40" s="84" t="e">
        <f>VLOOKUP(B40,'FTD05'!C:E,3,0)</f>
        <v>#N/A</v>
      </c>
      <c r="P40" s="82" t="e">
        <f>VLOOKUP(B40,'FTD05'!C:G,5,0)</f>
        <v>#N/A</v>
      </c>
      <c r="Q40" s="85" t="e">
        <f>VLOOKUP(B40,'FTD06'!C:E,1,0)</f>
        <v>#N/A</v>
      </c>
      <c r="R40" s="84" t="e">
        <f>VLOOKUP(B40,'FTD06'!C:E,3,0)</f>
        <v>#N/A</v>
      </c>
      <c r="S40" s="86" t="e">
        <f>VLOOKUP(B40,'FTD06'!C:G,5,0)</f>
        <v>#N/A</v>
      </c>
      <c r="T40" s="83" t="e">
        <f>VLOOKUP(B40,'FTD07'!C:E,1,0)</f>
        <v>#N/A</v>
      </c>
      <c r="U40" s="84" t="e">
        <f>VLOOKUP(B40,'FTD07'!C:E,3,0)</f>
        <v>#N/A</v>
      </c>
      <c r="V40" s="82" t="e">
        <f>VLOOKUP(B40,'FTD07'!C:G,5,0)</f>
        <v>#N/A</v>
      </c>
      <c r="W40" s="85" t="e">
        <f>VLOOKUP(B40,'FTD08'!C:E,1,0)</f>
        <v>#N/A</v>
      </c>
      <c r="X40" s="84" t="e">
        <f>VLOOKUP(B40,'FTD08'!C:E,3,0)</f>
        <v>#N/A</v>
      </c>
      <c r="Y40" s="86" t="e">
        <f>VLOOKUP(B40,'FTD08'!C:G,5,0)</f>
        <v>#N/A</v>
      </c>
      <c r="Z40" s="83" t="e">
        <f>VLOOKUP(B40,'FTD09'!C:E,1,0)</f>
        <v>#N/A</v>
      </c>
      <c r="AA40" s="84" t="e">
        <f>VLOOKUP(B40,'FTD09'!C:E,3,0)</f>
        <v>#N/A</v>
      </c>
      <c r="AB40" s="82" t="e">
        <f>VLOOKUP(B40,'FTD09'!C:G,5,0)</f>
        <v>#N/A</v>
      </c>
      <c r="AC40" s="85" t="e">
        <f>VLOOKUP(B40,'FTD10'!C:E,1,0)</f>
        <v>#N/A</v>
      </c>
      <c r="AD40" s="84" t="e">
        <f>VLOOKUP(B40,'FTD10'!C:E,3,0)</f>
        <v>#N/A</v>
      </c>
      <c r="AE40" s="86" t="e">
        <f>VLOOKUP(B40,'FTD10'!C:G,5,0)</f>
        <v>#N/A</v>
      </c>
      <c r="AF40" s="83" t="e">
        <f>VLOOKUP(B40,'FTD11'!C:E,1,0)</f>
        <v>#N/A</v>
      </c>
      <c r="AG40" s="84" t="e">
        <f>VLOOKUP(B40,'FTD11'!C:E,3,0)</f>
        <v>#N/A</v>
      </c>
      <c r="AH40" s="82" t="e">
        <f>VLOOKUP(B40,'FTD11'!C:G,5,0)</f>
        <v>#N/A</v>
      </c>
      <c r="AI40" s="85" t="e">
        <f>VLOOKUP(B40,'FTD12'!C:E,1,0)</f>
        <v>#N/A</v>
      </c>
      <c r="AJ40" s="84" t="e">
        <f>VLOOKUP(B40,'FTD12'!C:E,3,0)</f>
        <v>#N/A</v>
      </c>
      <c r="AK40" s="84" t="e">
        <f>VLOOKUP(B40,'FTD12'!C:G,5,0)</f>
        <v>#N/A</v>
      </c>
      <c r="AL40" s="82">
        <f t="shared" si="1"/>
        <v>32</v>
      </c>
      <c r="AN40" s="63" t="s">
        <v>68</v>
      </c>
      <c r="AO40" s="13" t="s">
        <v>167</v>
      </c>
      <c r="AP40" s="16" t="s">
        <v>86</v>
      </c>
      <c r="AQ40" s="78" t="s">
        <v>168</v>
      </c>
      <c r="AR40" s="84" t="str">
        <f>VLOOKUP(AN40,'PGD02'!A:E,1,0)</f>
        <v>Superior</v>
      </c>
      <c r="AS40" s="84" t="str">
        <f>VLOOKUP(AO40,'PGD02'!C:E,1,0)</f>
        <v xml:space="preserve">Dreno BV alimentação CIP </v>
      </c>
      <c r="AT40" s="84" t="str">
        <f>VLOOKUP(AO40,'PGD02'!C:E,3,0)</f>
        <v>DN-25</v>
      </c>
      <c r="AU40" s="82" t="str">
        <f>VLOOKUP(AO40,'PGD02'!C:G,5,0)</f>
        <v>GEMÜ</v>
      </c>
      <c r="AV40" s="84" t="str">
        <f>VLOOKUP(AN40,'PGD03'!A:E,1,0)</f>
        <v>Superior</v>
      </c>
      <c r="AW40" s="84" t="str">
        <f>VLOOKUP(AO40,'PGD03'!C:E,1,0)</f>
        <v xml:space="preserve">Dreno BV alimentação CIP </v>
      </c>
      <c r="AX40" s="84" t="str">
        <f>VLOOKUP(AO40,'PGD03'!C:E,3,0)</f>
        <v>DN-25</v>
      </c>
      <c r="AY40" s="82" t="str">
        <f>VLOOKUP(AO40,'PGD03'!C:G,5,0)</f>
        <v>GEMÜ</v>
      </c>
      <c r="AZ40" s="84" t="str">
        <f>VLOOKUP(AN40,'PGD04'!A:E,1,0)</f>
        <v>Superior</v>
      </c>
      <c r="BA40" s="84" t="str">
        <f>VLOOKUP(AO40,'PGD03'!C:E,1,0)</f>
        <v xml:space="preserve">Dreno BV alimentação CIP </v>
      </c>
      <c r="BB40" s="84" t="str">
        <f>VLOOKUP(AO40,'PGD04'!C:E,3,0)</f>
        <v>DN-25</v>
      </c>
      <c r="BC40" s="82" t="str">
        <f>VLOOKUP(AO40,'PGD04'!C:G,5,0)</f>
        <v>GEMÜ</v>
      </c>
      <c r="BD40" s="84" t="str">
        <f>VLOOKUP(AN40,'PGD05'!A:E,1,0)</f>
        <v>Superior</v>
      </c>
      <c r="BE40" s="84" t="str">
        <f>VLOOKUP(AO40,'PGD05'!C:E,1,0)</f>
        <v xml:space="preserve">Dreno BV alimentação CIP </v>
      </c>
      <c r="BF40" s="84" t="str">
        <f>VLOOKUP(AO40,'PGD05'!C:E,3,0)</f>
        <v>DN-25</v>
      </c>
      <c r="BG40" s="82" t="str">
        <f>VLOOKUP(AO40,'PGD05'!C:G,5,0)</f>
        <v>GEMÜ</v>
      </c>
      <c r="BH40" s="84" t="str">
        <f>VLOOKUP(AN40,'PGD06'!A:E,1,0)</f>
        <v>Superior</v>
      </c>
      <c r="BI40" s="84" t="str">
        <f>VLOOKUP(AO40,'PGD06'!C:E,1,0)</f>
        <v xml:space="preserve">Dreno BV alimentação CIP </v>
      </c>
      <c r="BJ40" s="84" t="str">
        <f>VLOOKUP(AO40,'PGD06'!C:E,3,0)</f>
        <v>DN-25</v>
      </c>
      <c r="BK40" s="82" t="str">
        <f>VLOOKUP(AO40,'PGD06'!C:G,5,0)</f>
        <v>GEMÜ</v>
      </c>
      <c r="BL40" s="84" t="str">
        <f>VLOOKUP(AN40,'PGD07'!A:E,1,0)</f>
        <v>Superior</v>
      </c>
      <c r="BM40" s="84" t="str">
        <f>VLOOKUP(AO40,'PGD07'!C:E,1,0)</f>
        <v xml:space="preserve">Dreno BV alimentação CIP </v>
      </c>
      <c r="BN40" s="84" t="str">
        <f>VLOOKUP(AO40,'PGD07'!C:E,3,0)</f>
        <v>DN-25</v>
      </c>
      <c r="BO40" s="82" t="str">
        <f>VLOOKUP(AO40,'PGD07'!C:G,5,0)</f>
        <v>GEMÜ</v>
      </c>
      <c r="BP40" s="84" t="str">
        <f>VLOOKUP(AN40,'PGD08'!A:E,1,0)</f>
        <v>Superior</v>
      </c>
      <c r="BQ40" s="84" t="str">
        <f>VLOOKUP(AO40,'PGD08'!C:E,1,0)</f>
        <v xml:space="preserve">Dreno BV alimentação CIP </v>
      </c>
      <c r="BR40" s="84" t="str">
        <f>VLOOKUP(AO40,'PGD08'!C:E,3,0)</f>
        <v>DN-25</v>
      </c>
      <c r="BS40" s="82" t="str">
        <f>VLOOKUP(AO40,'PGD08'!C:G,5,0)</f>
        <v>GEMÜ</v>
      </c>
      <c r="BT40" s="84" t="str">
        <f>VLOOKUP(AN40,'PGD09'!A:E,1,0)</f>
        <v>Superior</v>
      </c>
      <c r="BU40" s="84" t="str">
        <f>VLOOKUP(AO40,'PGD09'!C:E,1,0)</f>
        <v xml:space="preserve">Dreno BV alimentação CIP </v>
      </c>
      <c r="BV40" s="84" t="str">
        <f>VLOOKUP(AO40,'PGD09'!C:E,3,0)</f>
        <v>DN-25</v>
      </c>
      <c r="BW40" s="82" t="str">
        <f>VLOOKUP(AO40,'PGD09'!C:G,5,0)</f>
        <v>GEMÜ</v>
      </c>
      <c r="BX40" s="84" t="str">
        <f>VLOOKUP(AN40,'PGD10'!A:E,1,0)</f>
        <v>Superior</v>
      </c>
      <c r="BY40" s="84" t="str">
        <f>VLOOKUP(AO40,'PGD10'!C:E,1,0)</f>
        <v xml:space="preserve">Dreno BV alimentação CIP </v>
      </c>
      <c r="BZ40" s="84" t="str">
        <f>VLOOKUP(AO40,'PGD10'!C:E,3,0)</f>
        <v>DN-25</v>
      </c>
      <c r="CA40" s="82" t="str">
        <f>VLOOKUP(AO40,'PGD10'!C:G,5,0)</f>
        <v>GEMÜ</v>
      </c>
      <c r="CB40" s="84" t="str">
        <f>VLOOKUP(AN40,'PGD11'!A:E,1,0)</f>
        <v>Superior</v>
      </c>
      <c r="CC40" s="84" t="str">
        <f>VLOOKUP(AO40,'PGD11'!C:E,1,0)</f>
        <v xml:space="preserve">Dreno BV alimentação CIP </v>
      </c>
      <c r="CD40" s="84" t="str">
        <f>VLOOKUP(AO40,'PGD11'!C:E,3,0)</f>
        <v>DN-25</v>
      </c>
      <c r="CE40" s="82" t="str">
        <f>VLOOKUP(AO40,'PGD11'!C:G,5,0)</f>
        <v>GEMÜ</v>
      </c>
      <c r="CF40" s="84" t="str">
        <f>VLOOKUP(AN40,'PGD12'!A:E,1,0)</f>
        <v>Superior</v>
      </c>
      <c r="CG40" s="84" t="str">
        <f>VLOOKUP(AO40,'PGD12'!C:E,1,0)</f>
        <v xml:space="preserve">Dreno BV alimentação CIP </v>
      </c>
      <c r="CH40" s="84" t="str">
        <f>VLOOKUP(AO40,'PGD12'!C:E,3,0)</f>
        <v>DN-25</v>
      </c>
      <c r="CI40" s="84" t="str">
        <f>VLOOKUP(AO40,'PGD12'!C:G,5,0)</f>
        <v>GEMÜ</v>
      </c>
      <c r="CJ40" s="82">
        <f t="shared" si="0"/>
        <v>11</v>
      </c>
    </row>
    <row r="41" spans="2:96" x14ac:dyDescent="0.25">
      <c r="B41" s="64" t="s">
        <v>153</v>
      </c>
      <c r="C41" s="7" t="s">
        <v>51</v>
      </c>
      <c r="D41" s="69" t="s">
        <v>5</v>
      </c>
      <c r="E41" s="57" t="str">
        <f>VLOOKUP(B41,'FTD02'!C:E,1,0)</f>
        <v>Vapor linha alimentação nitrogênio</v>
      </c>
      <c r="F41" s="53" t="str">
        <f>VLOOKUP(B41,'FTD02'!C:E,3,0)</f>
        <v>DN-40</v>
      </c>
      <c r="G41" s="56" t="str">
        <f>VLOOKUP(B41,'FTD02'!C:G,5,0)</f>
        <v>GEMÜ</v>
      </c>
      <c r="H41" s="57" t="str">
        <f>VLOOKUP(B41,'FTD03'!C:E,1,0)</f>
        <v>Vapor linha alimentação nitrogênio</v>
      </c>
      <c r="I41" s="53" t="str">
        <f>VLOOKUP(B41,'FTD03'!C:E,3,0)</f>
        <v>DN-40</v>
      </c>
      <c r="J41" s="56" t="str">
        <f>VLOOKUP(B41,'FTD03'!C:G,5,0)</f>
        <v>GEMÜ</v>
      </c>
      <c r="K41" s="57" t="str">
        <f>VLOOKUP(B41,'FTD04'!C:E,1,0)</f>
        <v>Vapor linha alimentação nitrogênio</v>
      </c>
      <c r="L41" s="53" t="str">
        <f>VLOOKUP(B41,'FTD04'!C:E,3,0)</f>
        <v>DN-40</v>
      </c>
      <c r="M41" s="56" t="str">
        <f>VLOOKUP(B41,'FTD04'!C:G,5,0)</f>
        <v>GEMÜ</v>
      </c>
      <c r="N41" s="57" t="str">
        <f>VLOOKUP(B41,'FTD05'!C:E,1,0)</f>
        <v>Vapor linha alimentação nitrogênio</v>
      </c>
      <c r="O41" s="53" t="str">
        <f>VLOOKUP(B41,'FTD05'!C:E,3,0)</f>
        <v>DN-40</v>
      </c>
      <c r="P41" s="56" t="str">
        <f>VLOOKUP(B41,'FTD05'!C:G,5,0)</f>
        <v>GEMÜ</v>
      </c>
      <c r="Q41" s="65" t="str">
        <f>VLOOKUP(B41,'FTD06'!C:E,1,0)</f>
        <v>Vapor linha alimentação nitrogênio</v>
      </c>
      <c r="R41" s="53" t="str">
        <f>VLOOKUP(B41,'FTD06'!C:E,3,0)</f>
        <v>DN-40</v>
      </c>
      <c r="S41" s="74" t="str">
        <f>VLOOKUP(B41,'FTD06'!C:G,5,0)</f>
        <v>GEMÜ</v>
      </c>
      <c r="T41" s="57" t="str">
        <f>VLOOKUP(B41,'FTD07'!C:E,1,0)</f>
        <v>Vapor linha alimentação nitrogênio</v>
      </c>
      <c r="U41" s="53" t="str">
        <f>VLOOKUP(B41,'FTD07'!C:E,3,0)</f>
        <v>DN-40</v>
      </c>
      <c r="V41" s="56" t="str">
        <f>VLOOKUP(B41,'FTD07'!C:G,5,0)</f>
        <v>GEMÜ</v>
      </c>
      <c r="W41" s="65" t="str">
        <f>VLOOKUP(B41,'FTD08'!C:E,1,0)</f>
        <v>Vapor linha alimentação nitrogênio</v>
      </c>
      <c r="X41" s="53" t="str">
        <f>VLOOKUP(B41,'FTD08'!C:E,3,0)</f>
        <v>DN-40</v>
      </c>
      <c r="Y41" s="74" t="str">
        <f>VLOOKUP(B41,'FTD08'!C:G,5,0)</f>
        <v>GEMÜ</v>
      </c>
      <c r="Z41" s="57" t="str">
        <f>VLOOKUP(B41,'FTD09'!C:E,1,0)</f>
        <v>Vapor linha alimentação nitrogênio</v>
      </c>
      <c r="AA41" s="53" t="str">
        <f>VLOOKUP(B41,'FTD09'!C:E,3,0)</f>
        <v>DN-40</v>
      </c>
      <c r="AB41" s="56" t="str">
        <f>VLOOKUP(B41,'FTD09'!C:G,5,0)</f>
        <v>GEMÜ</v>
      </c>
      <c r="AC41" s="65" t="str">
        <f>VLOOKUP(B41,'FTD10'!C:E,1,0)</f>
        <v>Vapor linha alimentação nitrogênio</v>
      </c>
      <c r="AD41" s="53" t="str">
        <f>VLOOKUP(B41,'FTD10'!C:E,3,0)</f>
        <v>DN-40</v>
      </c>
      <c r="AE41" s="74" t="str">
        <f>VLOOKUP(B41,'FTD10'!C:G,5,0)</f>
        <v>GEMÜ</v>
      </c>
      <c r="AF41" s="57" t="str">
        <f>VLOOKUP(B41,'FTD11'!C:E,1,0)</f>
        <v>Vapor linha alimentação nitrogênio</v>
      </c>
      <c r="AG41" s="53" t="str">
        <f>VLOOKUP(B41,'FTD11'!C:E,3,0)</f>
        <v>DN-40</v>
      </c>
      <c r="AH41" s="56" t="str">
        <f>VLOOKUP(B41,'FTD11'!C:G,5,0)</f>
        <v>GEMÜ</v>
      </c>
      <c r="AI41" s="65" t="str">
        <f>VLOOKUP(B41,'FTD12'!C:E,1,0)</f>
        <v>Vapor linha alimentação nitrogênio</v>
      </c>
      <c r="AJ41" s="53" t="str">
        <f>VLOOKUP(B41,'FTD12'!C:E,3,0)</f>
        <v>DN-40</v>
      </c>
      <c r="AK41" s="53" t="str">
        <f>VLOOKUP(B41,'FTD12'!C:G,5,0)</f>
        <v>GEMÜ</v>
      </c>
      <c r="AL41" s="56">
        <f t="shared" si="1"/>
        <v>11</v>
      </c>
      <c r="AN41" s="113" t="s">
        <v>49</v>
      </c>
      <c r="AO41" s="107" t="s">
        <v>169</v>
      </c>
      <c r="AP41" s="107" t="s">
        <v>48</v>
      </c>
      <c r="AQ41" s="115" t="s">
        <v>170</v>
      </c>
      <c r="AR41" s="84" t="str">
        <f>VLOOKUP(AN41,'PGD02'!A:E,1,0)</f>
        <v xml:space="preserve">Inferior </v>
      </c>
      <c r="AS41" s="84" t="str">
        <f>VLOOKUP(AO41,'PGD02'!C:E,1,0)</f>
        <v xml:space="preserve">Válvla de bloqueio de vapor fundo tanque e bloco 3 vias de amostra </v>
      </c>
      <c r="AT41" s="84" t="str">
        <f>VLOOKUP(AO41,'PGD02'!C:E,3,0)</f>
        <v>DN-8</v>
      </c>
      <c r="AU41" s="82" t="str">
        <f>VLOOKUP(AO41,'PGD02'!C:G,5,0)</f>
        <v>GEMÜ</v>
      </c>
      <c r="AV41" s="84" t="str">
        <f>VLOOKUP(AN41,'PGD03'!A:E,1,0)</f>
        <v xml:space="preserve">Inferior </v>
      </c>
      <c r="AW41" s="84" t="str">
        <f>VLOOKUP(AO41,'PGD03'!C:E,1,0)</f>
        <v xml:space="preserve">Válvla de bloqueio de vapor fundo tanque e bloco 3 vias de amostra </v>
      </c>
      <c r="AX41" s="84" t="str">
        <f>VLOOKUP(AO41,'PGD03'!C:E,3,0)</f>
        <v>DN-8</v>
      </c>
      <c r="AY41" s="72">
        <f>COUNTIF(AY4:AY40,AY33)</f>
        <v>5</v>
      </c>
      <c r="AZ41" s="84" t="str">
        <f>VLOOKUP(AN41,'PGD04'!A:E,1,0)</f>
        <v xml:space="preserve">Inferior </v>
      </c>
      <c r="BA41" s="84" t="str">
        <f>VLOOKUP(AO41,'PGD03'!C:E,1,0)</f>
        <v xml:space="preserve">Válvla de bloqueio de vapor fundo tanque e bloco 3 vias de amostra </v>
      </c>
      <c r="BB41" s="84" t="str">
        <f>VLOOKUP(AO41,'PGD04'!C:E,3,0)</f>
        <v>DN-8</v>
      </c>
      <c r="BC41" s="82" t="str">
        <f>VLOOKUP(AO41,'PGD04'!C:G,5,0)</f>
        <v>GEMÜ</v>
      </c>
      <c r="BD41" s="84" t="str">
        <f>VLOOKUP(AN41,'PGD05'!A:E,1,0)</f>
        <v xml:space="preserve">Inferior </v>
      </c>
      <c r="BE41" s="84" t="str">
        <f>VLOOKUP(AO41,'PGD05'!C:E,1,0)</f>
        <v xml:space="preserve">Válvla de bloqueio de vapor fundo tanque e bloco 3 vias de amostra </v>
      </c>
      <c r="BF41" s="84" t="str">
        <f>VLOOKUP(AO41,'PGD05'!C:E,3,0)</f>
        <v>DN-8</v>
      </c>
      <c r="BG41" s="82" t="str">
        <f>VLOOKUP(AO41,'PGD05'!C:G,5,0)</f>
        <v>GEMÜ</v>
      </c>
      <c r="BH41" s="84" t="str">
        <f>VLOOKUP(AN41,'PGD06'!A:E,1,0)</f>
        <v xml:space="preserve">Inferior </v>
      </c>
      <c r="BI41" s="84" t="str">
        <f>VLOOKUP(AO41,'PGD06'!C:E,1,0)</f>
        <v xml:space="preserve">Válvla de bloqueio de vapor fundo tanque e bloco 3 vias de amostra </v>
      </c>
      <c r="BJ41" s="84" t="str">
        <f>VLOOKUP(AO41,'PGD06'!C:E,3,0)</f>
        <v>DN-8</v>
      </c>
      <c r="BK41" s="82" t="str">
        <f>VLOOKUP(AO41,'PGD06'!C:G,5,0)</f>
        <v>GEMÜ</v>
      </c>
      <c r="BL41" s="84" t="str">
        <f>VLOOKUP(AN41,'PGD07'!A:E,1,0)</f>
        <v xml:space="preserve">Inferior </v>
      </c>
      <c r="BM41" s="84" t="str">
        <f>VLOOKUP(AO41,'PGD07'!C:E,1,0)</f>
        <v xml:space="preserve">Válvla de bloqueio de vapor fundo tanque e bloco 3 vias de amostra </v>
      </c>
      <c r="BN41" s="84" t="str">
        <f>VLOOKUP(AO41,'PGD07'!C:E,3,0)</f>
        <v>DN-8</v>
      </c>
      <c r="BO41" s="82" t="str">
        <f>VLOOKUP(AO41,'PGD07'!C:G,5,0)</f>
        <v>GEMÜ</v>
      </c>
      <c r="BP41" s="84" t="str">
        <f>VLOOKUP(AN41,'PGD08'!A:E,1,0)</f>
        <v xml:space="preserve">Inferior </v>
      </c>
      <c r="BQ41" s="84" t="str">
        <f>VLOOKUP(AO41,'PGD08'!C:E,1,0)</f>
        <v xml:space="preserve">Válvla de bloqueio de vapor fundo tanque e bloco 3 vias de amostra </v>
      </c>
      <c r="BR41" s="84" t="str">
        <f>VLOOKUP(AO41,'PGD08'!C:E,3,0)</f>
        <v>DN-8</v>
      </c>
      <c r="BS41" s="82" t="str">
        <f>VLOOKUP(AO41,'PGD08'!C:G,5,0)</f>
        <v>GEMÜ</v>
      </c>
      <c r="BT41" s="84" t="str">
        <f>VLOOKUP(AN41,'PGD09'!A:E,1,0)</f>
        <v xml:space="preserve">Inferior </v>
      </c>
      <c r="BU41" s="84" t="str">
        <f>VLOOKUP(AO41,'PGD09'!C:E,1,0)</f>
        <v xml:space="preserve">Válvla de bloqueio de vapor fundo tanque e bloco 3 vias de amostra </v>
      </c>
      <c r="BV41" s="84" t="str">
        <f>VLOOKUP(AO41,'PGD09'!C:E,3,0)</f>
        <v>DN-8</v>
      </c>
      <c r="BW41" s="82" t="str">
        <f>VLOOKUP(AO41,'PGD09'!C:G,5,0)</f>
        <v>GEMÜ</v>
      </c>
      <c r="BX41" s="84" t="str">
        <f>VLOOKUP(AN41,'PGD10'!A:E,1,0)</f>
        <v xml:space="preserve">Inferior </v>
      </c>
      <c r="BY41" s="84" t="str">
        <f>VLOOKUP(AO41,'PGD10'!C:E,1,0)</f>
        <v xml:space="preserve">Válvla de bloqueio de vapor fundo tanque e bloco 3 vias de amostra </v>
      </c>
      <c r="BZ41" s="84" t="str">
        <f>VLOOKUP(AO41,'PGD10'!C:E,3,0)</f>
        <v>DN-8</v>
      </c>
      <c r="CA41" s="82" t="str">
        <f>VLOOKUP(AO41,'PGD10'!C:G,5,0)</f>
        <v>GEMÜ</v>
      </c>
      <c r="CB41" s="84" t="str">
        <f>VLOOKUP(AN41,'PGD11'!A:E,1,0)</f>
        <v xml:space="preserve">Inferior </v>
      </c>
      <c r="CC41" s="84" t="str">
        <f>VLOOKUP(AO41,'PGD11'!C:E,1,0)</f>
        <v xml:space="preserve">Válvla de bloqueio de vapor fundo tanque e bloco 3 vias de amostra </v>
      </c>
      <c r="CD41" s="84" t="str">
        <f>VLOOKUP(AO41,'PGD11'!C:E,3,0)</f>
        <v>DN-8</v>
      </c>
      <c r="CE41" s="82" t="str">
        <f>VLOOKUP(AO41,'PGD11'!C:G,5,0)</f>
        <v>GEMÜ</v>
      </c>
      <c r="CF41" s="84" t="str">
        <f>VLOOKUP(AN41,'PGD12'!A:E,1,0)</f>
        <v xml:space="preserve">Inferior </v>
      </c>
      <c r="CG41" s="84" t="str">
        <f>VLOOKUP(AO41,'PGD12'!C:E,1,0)</f>
        <v xml:space="preserve">Válvla de bloqueio de vapor fundo tanque e bloco 3 vias de amostra </v>
      </c>
      <c r="CH41" s="84" t="str">
        <f>VLOOKUP(AO41,'PGD12'!C:E,3,0)</f>
        <v>DN-8</v>
      </c>
      <c r="CI41" s="84" t="str">
        <f>VLOOKUP(AO41,'PGD12'!C:G,5,0)</f>
        <v>GEMÜ</v>
      </c>
      <c r="CJ41" s="56"/>
    </row>
    <row r="42" spans="2:96" ht="15.75" thickBot="1" x14ac:dyDescent="0.3">
      <c r="B42" s="62" t="s">
        <v>156</v>
      </c>
      <c r="C42" s="14" t="s">
        <v>51</v>
      </c>
      <c r="D42" s="68" t="s">
        <v>5</v>
      </c>
      <c r="E42" s="83" t="str">
        <f>VLOOKUP(B42,'FTD02'!C:E,1,0)</f>
        <v>Vapor linha de sais</v>
      </c>
      <c r="F42" s="84" t="str">
        <f>VLOOKUP(B42,'FTD02'!C:E,3,0)</f>
        <v>DN-40</v>
      </c>
      <c r="G42" s="82" t="str">
        <f>VLOOKUP(B42,'FTD02'!C:G,5,0)</f>
        <v>GEMÜ</v>
      </c>
      <c r="H42" s="83" t="str">
        <f>VLOOKUP(B42,'FTD03'!C:E,1,0)</f>
        <v>Vapor linha de sais</v>
      </c>
      <c r="I42" s="84" t="str">
        <f>VLOOKUP(B42,'FTD03'!C:E,3,0)</f>
        <v>DN-40</v>
      </c>
      <c r="J42" s="82" t="str">
        <f>VLOOKUP(B42,'FTD03'!C:G,5,0)</f>
        <v>GEMÜ</v>
      </c>
      <c r="K42" s="83" t="str">
        <f>VLOOKUP(B42,'FTD04'!C:E,1,0)</f>
        <v>Vapor linha de sais</v>
      </c>
      <c r="L42" s="84" t="str">
        <f>VLOOKUP(B42,'FTD04'!C:E,3,0)</f>
        <v>DN-40</v>
      </c>
      <c r="M42" s="82" t="str">
        <f>VLOOKUP(B42,'FTD04'!C:G,5,0)</f>
        <v>GEMÜ</v>
      </c>
      <c r="N42" s="83" t="str">
        <f>VLOOKUP(B42,'FTD05'!C:E,1,0)</f>
        <v>Vapor linha de sais</v>
      </c>
      <c r="O42" s="84" t="str">
        <f>VLOOKUP(B42,'FTD05'!C:E,3,0)</f>
        <v>DN-40</v>
      </c>
      <c r="P42" s="82" t="str">
        <f>VLOOKUP(B42,'FTD05'!C:G,5,0)</f>
        <v>GEMÜ</v>
      </c>
      <c r="Q42" s="85" t="str">
        <f>VLOOKUP(B42,'FTD06'!C:E,1,0)</f>
        <v>Vapor linha de sais</v>
      </c>
      <c r="R42" s="84" t="str">
        <f>VLOOKUP(B42,'FTD06'!C:E,3,0)</f>
        <v>DN-40</v>
      </c>
      <c r="S42" s="86" t="str">
        <f>VLOOKUP(B42,'FTD06'!C:G,5,0)</f>
        <v>GEMÜ</v>
      </c>
      <c r="T42" s="83" t="str">
        <f>VLOOKUP(B42,'FTD07'!C:E,1,0)</f>
        <v>Vapor linha de sais</v>
      </c>
      <c r="U42" s="84" t="str">
        <f>VLOOKUP(B42,'FTD07'!C:E,3,0)</f>
        <v>DN-40</v>
      </c>
      <c r="V42" s="82" t="str">
        <f>VLOOKUP(B42,'FTD07'!C:G,5,0)</f>
        <v>GEMÜ</v>
      </c>
      <c r="W42" s="85" t="str">
        <f>VLOOKUP(B42,'FTD08'!C:E,1,0)</f>
        <v>Vapor linha de sais</v>
      </c>
      <c r="X42" s="84" t="str">
        <f>VLOOKUP(B42,'FTD08'!C:E,3,0)</f>
        <v>DN-40</v>
      </c>
      <c r="Y42" s="86" t="str">
        <f>VLOOKUP(B42,'FTD08'!C:G,5,0)</f>
        <v>GEMÜ</v>
      </c>
      <c r="Z42" s="83" t="str">
        <f>VLOOKUP(B42,'FTD09'!C:E,1,0)</f>
        <v>Vapor linha de sais</v>
      </c>
      <c r="AA42" s="84" t="str">
        <f>VLOOKUP(B42,'FTD09'!C:E,3,0)</f>
        <v>DN-40</v>
      </c>
      <c r="AB42" s="82" t="str">
        <f>VLOOKUP(B42,'FTD09'!C:G,5,0)</f>
        <v>GEMÜ</v>
      </c>
      <c r="AC42" s="85" t="str">
        <f>VLOOKUP(B42,'FTD10'!C:E,1,0)</f>
        <v>Vapor linha de sais</v>
      </c>
      <c r="AD42" s="84" t="str">
        <f>VLOOKUP(B42,'FTD10'!C:E,3,0)</f>
        <v>DN-40</v>
      </c>
      <c r="AE42" s="86" t="str">
        <f>VLOOKUP(B42,'FTD10'!C:G,5,0)</f>
        <v>GEMÜ</v>
      </c>
      <c r="AF42" s="83" t="str">
        <f>VLOOKUP(B42,'FTD11'!C:E,1,0)</f>
        <v>Vapor linha de sais</v>
      </c>
      <c r="AG42" s="84" t="str">
        <f>VLOOKUP(B42,'FTD11'!C:E,3,0)</f>
        <v>DN-40</v>
      </c>
      <c r="AH42" s="82" t="str">
        <f>VLOOKUP(B42,'FTD11'!C:G,5,0)</f>
        <v>GEMÜ</v>
      </c>
      <c r="AI42" s="85" t="str">
        <f>VLOOKUP(B42,'FTD12'!C:E,1,0)</f>
        <v>Vapor linha de sais</v>
      </c>
      <c r="AJ42" s="84" t="str">
        <f>VLOOKUP(B42,'FTD12'!C:E,3,0)</f>
        <v>DN-40</v>
      </c>
      <c r="AK42" s="84" t="str">
        <f>VLOOKUP(B42,'FTD12'!C:G,5,0)</f>
        <v>GEMÜ</v>
      </c>
      <c r="AL42" s="82">
        <f t="shared" si="1"/>
        <v>11</v>
      </c>
      <c r="AN42" s="58"/>
      <c r="AO42" s="59"/>
      <c r="AP42" s="59"/>
      <c r="AQ42" s="61">
        <f>COUNTIF(AQ4:AQ40,"GEMÜ")</f>
        <v>0</v>
      </c>
      <c r="AR42" s="58"/>
      <c r="AS42" s="59"/>
      <c r="AT42" s="59"/>
      <c r="AU42" s="73">
        <f>COUNTIF(AU4:AU40,AU34)</f>
        <v>33</v>
      </c>
      <c r="AV42" s="111"/>
      <c r="AW42" s="59"/>
      <c r="AX42" s="59"/>
      <c r="AY42" s="73">
        <f>COUNTIF(AY4:AY40,AY35)</f>
        <v>32</v>
      </c>
      <c r="AZ42" s="111"/>
      <c r="BA42" s="59"/>
      <c r="BB42" s="59"/>
      <c r="BC42" s="73">
        <f>COUNTIF(BC4:BC40,"GEMÜ")</f>
        <v>32</v>
      </c>
      <c r="BD42" s="111"/>
      <c r="BE42" s="59"/>
      <c r="BF42" s="59"/>
      <c r="BG42" s="73">
        <f>COUNTIF(BG4:BG40,"GEMÜ")</f>
        <v>32</v>
      </c>
      <c r="BH42" s="111"/>
      <c r="BI42" s="59"/>
      <c r="BJ42" s="59"/>
      <c r="BK42" s="73">
        <f>COUNTIF(BK4:BK40,"GEMÜ")</f>
        <v>32</v>
      </c>
      <c r="BL42" s="111"/>
      <c r="BM42" s="59"/>
      <c r="BN42" s="59"/>
      <c r="BO42" s="73">
        <f>COUNTIF(BO4:BO40,"GEMÜ")</f>
        <v>32</v>
      </c>
      <c r="BP42" s="111"/>
      <c r="BQ42" s="59"/>
      <c r="BR42" s="59"/>
      <c r="BS42" s="73">
        <f>COUNTIF(BS4:BS40,"GEMÜ")</f>
        <v>31</v>
      </c>
      <c r="BT42" s="111"/>
      <c r="BU42" s="59"/>
      <c r="BV42" s="59"/>
      <c r="BW42" s="73">
        <f>COUNTIF(BW4:BW40,"GEMÜ")</f>
        <v>32</v>
      </c>
      <c r="BX42" s="111"/>
      <c r="BY42" s="59"/>
      <c r="BZ42" s="59"/>
      <c r="CA42" s="73">
        <f>COUNTIF(CA4:CA40,"GEMÜ")</f>
        <v>32</v>
      </c>
      <c r="CB42" s="111"/>
      <c r="CC42" s="59"/>
      <c r="CD42" s="59"/>
      <c r="CE42" s="73">
        <f>COUNTIF(CE4:CE40,"GEMÜ")</f>
        <v>32</v>
      </c>
      <c r="CF42" s="111"/>
      <c r="CG42" s="59"/>
      <c r="CH42" s="59"/>
      <c r="CI42" s="60">
        <f>COUNTIF(CI4:CI40,"GEMÜ")</f>
        <v>32</v>
      </c>
      <c r="CJ42" s="61"/>
    </row>
    <row r="43" spans="2:96" x14ac:dyDescent="0.25">
      <c r="B43" s="64" t="s">
        <v>159</v>
      </c>
      <c r="C43" s="7" t="s">
        <v>51</v>
      </c>
      <c r="D43" s="69" t="s">
        <v>5</v>
      </c>
      <c r="E43" s="57" t="str">
        <f>VLOOKUP(B43,'FTD02'!C:E,1,0)</f>
        <v>Vapor linha transferência</v>
      </c>
      <c r="F43" s="53" t="str">
        <f>VLOOKUP(B43,'FTD02'!C:E,3,0)</f>
        <v>DN-40</v>
      </c>
      <c r="G43" s="56" t="str">
        <f>VLOOKUP(B43,'FTD02'!C:G,5,0)</f>
        <v>GEMÜ</v>
      </c>
      <c r="H43" s="57" t="str">
        <f>VLOOKUP(B43,'FTD03'!C:E,1,0)</f>
        <v>Vapor linha transferência</v>
      </c>
      <c r="I43" s="53" t="str">
        <f>VLOOKUP(B43,'FTD03'!C:E,3,0)</f>
        <v>DN-40</v>
      </c>
      <c r="J43" s="56" t="str">
        <f>VLOOKUP(B43,'FTD03'!C:G,5,0)</f>
        <v>GEMÜ</v>
      </c>
      <c r="K43" s="57" t="str">
        <f>VLOOKUP(B43,'FTD04'!C:E,1,0)</f>
        <v>Vapor linha transferência</v>
      </c>
      <c r="L43" s="53" t="str">
        <f>VLOOKUP(B43,'FTD04'!C:E,3,0)</f>
        <v>DN-40</v>
      </c>
      <c r="M43" s="56" t="str">
        <f>VLOOKUP(B43,'FTD04'!C:G,5,0)</f>
        <v>GEMÜ</v>
      </c>
      <c r="N43" s="57" t="str">
        <f>VLOOKUP(B43,'FTD05'!C:E,1,0)</f>
        <v>Vapor linha transferência</v>
      </c>
      <c r="O43" s="53" t="str">
        <f>VLOOKUP(B43,'FTD05'!C:E,3,0)</f>
        <v>DN-40</v>
      </c>
      <c r="P43" s="56" t="str">
        <f>VLOOKUP(B43,'FTD05'!C:G,5,0)</f>
        <v>GEMÜ</v>
      </c>
      <c r="Q43" s="65" t="str">
        <f>VLOOKUP(B43,'FTD06'!C:E,1,0)</f>
        <v>Vapor linha transferência</v>
      </c>
      <c r="R43" s="53" t="str">
        <f>VLOOKUP(B43,'FTD06'!C:E,3,0)</f>
        <v>DN-40</v>
      </c>
      <c r="S43" s="74" t="str">
        <f>VLOOKUP(B43,'FTD06'!C:G,5,0)</f>
        <v>GEMÜ</v>
      </c>
      <c r="T43" s="57" t="str">
        <f>VLOOKUP(B43,'FTD07'!C:E,1,0)</f>
        <v>Vapor linha transferência</v>
      </c>
      <c r="U43" s="53" t="str">
        <f>VLOOKUP(B43,'FTD07'!C:E,3,0)</f>
        <v>DN-40</v>
      </c>
      <c r="V43" s="56" t="str">
        <f>VLOOKUP(B43,'FTD07'!C:G,5,0)</f>
        <v>GEMÜ</v>
      </c>
      <c r="W43" s="65" t="str">
        <f>VLOOKUP(B43,'FTD08'!C:E,1,0)</f>
        <v>Vapor linha transferência</v>
      </c>
      <c r="X43" s="53" t="str">
        <f>VLOOKUP(B43,'FTD08'!C:E,3,0)</f>
        <v>DN-40</v>
      </c>
      <c r="Y43" s="74" t="str">
        <f>VLOOKUP(B43,'FTD08'!C:G,5,0)</f>
        <v>GEMÜ</v>
      </c>
      <c r="Z43" s="57" t="str">
        <f>VLOOKUP(B43,'FTD09'!C:E,1,0)</f>
        <v>Vapor linha transferência</v>
      </c>
      <c r="AA43" s="53" t="str">
        <f>VLOOKUP(B43,'FTD09'!C:E,3,0)</f>
        <v>DN-40</v>
      </c>
      <c r="AB43" s="56" t="str">
        <f>VLOOKUP(B43,'FTD09'!C:G,5,0)</f>
        <v>GEMÜ</v>
      </c>
      <c r="AC43" s="65" t="str">
        <f>VLOOKUP(B43,'FTD10'!C:E,1,0)</f>
        <v>Vapor linha transferência</v>
      </c>
      <c r="AD43" s="53" t="str">
        <f>VLOOKUP(B43,'FTD10'!C:E,3,0)</f>
        <v>DN-40</v>
      </c>
      <c r="AE43" s="74" t="str">
        <f>VLOOKUP(B43,'FTD10'!C:G,5,0)</f>
        <v>GEMÜ</v>
      </c>
      <c r="AF43" s="57" t="str">
        <f>VLOOKUP(B43,'FTD11'!C:E,1,0)</f>
        <v>Vapor linha transferência</v>
      </c>
      <c r="AG43" s="53" t="str">
        <f>VLOOKUP(B43,'FTD11'!C:E,3,0)</f>
        <v>DN-40</v>
      </c>
      <c r="AH43" s="56" t="str">
        <f>VLOOKUP(B43,'FTD11'!C:G,5,0)</f>
        <v>GEMÜ</v>
      </c>
      <c r="AI43" s="65" t="str">
        <f>VLOOKUP(B43,'FTD12'!C:E,1,0)</f>
        <v>Vapor linha transferência</v>
      </c>
      <c r="AJ43" s="53" t="str">
        <f>VLOOKUP(B43,'FTD12'!C:E,3,0)</f>
        <v>DN-40</v>
      </c>
      <c r="AK43" s="53" t="str">
        <f>VLOOKUP(B43,'FTD12'!C:G,5,0)</f>
        <v>GEMÜ</v>
      </c>
      <c r="AL43" s="56">
        <f t="shared" si="1"/>
        <v>11</v>
      </c>
    </row>
    <row r="44" spans="2:96" x14ac:dyDescent="0.25">
      <c r="B44" s="64"/>
      <c r="C44" s="7"/>
      <c r="D44" s="70">
        <f>COUNTIF(D4:D43,"ZDL")</f>
        <v>7</v>
      </c>
      <c r="E44" s="57"/>
      <c r="F44" s="53"/>
      <c r="G44" s="72">
        <f>COUNTIF(G4:G43,G39)</f>
        <v>7</v>
      </c>
      <c r="H44" s="57"/>
      <c r="I44" s="53"/>
      <c r="J44" s="72">
        <f>COUNTIF(J4:J43,J39)</f>
        <v>7</v>
      </c>
      <c r="K44" s="57"/>
      <c r="L44" s="53"/>
      <c r="M44" s="72">
        <f>COUNTIF(M4:M43,M39)</f>
        <v>7</v>
      </c>
      <c r="N44" s="57"/>
      <c r="O44" s="53"/>
      <c r="P44" s="72">
        <f>COUNTIF(P4:P43,P39)</f>
        <v>8</v>
      </c>
      <c r="Q44" s="65"/>
      <c r="R44" s="53"/>
      <c r="S44" s="75">
        <f>COUNTIF(S4:S43,S24)</f>
        <v>6</v>
      </c>
      <c r="T44" s="57"/>
      <c r="U44" s="53"/>
      <c r="V44" s="72">
        <f>COUNTIF(V4:V43,V39)</f>
        <v>6</v>
      </c>
      <c r="W44" s="65"/>
      <c r="X44" s="53"/>
      <c r="Y44" s="75">
        <f>COUNTIF(Y4:Y43,Y39)</f>
        <v>6</v>
      </c>
      <c r="Z44" s="57"/>
      <c r="AA44" s="53"/>
      <c r="AB44" s="72">
        <f>COUNTIF(AB4:AB43,AB39)</f>
        <v>8</v>
      </c>
      <c r="AC44" s="65"/>
      <c r="AD44" s="53"/>
      <c r="AE44" s="75">
        <f>COUNTIF(AE4:AE43,AE39)</f>
        <v>8</v>
      </c>
      <c r="AF44" s="57"/>
      <c r="AG44" s="53"/>
      <c r="AH44" s="72">
        <f>COUNTIF(AH4:AH43,AH39)</f>
        <v>7</v>
      </c>
      <c r="AI44" s="65"/>
      <c r="AJ44" s="53"/>
      <c r="AK44" s="54">
        <f>COUNTIF(AK4:AK43,AK39)</f>
        <v>8</v>
      </c>
      <c r="AL44" s="56"/>
    </row>
    <row r="45" spans="2:96" ht="15.75" thickBot="1" x14ac:dyDescent="0.3">
      <c r="B45" s="58"/>
      <c r="C45" s="59"/>
      <c r="D45" s="71">
        <f>COUNTIF(D4:D43,"GEMÜ")</f>
        <v>33</v>
      </c>
      <c r="E45" s="58"/>
      <c r="F45" s="59"/>
      <c r="G45" s="73">
        <f>COUNTIF(G4:G43,G38)</f>
        <v>30</v>
      </c>
      <c r="H45" s="58"/>
      <c r="I45" s="59"/>
      <c r="J45" s="73">
        <f>COUNTIF(J4:J43,J38)</f>
        <v>30</v>
      </c>
      <c r="K45" s="58"/>
      <c r="L45" s="59"/>
      <c r="M45" s="73">
        <f>COUNTIF(M4:M43,M40)</f>
        <v>3</v>
      </c>
      <c r="N45" s="58"/>
      <c r="O45" s="59"/>
      <c r="P45" s="73">
        <f>COUNTIF(P4:P43,P38)</f>
        <v>29</v>
      </c>
      <c r="Q45" s="66"/>
      <c r="R45" s="59"/>
      <c r="S45" s="76">
        <f>COUNTIF(S4:S43,S33)</f>
        <v>31</v>
      </c>
      <c r="T45" s="58"/>
      <c r="U45" s="59"/>
      <c r="V45" s="73">
        <f>COUNTIF(V4:V43,V40)</f>
        <v>3</v>
      </c>
      <c r="W45" s="66"/>
      <c r="X45" s="59"/>
      <c r="Y45" s="76">
        <f>COUNTIF(Y4:Y43,Y40)</f>
        <v>3</v>
      </c>
      <c r="Z45" s="58"/>
      <c r="AA45" s="59"/>
      <c r="AB45" s="73">
        <f>COUNTIF(AB4:AB43,AB40)</f>
        <v>3</v>
      </c>
      <c r="AC45" s="66"/>
      <c r="AD45" s="59"/>
      <c r="AE45" s="76">
        <f>COUNTIF(AE4:AE43,AE40)</f>
        <v>3</v>
      </c>
      <c r="AF45" s="58"/>
      <c r="AG45" s="59"/>
      <c r="AH45" s="73">
        <f>COUNTIF(AH4:AH43,AH38)</f>
        <v>30</v>
      </c>
      <c r="AI45" s="66"/>
      <c r="AJ45" s="59"/>
      <c r="AK45" s="60">
        <f>COUNTIF(AK4:AK43,AK40)</f>
        <v>3</v>
      </c>
      <c r="AL45" s="61"/>
    </row>
  </sheetData>
  <autoFilter ref="B3:AJ43" xr:uid="{B6E34492-B095-48CB-A573-254602AB7029}"/>
  <mergeCells count="26">
    <mergeCell ref="CL2:CN2"/>
    <mergeCell ref="CO2:CR2"/>
    <mergeCell ref="CF2:CJ2"/>
    <mergeCell ref="CB2:CE2"/>
    <mergeCell ref="BX2:CA2"/>
    <mergeCell ref="BT2:BW2"/>
    <mergeCell ref="T2:V2"/>
    <mergeCell ref="W2:Y2"/>
    <mergeCell ref="Z2:AB2"/>
    <mergeCell ref="AC2:AE2"/>
    <mergeCell ref="AF2:AH2"/>
    <mergeCell ref="AI2:AL2"/>
    <mergeCell ref="AR2:AU2"/>
    <mergeCell ref="AN2:AQ2"/>
    <mergeCell ref="BP2:BS2"/>
    <mergeCell ref="BL2:BO2"/>
    <mergeCell ref="BH2:BK2"/>
    <mergeCell ref="BD2:BG2"/>
    <mergeCell ref="AZ2:BC2"/>
    <mergeCell ref="AV2:AY2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492-B095-48CB-A573-254602AB7029}">
  <sheetPr codeName="Planilha3"/>
  <dimension ref="B1:DE54"/>
  <sheetViews>
    <sheetView topLeftCell="A20" zoomScale="70" zoomScaleNormal="70" workbookViewId="0">
      <selection activeCell="AT33" sqref="AT33"/>
    </sheetView>
  </sheetViews>
  <sheetFormatPr defaultRowHeight="15" x14ac:dyDescent="0.25"/>
  <cols>
    <col min="2" max="2" width="58.140625" bestFit="1" customWidth="1"/>
    <col min="3" max="3" width="54.140625" customWidth="1"/>
    <col min="6" max="7" width="50.7109375" customWidth="1"/>
    <col min="8" max="8" width="9.140625" customWidth="1"/>
    <col min="9" max="9" width="11.140625" bestFit="1" customWidth="1"/>
    <col min="10" max="11" width="50.7109375" customWidth="1"/>
    <col min="12" max="13" width="9.140625" customWidth="1"/>
    <col min="14" max="15" width="50.7109375" customWidth="1"/>
    <col min="16" max="17" width="9.140625" customWidth="1"/>
    <col min="18" max="19" width="50.7109375" customWidth="1"/>
    <col min="20" max="21" width="9.140625" customWidth="1"/>
    <col min="22" max="23" width="50.7109375" customWidth="1"/>
    <col min="24" max="25" width="9.140625" customWidth="1"/>
    <col min="26" max="27" width="50.7109375" customWidth="1"/>
    <col min="28" max="29" width="9.140625" customWidth="1"/>
    <col min="30" max="31" width="50.7109375" customWidth="1"/>
    <col min="32" max="33" width="9.140625" customWidth="1"/>
    <col min="34" max="34" width="50.7109375" bestFit="1" customWidth="1"/>
    <col min="35" max="35" width="50.7109375" customWidth="1"/>
    <col min="38" max="38" width="50.7109375" bestFit="1" customWidth="1"/>
    <col min="39" max="39" width="50.7109375" customWidth="1"/>
    <col min="42" max="42" width="50.7109375" bestFit="1" customWidth="1"/>
    <col min="43" max="43" width="50.7109375" customWidth="1"/>
    <col min="46" max="46" width="50.7109375" bestFit="1" customWidth="1"/>
    <col min="47" max="47" width="50.7109375" customWidth="1"/>
    <col min="51" max="51" width="15.42578125" bestFit="1" customWidth="1"/>
    <col min="52" max="52" width="2.7109375" customWidth="1"/>
    <col min="53" max="54" width="51.7109375" hidden="1" customWidth="1"/>
    <col min="55" max="56" width="0" hidden="1" customWidth="1"/>
    <col min="57" max="58" width="54.140625" hidden="1" customWidth="1"/>
    <col min="59" max="59" width="6.42578125" hidden="1" customWidth="1"/>
    <col min="60" max="60" width="8.7109375" hidden="1" customWidth="1"/>
    <col min="61" max="62" width="51.7109375" hidden="1" customWidth="1"/>
    <col min="63" max="64" width="0" hidden="1" customWidth="1"/>
    <col min="65" max="66" width="24.7109375" hidden="1" customWidth="1"/>
    <col min="67" max="68" width="0" hidden="1" customWidth="1"/>
    <col min="69" max="70" width="24.7109375" hidden="1" customWidth="1"/>
    <col min="71" max="72" width="0" hidden="1" customWidth="1"/>
    <col min="73" max="74" width="24.7109375" hidden="1" customWidth="1"/>
    <col min="75" max="75" width="6.42578125" hidden="1" customWidth="1"/>
    <col min="76" max="76" width="7.7109375" hidden="1" customWidth="1"/>
    <col min="77" max="78" width="24.7109375" hidden="1" customWidth="1"/>
    <col min="79" max="80" width="0" hidden="1" customWidth="1"/>
    <col min="81" max="82" width="24.7109375" hidden="1" customWidth="1"/>
    <col min="83" max="84" width="0" hidden="1" customWidth="1"/>
    <col min="85" max="85" width="59.7109375" hidden="1" customWidth="1"/>
    <col min="86" max="86" width="24.7109375" hidden="1" customWidth="1"/>
    <col min="87" max="88" width="0" hidden="1" customWidth="1"/>
    <col min="89" max="89" width="59.7109375" hidden="1" customWidth="1"/>
    <col min="90" max="90" width="24.7109375" hidden="1" customWidth="1"/>
    <col min="91" max="92" width="0" hidden="1" customWidth="1"/>
    <col min="93" max="93" width="59.7109375" hidden="1" customWidth="1"/>
    <col min="94" max="94" width="24.7109375" hidden="1" customWidth="1"/>
    <col min="95" max="96" width="0" hidden="1" customWidth="1"/>
    <col min="97" max="97" width="59.7109375" hidden="1" customWidth="1"/>
    <col min="98" max="98" width="24.7109375" hidden="1" customWidth="1"/>
    <col min="99" max="99" width="5.85546875" hidden="1" customWidth="1"/>
    <col min="100" max="100" width="0" hidden="1" customWidth="1"/>
    <col min="101" max="101" width="5.42578125" hidden="1" customWidth="1"/>
    <col min="102" max="102" width="2.7109375" hidden="1" customWidth="1"/>
    <col min="103" max="103" width="54.140625" hidden="1" customWidth="1"/>
    <col min="104" max="105" width="0" hidden="1" customWidth="1"/>
    <col min="106" max="106" width="48" hidden="1" customWidth="1"/>
    <col min="107" max="108" width="0" hidden="1" customWidth="1"/>
    <col min="109" max="109" width="3" hidden="1" customWidth="1"/>
  </cols>
  <sheetData>
    <row r="1" spans="2:109" ht="15.75" thickBot="1" x14ac:dyDescent="0.3"/>
    <row r="2" spans="2:109" x14ac:dyDescent="0.25">
      <c r="B2" s="178" t="s">
        <v>7</v>
      </c>
      <c r="C2" s="179"/>
      <c r="D2" s="179"/>
      <c r="E2" s="180"/>
      <c r="F2" s="181" t="s">
        <v>10</v>
      </c>
      <c r="G2" s="177"/>
      <c r="H2" s="177"/>
      <c r="I2" s="182"/>
      <c r="J2" s="181" t="s">
        <v>13</v>
      </c>
      <c r="K2" s="177"/>
      <c r="L2" s="177"/>
      <c r="M2" s="182"/>
      <c r="N2" s="181" t="s">
        <v>16</v>
      </c>
      <c r="O2" s="177"/>
      <c r="P2" s="177"/>
      <c r="Q2" s="182"/>
      <c r="R2" s="181" t="s">
        <v>18</v>
      </c>
      <c r="S2" s="177"/>
      <c r="T2" s="177"/>
      <c r="U2" s="182"/>
      <c r="V2" s="177" t="s">
        <v>20</v>
      </c>
      <c r="W2" s="177"/>
      <c r="X2" s="177"/>
      <c r="Y2" s="177"/>
      <c r="Z2" s="181" t="s">
        <v>22</v>
      </c>
      <c r="AA2" s="177"/>
      <c r="AB2" s="177"/>
      <c r="AC2" s="182"/>
      <c r="AD2" s="177" t="s">
        <v>24</v>
      </c>
      <c r="AE2" s="177"/>
      <c r="AF2" s="177"/>
      <c r="AG2" s="177"/>
      <c r="AH2" s="181" t="s">
        <v>26</v>
      </c>
      <c r="AI2" s="177"/>
      <c r="AJ2" s="177"/>
      <c r="AK2" s="182"/>
      <c r="AL2" s="177" t="s">
        <v>28</v>
      </c>
      <c r="AM2" s="177"/>
      <c r="AN2" s="177"/>
      <c r="AO2" s="177"/>
      <c r="AP2" s="181" t="s">
        <v>30</v>
      </c>
      <c r="AQ2" s="177"/>
      <c r="AR2" s="177"/>
      <c r="AS2" s="182"/>
      <c r="AT2" s="177" t="s">
        <v>32</v>
      </c>
      <c r="AU2" s="177"/>
      <c r="AV2" s="177"/>
      <c r="AW2" s="177"/>
      <c r="AX2" s="177"/>
      <c r="AY2" s="182"/>
      <c r="BA2" s="183" t="s">
        <v>8</v>
      </c>
      <c r="BB2" s="184"/>
      <c r="BC2" s="184"/>
      <c r="BD2" s="185"/>
      <c r="BE2" s="184" t="s">
        <v>11</v>
      </c>
      <c r="BF2" s="184"/>
      <c r="BG2" s="184"/>
      <c r="BH2" s="184"/>
      <c r="BI2" s="183" t="s">
        <v>14</v>
      </c>
      <c r="BJ2" s="184"/>
      <c r="BK2" s="184"/>
      <c r="BL2" s="185"/>
      <c r="BM2" s="184" t="s">
        <v>17</v>
      </c>
      <c r="BN2" s="184"/>
      <c r="BO2" s="184"/>
      <c r="BP2" s="184"/>
      <c r="BQ2" s="183" t="s">
        <v>19</v>
      </c>
      <c r="BR2" s="184"/>
      <c r="BS2" s="184"/>
      <c r="BT2" s="185"/>
      <c r="BU2" s="184" t="s">
        <v>21</v>
      </c>
      <c r="BV2" s="184"/>
      <c r="BW2" s="184"/>
      <c r="BX2" s="184"/>
      <c r="BY2" s="183" t="s">
        <v>23</v>
      </c>
      <c r="BZ2" s="184"/>
      <c r="CA2" s="184"/>
      <c r="CB2" s="185"/>
      <c r="CC2" s="184" t="s">
        <v>25</v>
      </c>
      <c r="CD2" s="184"/>
      <c r="CE2" s="184"/>
      <c r="CF2" s="184"/>
      <c r="CG2" s="183" t="s">
        <v>27</v>
      </c>
      <c r="CH2" s="184"/>
      <c r="CI2" s="184"/>
      <c r="CJ2" s="185"/>
      <c r="CK2" s="184" t="s">
        <v>29</v>
      </c>
      <c r="CL2" s="184"/>
      <c r="CM2" s="184"/>
      <c r="CN2" s="184"/>
      <c r="CO2" s="183" t="s">
        <v>31</v>
      </c>
      <c r="CP2" s="184"/>
      <c r="CQ2" s="184"/>
      <c r="CR2" s="185"/>
      <c r="CS2" s="184" t="s">
        <v>33</v>
      </c>
      <c r="CT2" s="184"/>
      <c r="CU2" s="184"/>
      <c r="CV2" s="184"/>
      <c r="CW2" s="185"/>
      <c r="CY2" s="186" t="s">
        <v>9</v>
      </c>
      <c r="CZ2" s="187"/>
      <c r="DA2" s="188"/>
      <c r="DB2" s="187" t="s">
        <v>12</v>
      </c>
      <c r="DC2" s="187"/>
      <c r="DD2" s="187"/>
      <c r="DE2" s="188"/>
    </row>
    <row r="3" spans="2:109" ht="31.5" x14ac:dyDescent="0.25">
      <c r="B3" s="55" t="s">
        <v>42</v>
      </c>
      <c r="C3" s="77" t="s">
        <v>171</v>
      </c>
      <c r="D3" s="32" t="s">
        <v>43</v>
      </c>
      <c r="E3" s="67" t="s">
        <v>44</v>
      </c>
      <c r="F3" s="55" t="s">
        <v>42</v>
      </c>
      <c r="G3" s="77"/>
      <c r="H3" s="32" t="s">
        <v>43</v>
      </c>
      <c r="I3" s="67" t="s">
        <v>44</v>
      </c>
      <c r="J3" s="55" t="s">
        <v>42</v>
      </c>
      <c r="K3" s="77"/>
      <c r="L3" s="32" t="s">
        <v>43</v>
      </c>
      <c r="M3" s="67" t="s">
        <v>44</v>
      </c>
      <c r="N3" s="55" t="s">
        <v>42</v>
      </c>
      <c r="O3" s="77"/>
      <c r="P3" s="32" t="s">
        <v>43</v>
      </c>
      <c r="Q3" s="67" t="s">
        <v>44</v>
      </c>
      <c r="R3" s="55" t="s">
        <v>42</v>
      </c>
      <c r="S3" s="77"/>
      <c r="T3" s="32" t="s">
        <v>43</v>
      </c>
      <c r="U3" s="67" t="s">
        <v>44</v>
      </c>
      <c r="V3" s="55" t="s">
        <v>42</v>
      </c>
      <c r="W3" s="77"/>
      <c r="X3" s="32" t="s">
        <v>43</v>
      </c>
      <c r="Y3" s="67" t="s">
        <v>44</v>
      </c>
      <c r="Z3" s="55" t="s">
        <v>42</v>
      </c>
      <c r="AA3" s="77"/>
      <c r="AB3" s="32" t="s">
        <v>43</v>
      </c>
      <c r="AC3" s="67" t="s">
        <v>44</v>
      </c>
      <c r="AD3" s="55" t="s">
        <v>42</v>
      </c>
      <c r="AE3" s="77"/>
      <c r="AF3" s="32" t="s">
        <v>43</v>
      </c>
      <c r="AG3" s="67" t="s">
        <v>44</v>
      </c>
      <c r="AH3" s="55" t="s">
        <v>42</v>
      </c>
      <c r="AI3" s="77"/>
      <c r="AJ3" s="32" t="s">
        <v>43</v>
      </c>
      <c r="AK3" s="67" t="s">
        <v>44</v>
      </c>
      <c r="AL3" s="55" t="s">
        <v>42</v>
      </c>
      <c r="AM3" s="77"/>
      <c r="AN3" s="32" t="s">
        <v>43</v>
      </c>
      <c r="AO3" s="67" t="s">
        <v>44</v>
      </c>
      <c r="AP3" s="55" t="s">
        <v>42</v>
      </c>
      <c r="AQ3" s="77"/>
      <c r="AR3" s="32" t="s">
        <v>43</v>
      </c>
      <c r="AS3" s="67" t="s">
        <v>44</v>
      </c>
      <c r="AT3" s="55" t="s">
        <v>42</v>
      </c>
      <c r="AU3" s="77"/>
      <c r="AV3" s="32" t="s">
        <v>43</v>
      </c>
      <c r="AW3" s="67" t="s">
        <v>44</v>
      </c>
      <c r="AX3" s="123" t="s">
        <v>172</v>
      </c>
      <c r="AY3" s="124" t="s">
        <v>173</v>
      </c>
      <c r="BA3" s="55" t="s">
        <v>77</v>
      </c>
      <c r="BB3" s="77" t="s">
        <v>171</v>
      </c>
      <c r="BC3" s="32" t="s">
        <v>43</v>
      </c>
      <c r="BD3" s="67" t="s">
        <v>44</v>
      </c>
      <c r="BE3" s="77" t="s">
        <v>42</v>
      </c>
      <c r="BF3" s="77"/>
      <c r="BG3" s="32" t="s">
        <v>43</v>
      </c>
      <c r="BH3" s="79" t="s">
        <v>44</v>
      </c>
      <c r="BI3" s="55" t="s">
        <v>42</v>
      </c>
      <c r="BJ3" s="77"/>
      <c r="BK3" s="32" t="s">
        <v>43</v>
      </c>
      <c r="BL3" s="67" t="s">
        <v>44</v>
      </c>
      <c r="BM3" s="77" t="s">
        <v>42</v>
      </c>
      <c r="BN3" s="77"/>
      <c r="BO3" s="32" t="s">
        <v>43</v>
      </c>
      <c r="BP3" s="79" t="s">
        <v>44</v>
      </c>
      <c r="BQ3" s="55" t="s">
        <v>42</v>
      </c>
      <c r="BR3" s="77"/>
      <c r="BS3" s="32" t="s">
        <v>43</v>
      </c>
      <c r="BT3" s="67" t="s">
        <v>44</v>
      </c>
      <c r="BU3" s="77" t="s">
        <v>42</v>
      </c>
      <c r="BV3" s="77"/>
      <c r="BW3" s="32" t="s">
        <v>43</v>
      </c>
      <c r="BX3" s="79" t="s">
        <v>44</v>
      </c>
      <c r="BY3" s="55" t="s">
        <v>42</v>
      </c>
      <c r="BZ3" s="77"/>
      <c r="CA3" s="32" t="s">
        <v>43</v>
      </c>
      <c r="CB3" s="67" t="s">
        <v>44</v>
      </c>
      <c r="CC3" s="77" t="s">
        <v>42</v>
      </c>
      <c r="CD3" s="77"/>
      <c r="CE3" s="32" t="s">
        <v>43</v>
      </c>
      <c r="CF3" s="79" t="s">
        <v>44</v>
      </c>
      <c r="CG3" s="55" t="s">
        <v>42</v>
      </c>
      <c r="CH3" s="77"/>
      <c r="CI3" s="32" t="s">
        <v>43</v>
      </c>
      <c r="CJ3" s="67" t="s">
        <v>44</v>
      </c>
      <c r="CK3" s="77" t="s">
        <v>42</v>
      </c>
      <c r="CL3" s="77"/>
      <c r="CM3" s="32" t="s">
        <v>43</v>
      </c>
      <c r="CN3" s="79" t="s">
        <v>44</v>
      </c>
      <c r="CO3" s="55" t="s">
        <v>42</v>
      </c>
      <c r="CP3" s="77"/>
      <c r="CQ3" s="32" t="s">
        <v>43</v>
      </c>
      <c r="CR3" s="67" t="s">
        <v>44</v>
      </c>
      <c r="CS3" s="77" t="s">
        <v>42</v>
      </c>
      <c r="CT3" s="77"/>
      <c r="CU3" s="32" t="s">
        <v>43</v>
      </c>
      <c r="CV3" s="32" t="s">
        <v>44</v>
      </c>
      <c r="CW3" s="82"/>
      <c r="CY3" s="55" t="s">
        <v>42</v>
      </c>
      <c r="CZ3" s="32" t="s">
        <v>43</v>
      </c>
      <c r="DA3" s="67" t="s">
        <v>44</v>
      </c>
      <c r="DB3" s="77" t="s">
        <v>42</v>
      </c>
      <c r="DC3" s="32" t="s">
        <v>43</v>
      </c>
      <c r="DD3" s="32" t="s">
        <v>44</v>
      </c>
      <c r="DE3" s="82"/>
    </row>
    <row r="4" spans="2:109" x14ac:dyDescent="0.25">
      <c r="B4" s="14" t="s">
        <v>47</v>
      </c>
      <c r="C4" s="14" t="s">
        <v>174</v>
      </c>
      <c r="D4" s="14" t="s">
        <v>48</v>
      </c>
      <c r="E4" s="14" t="s">
        <v>6</v>
      </c>
      <c r="F4" s="83" t="str">
        <f>VLOOKUP(B4,'FTD02'!C:E,1,0)</f>
        <v xml:space="preserve">Alimentação de vapor fundo do tanque e bloco de amostra </v>
      </c>
      <c r="G4" s="84" t="str">
        <f>VLOOKUP(C4,'FTD02'!A:E,1,0)</f>
        <v>Inferior</v>
      </c>
      <c r="H4" s="84" t="str">
        <f>VLOOKUP(B4,'FTD02'!C:E,3,0)</f>
        <v>DN-8</v>
      </c>
      <c r="I4" s="82" t="str">
        <f>VLOOKUP(B4,'FTD02'!C:G,5,0)</f>
        <v>ZDL</v>
      </c>
      <c r="J4" s="83" t="str">
        <f>VLOOKUP(B4,'FTD03'!C:E,1,0)</f>
        <v xml:space="preserve">Alimentação de vapor fundo do tanque e bloco de amostra </v>
      </c>
      <c r="K4" s="85" t="str">
        <f>VLOOKUP(C4,'FTD03'!A:E,1,0)</f>
        <v>Inferior</v>
      </c>
      <c r="L4" s="84" t="str">
        <f>VLOOKUP(B4,'FTD03'!C:E,3,0)</f>
        <v>DN-8</v>
      </c>
      <c r="M4" s="82" t="str">
        <f>VLOOKUP(B4,'FTD03'!C:G,5,0)</f>
        <v>ZDL</v>
      </c>
      <c r="N4" s="83" t="str">
        <f>VLOOKUP(B4,'FTD04'!C:E,1,0)</f>
        <v xml:space="preserve">Alimentação de vapor fundo do tanque e bloco de amostra </v>
      </c>
      <c r="O4" s="85" t="str">
        <f>VLOOKUP(C4,'FTD04'!A:E,1,0)</f>
        <v>Inferior</v>
      </c>
      <c r="P4" s="84" t="str">
        <f>VLOOKUP(B4,'FTD04'!C:E,3,0)</f>
        <v>DN-8</v>
      </c>
      <c r="Q4" s="82" t="str">
        <f>VLOOKUP(B4,'FTD04'!C:G,5,0)</f>
        <v>GEMÜ</v>
      </c>
      <c r="R4" s="83" t="str">
        <f>VLOOKUP(B4,'FTD05'!C:E,1,0)</f>
        <v xml:space="preserve">Alimentação de vapor fundo do tanque e bloco de amostra </v>
      </c>
      <c r="S4" s="85" t="str">
        <f>VLOOKUP(C4,'FTD05'!A:E,1,0)</f>
        <v>Inferior</v>
      </c>
      <c r="T4" s="84" t="str">
        <f>VLOOKUP(B4,'FTD05'!C:E,3,0)</f>
        <v>DN-8</v>
      </c>
      <c r="U4" s="82" t="str">
        <f>VLOOKUP(B4,'FTD05'!C:G,5,0)</f>
        <v>ZDL</v>
      </c>
      <c r="V4" s="85" t="str">
        <f>VLOOKUP(B4,'FTD06'!C:E,1,0)</f>
        <v xml:space="preserve">Alimentação de vapor fundo do tanque e bloco de amostra </v>
      </c>
      <c r="W4" s="85" t="str">
        <f>VLOOKUP(C4,'FTD06'!A:E,1,0)</f>
        <v>Inferior</v>
      </c>
      <c r="X4" s="84" t="str">
        <f>VLOOKUP(B4,'FTD06'!C:E,3,0)</f>
        <v>DN-8</v>
      </c>
      <c r="Y4" s="86" t="str">
        <f>VLOOKUP(B4,'FTD06'!C:G,5,0)</f>
        <v>ZDL</v>
      </c>
      <c r="Z4" s="83" t="str">
        <f>VLOOKUP(B4,'FTD07'!C:E,1,0)</f>
        <v xml:space="preserve">Alimentação de vapor fundo do tanque e bloco de amostra </v>
      </c>
      <c r="AA4" s="85" t="str">
        <f>VLOOKUP(C4,'FTD07'!A:E,1,0)</f>
        <v>Inferior</v>
      </c>
      <c r="AB4" s="84" t="str">
        <f>VLOOKUP(B4,'FTD07'!C:E,3,0)</f>
        <v>DN-8</v>
      </c>
      <c r="AC4" s="82" t="str">
        <f>VLOOKUP(B4,'FTD07'!C:G,5,0)</f>
        <v>GEMÜ</v>
      </c>
      <c r="AD4" s="85" t="str">
        <f>VLOOKUP(B4,'FTD08'!C:E,1,0)</f>
        <v xml:space="preserve">Alimentação de vapor fundo do tanque e bloco de amostra </v>
      </c>
      <c r="AE4" s="85" t="str">
        <f>VLOOKUP(C4,'FTD08'!A:E,1,0)</f>
        <v>Inferior</v>
      </c>
      <c r="AF4" s="84" t="str">
        <f>VLOOKUP(B4,'FTD08'!C:E,3,0)</f>
        <v>DN-8</v>
      </c>
      <c r="AG4" s="86" t="str">
        <f>VLOOKUP(B4,'FTD08'!C:G,5,0)</f>
        <v>GEMÜ</v>
      </c>
      <c r="AH4" s="83" t="str">
        <f>VLOOKUP(B4,'FTD09'!C:E,1,0)</f>
        <v xml:space="preserve">Alimentação de vapor fundo do tanque e bloco de amostra </v>
      </c>
      <c r="AI4" s="85" t="str">
        <f>VLOOKUP(C4,'FTD09'!A:E,1,0)</f>
        <v>Inferior</v>
      </c>
      <c r="AJ4" s="84" t="str">
        <f>VLOOKUP(B4,'FTD09'!C:E,3,0)</f>
        <v>DN-8</v>
      </c>
      <c r="AK4" s="82" t="str">
        <f>VLOOKUP(B4,'FTD09'!C:G,5,0)</f>
        <v>ZDL</v>
      </c>
      <c r="AL4" s="85" t="str">
        <f>VLOOKUP(B4,'FTD10'!C:E,1,0)</f>
        <v xml:space="preserve">Alimentação de vapor fundo do tanque e bloco de amostra </v>
      </c>
      <c r="AM4" s="85" t="str">
        <f>VLOOKUP(C4,'FTD10'!A:E,1,0)</f>
        <v>Inferior</v>
      </c>
      <c r="AN4" s="84" t="str">
        <f>VLOOKUP(B4,'FTD10'!C:E,3,0)</f>
        <v>DN-8</v>
      </c>
      <c r="AO4" s="86" t="str">
        <f>VLOOKUP(B4,'FTD10'!C:G,5,0)</f>
        <v>GEMÜ</v>
      </c>
      <c r="AP4" s="83" t="str">
        <f>VLOOKUP(B4,'FTD11'!C:E,1,0)</f>
        <v xml:space="preserve">Alimentação de vapor fundo do tanque e bloco de amostra </v>
      </c>
      <c r="AQ4" s="85" t="str">
        <f>VLOOKUP(C4,'FTD11'!A:E,1,0)</f>
        <v>Inferior</v>
      </c>
      <c r="AR4" s="84" t="str">
        <f>VLOOKUP(B4,'FTD11'!C:E,3,0)</f>
        <v>DN-8</v>
      </c>
      <c r="AS4" s="82" t="str">
        <f>VLOOKUP(B4,'FTD11'!C:G,5,0)</f>
        <v>GEMÜ</v>
      </c>
      <c r="AT4" s="85" t="str">
        <f>VLOOKUP(B4,'FTD12'!C:E,1,0)</f>
        <v xml:space="preserve">Alimentação de vapor fundo do tanque e bloco de amostra </v>
      </c>
      <c r="AU4" s="85" t="str">
        <f>VLOOKUP(C4,'FTD12'!A:E,1,0)</f>
        <v>Inferior</v>
      </c>
      <c r="AV4" s="84" t="str">
        <f>VLOOKUP(B4,'FTD12'!C:E,3,0)</f>
        <v>DN-8</v>
      </c>
      <c r="AW4" s="84" t="str">
        <f>VLOOKUP(B4,'FTD12'!C:G,5,0)</f>
        <v xml:space="preserve">ZDL </v>
      </c>
      <c r="AX4" s="124">
        <f>COUNTIF(E4:AU4,AU4)</f>
        <v>11</v>
      </c>
      <c r="AY4" s="124">
        <f>COUNTIF(F4:AV4,AV4)</f>
        <v>11</v>
      </c>
      <c r="BA4" s="14" t="s">
        <v>50</v>
      </c>
      <c r="BB4" s="14" t="s">
        <v>49</v>
      </c>
      <c r="BC4" s="14" t="s">
        <v>51</v>
      </c>
      <c r="BD4" s="68" t="s">
        <v>5</v>
      </c>
      <c r="BE4" s="85" t="str">
        <f>VLOOKUP(BA4,'PGD02'!C:E,1,0)</f>
        <v>Bloco 2 vias fundo –  Vapor</v>
      </c>
      <c r="BF4" s="85"/>
      <c r="BG4" s="84" t="str">
        <f>VLOOKUP(BA4,'PGD02'!C:E,3,0)</f>
        <v>DN-40</v>
      </c>
      <c r="BH4" s="86" t="str">
        <f>VLOOKUP(BA4,'PGD02'!C:G,5,0)</f>
        <v>GEMÜ</v>
      </c>
      <c r="BI4" s="83" t="str">
        <f>VLOOKUP(BA4,'PGD03'!C:E,1,0)</f>
        <v>Bloco 2 vias fundo –  Vapor</v>
      </c>
      <c r="BJ4" s="85"/>
      <c r="BK4" s="84" t="str">
        <f>VLOOKUP(BA4,'PGD03'!C:E,3,0)</f>
        <v>DN-40</v>
      </c>
      <c r="BL4" s="82" t="str">
        <f>VLOOKUP(BA4,'PGD03'!C:G,5,0)</f>
        <v>GEMÜ</v>
      </c>
      <c r="BM4" s="85" t="str">
        <f>VLOOKUP(BA4,'PGD03'!C:E,1,0)</f>
        <v>Bloco 2 vias fundo –  Vapor</v>
      </c>
      <c r="BN4" s="85"/>
      <c r="BO4" s="84" t="str">
        <f>VLOOKUP(BA4,'PGD04'!C:E,3,0)</f>
        <v>DN-40</v>
      </c>
      <c r="BP4" s="86" t="str">
        <f>VLOOKUP(BA4,'PGD04'!C:G,5,0)</f>
        <v>GEMÜ</v>
      </c>
      <c r="BQ4" s="83" t="str">
        <f>VLOOKUP(BA4,'PGD05'!C:E,1,0)</f>
        <v>Bloco 2 vias fundo –  Vapor</v>
      </c>
      <c r="BR4" s="85"/>
      <c r="BS4" s="84" t="str">
        <f>VLOOKUP(BA4,'PGD05'!C:E,3,0)</f>
        <v>DN-40</v>
      </c>
      <c r="BT4" s="82" t="str">
        <f>VLOOKUP(BA4,'PGD05'!C:G,5,0)</f>
        <v>GEMÜ</v>
      </c>
      <c r="BU4" s="85" t="str">
        <f>VLOOKUP(BA4,'PGD06'!C:E,1,0)</f>
        <v>Bloco 2 vias fundo –  Vapor</v>
      </c>
      <c r="BV4" s="85"/>
      <c r="BW4" s="84" t="str">
        <f>VLOOKUP(BA4,'PGD06'!C:E,3,0)</f>
        <v>DN-40</v>
      </c>
      <c r="BX4" s="86" t="str">
        <f>VLOOKUP(BA4,'PGD06'!C:G,5,0)</f>
        <v>GEMÜ</v>
      </c>
      <c r="BY4" s="83" t="str">
        <f>VLOOKUP(BA4,'PGD07'!C:E,1,0)</f>
        <v>Bloco 2 vias fundo –  Vapor</v>
      </c>
      <c r="BZ4" s="85"/>
      <c r="CA4" s="84" t="str">
        <f>VLOOKUP(BA4,'PGD07'!C:E,3,0)</f>
        <v>DN-40</v>
      </c>
      <c r="CB4" s="82" t="str">
        <f>VLOOKUP(BA4,'PGD07'!C:G,5,0)</f>
        <v>GEMÜ</v>
      </c>
      <c r="CC4" s="85" t="str">
        <f>VLOOKUP(BA4,'PGD08'!C:E,1,0)</f>
        <v>Bloco 2 vias fundo –  Vapor</v>
      </c>
      <c r="CD4" s="85"/>
      <c r="CE4" s="84" t="str">
        <f>VLOOKUP(BA4,'PGD08'!C:E,3,0)</f>
        <v>DN-40</v>
      </c>
      <c r="CF4" s="86" t="str">
        <f>VLOOKUP(BA4,'PGD08'!C:G,5,0)</f>
        <v>GEMÜ</v>
      </c>
      <c r="CG4" s="83" t="str">
        <f>VLOOKUP(BA4,'PGD09'!C:E,1,0)</f>
        <v>Bloco 2 vias fundo –  Vapor</v>
      </c>
      <c r="CH4" s="85"/>
      <c r="CI4" s="84" t="str">
        <f>VLOOKUP(BA4,'PGD09'!C:E,3,0)</f>
        <v>DN-40</v>
      </c>
      <c r="CJ4" s="82" t="str">
        <f>VLOOKUP(BA4,'PGD09'!C:G,5,0)</f>
        <v>GEMÜ</v>
      </c>
      <c r="CK4" s="85" t="str">
        <f>VLOOKUP(BA4,'PGD10'!C:E,1,0)</f>
        <v>Bloco 2 vias fundo –  Vapor</v>
      </c>
      <c r="CL4" s="85"/>
      <c r="CM4" s="84" t="str">
        <f>VLOOKUP(BA4,'PGD10'!C:E,3,0)</f>
        <v>DN-40</v>
      </c>
      <c r="CN4" s="86" t="str">
        <f>VLOOKUP(BA4,'PGD10'!C:G,5,0)</f>
        <v>GEMÜ</v>
      </c>
      <c r="CO4" s="83" t="str">
        <f>VLOOKUP(BA4,'PGD11'!C:E,1,0)</f>
        <v>Bloco 2 vias fundo –  Vapor</v>
      </c>
      <c r="CP4" s="85"/>
      <c r="CQ4" s="84" t="str">
        <f>VLOOKUP(BA4,'PGD11'!C:E,3,0)</f>
        <v>DN-40</v>
      </c>
      <c r="CR4" s="82" t="str">
        <f>VLOOKUP(BA4,'PGD11'!C:G,5,0)</f>
        <v>GEMÜ</v>
      </c>
      <c r="CS4" s="85" t="str">
        <f>VLOOKUP(BA4,'PGD12'!C:E,1,0)</f>
        <v>Bloco 2 vias fundo –  Vapor</v>
      </c>
      <c r="CT4" s="85"/>
      <c r="CU4" s="84" t="str">
        <f>VLOOKUP(BA4,'PGD12'!C:E,3,0)</f>
        <v>DN-40</v>
      </c>
      <c r="CV4" s="84" t="str">
        <f>VLOOKUP(BA4,'PGD12'!C:G,5,0)</f>
        <v>ZDL</v>
      </c>
      <c r="CW4" s="82">
        <f>COUNTIF(BE4:CU4,CU4)</f>
        <v>11</v>
      </c>
      <c r="CY4" s="51" t="s">
        <v>53</v>
      </c>
      <c r="CZ4" s="6" t="s">
        <v>54</v>
      </c>
      <c r="DA4" s="80" t="s">
        <v>6</v>
      </c>
      <c r="DB4" s="85" t="str">
        <f>VLOOKUP(CY4,'BLD03'!C:E,1,0)</f>
        <v>Bloco válv. 3 vias coletor de amostra Entrada tanque</v>
      </c>
      <c r="DC4" s="84" t="str">
        <f>VLOOKUP(CY4,'BLD03'!C:E,3,0)</f>
        <v>DN-15</v>
      </c>
      <c r="DD4" s="84" t="str">
        <f>VLOOKUP(CY4,'BLD02'!C:G,5,0)</f>
        <v>ZDL</v>
      </c>
      <c r="DE4" s="82">
        <f>COUNTIF(CY4:DC4,DC4)</f>
        <v>2</v>
      </c>
    </row>
    <row r="5" spans="2:109" x14ac:dyDescent="0.25">
      <c r="B5" s="7" t="s">
        <v>55</v>
      </c>
      <c r="C5" s="7" t="s">
        <v>174</v>
      </c>
      <c r="D5" s="7" t="s">
        <v>51</v>
      </c>
      <c r="E5" s="7" t="s">
        <v>5</v>
      </c>
      <c r="F5" s="57" t="str">
        <f>VLOOKUP(B5,'FTD02'!C:E,1,0)</f>
        <v>Bloco 2 vias fundo –  fundo</v>
      </c>
      <c r="G5" s="122" t="str">
        <f>VLOOKUP(C5,'FTD02'!A:E,1,0)</f>
        <v>Inferior</v>
      </c>
      <c r="H5" s="53" t="str">
        <f>VLOOKUP(B5,'FTD02'!C:E,3,0)</f>
        <v>DN-40</v>
      </c>
      <c r="I5" s="56" t="str">
        <f>VLOOKUP(B5,'FTD02'!C:G,5,0)</f>
        <v>GEMÜ</v>
      </c>
      <c r="J5" s="57" t="str">
        <f>VLOOKUP(B5,'FTD03'!C:E,1,0)</f>
        <v>Bloco 2 vias fundo –  fundo</v>
      </c>
      <c r="K5" s="85" t="str">
        <f>VLOOKUP(C5,'FTD03'!A:E,1,0)</f>
        <v>Inferior</v>
      </c>
      <c r="L5" s="53" t="str">
        <f>VLOOKUP(B5,'FTD03'!C:E,3,0)</f>
        <v>DN-40</v>
      </c>
      <c r="M5" s="56" t="str">
        <f>VLOOKUP(B5,'FTD03'!C:G,5,0)</f>
        <v>GEMÜ</v>
      </c>
      <c r="N5" s="57" t="str">
        <f>VLOOKUP(B5,'FTD04'!C:E,1,0)</f>
        <v>Bloco 2 vias fundo –  fundo</v>
      </c>
      <c r="O5" s="85" t="str">
        <f>VLOOKUP(C5,'FTD04'!A:E,1,0)</f>
        <v>Inferior</v>
      </c>
      <c r="P5" s="53" t="str">
        <f>VLOOKUP(B5,'FTD04'!C:E,3,0)</f>
        <v>DN-40</v>
      </c>
      <c r="Q5" s="56" t="str">
        <f>VLOOKUP(B5,'FTD04'!C:G,5,0)</f>
        <v>GEMÜ</v>
      </c>
      <c r="R5" s="57" t="str">
        <f>VLOOKUP(B5,'FTD05'!C:E,1,0)</f>
        <v>Bloco 2 vias fundo –  fundo</v>
      </c>
      <c r="S5" s="85" t="str">
        <f>VLOOKUP(C5,'FTD05'!A:E,1,0)</f>
        <v>Inferior</v>
      </c>
      <c r="T5" s="53" t="str">
        <f>VLOOKUP(B5,'FTD05'!C:E,3,0)</f>
        <v>DN-40</v>
      </c>
      <c r="U5" s="56" t="str">
        <f>VLOOKUP(B5,'FTD05'!C:G,5,0)</f>
        <v>GEMÜ</v>
      </c>
      <c r="V5" s="65" t="str">
        <f>VLOOKUP(B5,'FTD06'!C:E,1,0)</f>
        <v>Bloco 2 vias fundo –  fundo</v>
      </c>
      <c r="W5" s="85" t="str">
        <f>VLOOKUP(C5,'FTD06'!A:E,1,0)</f>
        <v>Inferior</v>
      </c>
      <c r="X5" s="53" t="str">
        <f>VLOOKUP(B5,'FTD06'!C:E,3,0)</f>
        <v>DN-40</v>
      </c>
      <c r="Y5" s="74" t="str">
        <f>VLOOKUP(B5,'FTD06'!C:G,5,0)</f>
        <v>GEMÜ</v>
      </c>
      <c r="Z5" s="57" t="str">
        <f>VLOOKUP(B5,'FTD07'!C:E,1,0)</f>
        <v>Bloco 2 vias fundo –  fundo</v>
      </c>
      <c r="AA5" s="85" t="str">
        <f>VLOOKUP(C5,'FTD07'!A:E,1,0)</f>
        <v>Inferior</v>
      </c>
      <c r="AB5" s="53" t="str">
        <f>VLOOKUP(B5,'FTD07'!C:E,3,0)</f>
        <v>DN-40</v>
      </c>
      <c r="AC5" s="56" t="str">
        <f>VLOOKUP(B5,'FTD07'!C:G,5,0)</f>
        <v>GEMÜ</v>
      </c>
      <c r="AD5" s="65" t="str">
        <f>VLOOKUP(B5,'FTD08'!C:E,1,0)</f>
        <v>Bloco 2 vias fundo –  fundo</v>
      </c>
      <c r="AE5" s="85" t="str">
        <f>VLOOKUP(C5,'FTD08'!A:E,1,0)</f>
        <v>Inferior</v>
      </c>
      <c r="AF5" s="53" t="str">
        <f>VLOOKUP(B5,'FTD08'!C:E,3,0)</f>
        <v>DN-40</v>
      </c>
      <c r="AG5" s="74" t="str">
        <f>VLOOKUP(B5,'FTD08'!C:G,5,0)</f>
        <v>GEMÜ</v>
      </c>
      <c r="AH5" s="57" t="str">
        <f>VLOOKUP(B5,'FTD09'!C:E,1,0)</f>
        <v>Bloco 2 vias fundo –  fundo</v>
      </c>
      <c r="AI5" s="85" t="str">
        <f>VLOOKUP(C5,'FTD09'!A:E,1,0)</f>
        <v>Inferior</v>
      </c>
      <c r="AJ5" s="53" t="str">
        <f>VLOOKUP(B5,'FTD09'!C:E,3,0)</f>
        <v>DN-40</v>
      </c>
      <c r="AK5" s="56" t="str">
        <f>VLOOKUP(B5,'FTD09'!C:G,5,0)</f>
        <v>GEMÜ</v>
      </c>
      <c r="AL5" s="65" t="str">
        <f>VLOOKUP(B5,'FTD10'!C:E,1,0)</f>
        <v>Bloco 2 vias fundo –  fundo</v>
      </c>
      <c r="AM5" s="85" t="str">
        <f>VLOOKUP(C5,'FTD10'!A:E,1,0)</f>
        <v>Inferior</v>
      </c>
      <c r="AN5" s="53" t="str">
        <f>VLOOKUP(B5,'FTD10'!C:E,3,0)</f>
        <v>DN-40</v>
      </c>
      <c r="AO5" s="74" t="str">
        <f>VLOOKUP(B5,'FTD10'!C:G,5,0)</f>
        <v>GEMÜ</v>
      </c>
      <c r="AP5" s="57" t="str">
        <f>VLOOKUP(B5,'FTD11'!C:E,1,0)</f>
        <v>Bloco 2 vias fundo –  fundo</v>
      </c>
      <c r="AQ5" s="85" t="str">
        <f>VLOOKUP(C5,'FTD11'!A:E,1,0)</f>
        <v>Inferior</v>
      </c>
      <c r="AR5" s="53" t="str">
        <f>VLOOKUP(B5,'FTD11'!C:E,3,0)</f>
        <v>DN-40</v>
      </c>
      <c r="AS5" s="56" t="str">
        <f>VLOOKUP(B5,'FTD11'!C:G,5,0)</f>
        <v>GEMÜ</v>
      </c>
      <c r="AT5" s="65" t="str">
        <f>VLOOKUP(B5,'FTD12'!C:E,1,0)</f>
        <v>Bloco 2 vias fundo –  fundo</v>
      </c>
      <c r="AU5" s="85" t="str">
        <f>VLOOKUP(C5,'FTD12'!A:E,1,0)</f>
        <v>Inferior</v>
      </c>
      <c r="AV5" s="53" t="str">
        <f>VLOOKUP(B5,'FTD12'!C:E,3,0)</f>
        <v>DN-40</v>
      </c>
      <c r="AW5" s="53" t="str">
        <f>VLOOKUP(B5,'FTD12'!C:G,5,0)</f>
        <v>GEMÜ</v>
      </c>
      <c r="AX5" s="124">
        <f t="shared" ref="AX5:AX43" si="0">COUNTIF(E5:AU5,AU5)</f>
        <v>11</v>
      </c>
      <c r="AY5" s="124">
        <f t="shared" ref="AY5:AY43" si="1">COUNTIF(F5:AV5,AV5)</f>
        <v>11</v>
      </c>
      <c r="BA5" s="16" t="s">
        <v>56</v>
      </c>
      <c r="BB5" s="16" t="s">
        <v>49</v>
      </c>
      <c r="BC5" s="16" t="s">
        <v>54</v>
      </c>
      <c r="BD5" s="78" t="s">
        <v>6</v>
      </c>
      <c r="BE5" s="65" t="str">
        <f>VLOOKUP(BA5,'PGD02'!C:E,1,0)</f>
        <v xml:space="preserve">Bloco válv. 3 vias coletor de amostra Dreno vapor </v>
      </c>
      <c r="BF5" s="65"/>
      <c r="BG5" s="53" t="str">
        <f>VLOOKUP(BA5,'PGD02'!C:E,3,0)</f>
        <v>DN-15</v>
      </c>
      <c r="BH5" s="74" t="str">
        <f>VLOOKUP(BA5,'PGD02'!C:G,5,0)</f>
        <v>ZDL</v>
      </c>
      <c r="BI5" s="57" t="str">
        <f>VLOOKUP(BA5,'PGD03'!C:E,1,0)</f>
        <v xml:space="preserve">Bloco válv. 3 vias coletor de amostra Dreno vapor </v>
      </c>
      <c r="BJ5" s="65"/>
      <c r="BK5" s="53" t="str">
        <f>VLOOKUP(BA5,'PGD03'!C:E,3,0)</f>
        <v>DN-15</v>
      </c>
      <c r="BL5" s="56" t="str">
        <f>VLOOKUP(BA5,'PGD03'!C:G,5,0)</f>
        <v>ZDL</v>
      </c>
      <c r="BM5" s="65" t="str">
        <f>VLOOKUP(BA5,'PGD03'!C:E,1,0)</f>
        <v xml:space="preserve">Bloco válv. 3 vias coletor de amostra Dreno vapor </v>
      </c>
      <c r="BN5" s="65"/>
      <c r="BO5" s="53" t="str">
        <f>VLOOKUP(BA5,'PGD04'!C:E,3,0)</f>
        <v>DN-15</v>
      </c>
      <c r="BP5" s="74" t="str">
        <f>VLOOKUP(BA5,'PGD04'!C:G,5,0)</f>
        <v>ZDL</v>
      </c>
      <c r="BQ5" s="57" t="str">
        <f>VLOOKUP(BA5,'PGD05'!C:E,1,0)</f>
        <v xml:space="preserve">Bloco válv. 3 vias coletor de amostra Dreno vapor </v>
      </c>
      <c r="BR5" s="65"/>
      <c r="BS5" s="53" t="str">
        <f>VLOOKUP(BA5,'PGD05'!C:E,3,0)</f>
        <v>DN-15</v>
      </c>
      <c r="BT5" s="56" t="str">
        <f>VLOOKUP(BA5,'PGD05'!C:G,5,0)</f>
        <v>ZDL</v>
      </c>
      <c r="BU5" s="65" t="str">
        <f>VLOOKUP(BA5,'PGD06'!C:E,1,0)</f>
        <v xml:space="preserve">Bloco válv. 3 vias coletor de amostra Dreno vapor </v>
      </c>
      <c r="BV5" s="65"/>
      <c r="BW5" s="53" t="str">
        <f>VLOOKUP(BA5,'PGD06'!C:E,3,0)</f>
        <v>DN-15</v>
      </c>
      <c r="BX5" s="74" t="str">
        <f>VLOOKUP(BA5,'PGD06'!C:G,5,0)</f>
        <v>ZDL</v>
      </c>
      <c r="BY5" s="57" t="str">
        <f>VLOOKUP(BA5,'PGD07'!C:E,1,0)</f>
        <v xml:space="preserve">Bloco válv. 3 vias coletor de amostra Dreno vapor </v>
      </c>
      <c r="BZ5" s="65"/>
      <c r="CA5" s="53" t="str">
        <f>VLOOKUP(BA5,'PGD07'!C:E,3,0)</f>
        <v>DN-15</v>
      </c>
      <c r="CB5" s="56" t="str">
        <f>VLOOKUP(BA5,'PGD07'!C:G,5,0)</f>
        <v>ZDL</v>
      </c>
      <c r="CC5" s="65" t="str">
        <f>VLOOKUP(BA5,'PGD08'!C:E,1,0)</f>
        <v xml:space="preserve">Bloco válv. 3 vias coletor de amostra Dreno vapor </v>
      </c>
      <c r="CD5" s="65"/>
      <c r="CE5" s="53" t="str">
        <f>VLOOKUP(BA5,'PGD08'!C:E,3,0)</f>
        <v>DN-15</v>
      </c>
      <c r="CF5" s="74" t="str">
        <f>VLOOKUP(BA5,'PGD08'!C:G,5,0)</f>
        <v>ZDL</v>
      </c>
      <c r="CG5" s="57" t="str">
        <f>VLOOKUP(BA5,'PGD09'!C:E,1,0)</f>
        <v xml:space="preserve">Bloco válv. 3 vias coletor de amostra Dreno vapor </v>
      </c>
      <c r="CH5" s="65"/>
      <c r="CI5" s="53" t="str">
        <f>VLOOKUP(BA5,'PGD09'!C:E,3,0)</f>
        <v>DN-15</v>
      </c>
      <c r="CJ5" s="56" t="str">
        <f>VLOOKUP(BA5,'PGD09'!C:G,5,0)</f>
        <v>ZDL</v>
      </c>
      <c r="CK5" s="65" t="str">
        <f>VLOOKUP(BA5,'PGD10'!C:E,1,0)</f>
        <v xml:space="preserve">Bloco válv. 3 vias coletor de amostra Dreno vapor </v>
      </c>
      <c r="CL5" s="65"/>
      <c r="CM5" s="53" t="str">
        <f>VLOOKUP(BA5,'PGD10'!C:E,3,0)</f>
        <v>DN-15</v>
      </c>
      <c r="CN5" s="74" t="str">
        <f>VLOOKUP(BA5,'PGD10'!C:G,5,0)</f>
        <v>ZDL</v>
      </c>
      <c r="CO5" s="57" t="str">
        <f>VLOOKUP(BA5,'PGD11'!C:E,1,0)</f>
        <v xml:space="preserve">Bloco válv. 3 vias coletor de amostra Dreno vapor </v>
      </c>
      <c r="CP5" s="65"/>
      <c r="CQ5" s="53" t="str">
        <f>VLOOKUP(BA5,'PGD11'!C:E,3,0)</f>
        <v>DN-15</v>
      </c>
      <c r="CR5" s="56" t="str">
        <f>VLOOKUP(BA5,'PGD11'!C:G,5,0)</f>
        <v>ZDL</v>
      </c>
      <c r="CS5" s="65" t="str">
        <f>VLOOKUP(BA5,'PGD12'!C:E,1,0)</f>
        <v xml:space="preserve">Bloco válv. 3 vias coletor de amostra Dreno vapor </v>
      </c>
      <c r="CT5" s="65"/>
      <c r="CU5" s="53" t="str">
        <f>VLOOKUP(BA5,'PGD12'!C:E,3,0)</f>
        <v>DN-15</v>
      </c>
      <c r="CV5" s="53" t="str">
        <f>VLOOKUP(BA5,'PGD12'!C:G,5,0)</f>
        <v>ZDL</v>
      </c>
      <c r="CW5" s="56">
        <f t="shared" ref="CW5:CW40" si="2">COUNTIF(BE5:CU5,CU5)</f>
        <v>11</v>
      </c>
      <c r="CY5" s="52" t="s">
        <v>58</v>
      </c>
      <c r="CZ5" s="16" t="s">
        <v>54</v>
      </c>
      <c r="DA5" s="81" t="s">
        <v>6</v>
      </c>
      <c r="DB5" s="65" t="str">
        <f>VLOOKUP(CY5,'BLD03'!C:E,1,0)</f>
        <v xml:space="preserve">Bloco válv. 3 vias coletor de amostra Entrada vapor </v>
      </c>
      <c r="DC5" s="53" t="str">
        <f>VLOOKUP(CY5,'BLD03'!C:E,3,0)</f>
        <v>DN-15</v>
      </c>
      <c r="DD5" s="53" t="str">
        <f>VLOOKUP(CY5,'BLD02'!C:G,5,0)</f>
        <v>ZDL</v>
      </c>
      <c r="DE5" s="56">
        <f t="shared" ref="DE5:DE33" si="3">COUNTIF(CY5:DC5,DC5)</f>
        <v>2</v>
      </c>
    </row>
    <row r="6" spans="2:109" x14ac:dyDescent="0.25">
      <c r="B6" s="14" t="s">
        <v>59</v>
      </c>
      <c r="C6" s="14" t="s">
        <v>174</v>
      </c>
      <c r="D6" s="14" t="s">
        <v>48</v>
      </c>
      <c r="E6" s="14" t="s">
        <v>6</v>
      </c>
      <c r="F6" s="83" t="str">
        <f>VLOOKUP(B6,'FTD02'!C:E,1,0)</f>
        <v>Bloco 2 vias fundo –  vapor</v>
      </c>
      <c r="G6" s="84" t="str">
        <f>VLOOKUP(C6,'FTD02'!A:E,1,0)</f>
        <v>Inferior</v>
      </c>
      <c r="H6" s="84" t="str">
        <f>VLOOKUP(B6,'FTD02'!C:E,3,0)</f>
        <v>DN-8</v>
      </c>
      <c r="I6" s="82" t="str">
        <f>VLOOKUP(B6,'FTD02'!C:G,5,0)</f>
        <v>ZDL</v>
      </c>
      <c r="J6" s="83" t="str">
        <f>VLOOKUP(B6,'FTD03'!C:E,1,0)</f>
        <v>Bloco 2 vias fundo –  vapor</v>
      </c>
      <c r="K6" s="85" t="str">
        <f>VLOOKUP(C6,'FTD03'!A:E,1,0)</f>
        <v>Inferior</v>
      </c>
      <c r="L6" s="84" t="str">
        <f>VLOOKUP(B6,'FTD03'!C:E,3,0)</f>
        <v>DN-8</v>
      </c>
      <c r="M6" s="82" t="str">
        <f>VLOOKUP(B6,'FTD03'!C:G,5,0)</f>
        <v>ZDL</v>
      </c>
      <c r="N6" s="83" t="str">
        <f>VLOOKUP(B6,'FTD04'!C:E,1,0)</f>
        <v>Bloco 2 vias fundo –  vapor</v>
      </c>
      <c r="O6" s="85" t="str">
        <f>VLOOKUP(C6,'FTD04'!A:E,1,0)</f>
        <v>Inferior</v>
      </c>
      <c r="P6" s="84" t="str">
        <f>VLOOKUP(B6,'FTD04'!C:E,3,0)</f>
        <v>DN-8</v>
      </c>
      <c r="Q6" s="82" t="str">
        <f>VLOOKUP(B6,'FTD04'!C:G,5,0)</f>
        <v>ZDL</v>
      </c>
      <c r="R6" s="83" t="str">
        <f>VLOOKUP(B6,'FTD05'!C:E,1,0)</f>
        <v>Bloco 2 vias fundo –  vapor</v>
      </c>
      <c r="S6" s="85" t="str">
        <f>VLOOKUP(C6,'FTD05'!A:E,1,0)</f>
        <v>Inferior</v>
      </c>
      <c r="T6" s="84" t="str">
        <f>VLOOKUP(B6,'FTD05'!C:E,3,0)</f>
        <v>DN-8</v>
      </c>
      <c r="U6" s="82" t="str">
        <f>VLOOKUP(B6,'FTD05'!C:G,5,0)</f>
        <v>ZDL</v>
      </c>
      <c r="V6" s="85" t="str">
        <f>VLOOKUP(B6,'FTD06'!C:E,1,0)</f>
        <v>Bloco 2 vias fundo –  vapor</v>
      </c>
      <c r="W6" s="85" t="str">
        <f>VLOOKUP(C6,'FTD06'!A:E,1,0)</f>
        <v>Inferior</v>
      </c>
      <c r="X6" s="84" t="str">
        <f>VLOOKUP(B6,'FTD06'!C:E,3,0)</f>
        <v>DN-8</v>
      </c>
      <c r="Y6" s="86" t="str">
        <f>VLOOKUP(B6,'FTD06'!C:G,5,0)</f>
        <v>GEMÜ</v>
      </c>
      <c r="Z6" s="83" t="str">
        <f>VLOOKUP(B6,'FTD07'!C:E,1,0)</f>
        <v>Bloco 2 vias fundo –  vapor</v>
      </c>
      <c r="AA6" s="85" t="str">
        <f>VLOOKUP(C6,'FTD07'!A:E,1,0)</f>
        <v>Inferior</v>
      </c>
      <c r="AB6" s="84" t="str">
        <f>VLOOKUP(B6,'FTD07'!C:E,3,0)</f>
        <v>DN-8</v>
      </c>
      <c r="AC6" s="82" t="str">
        <f>VLOOKUP(B6,'FTD07'!C:G,5,0)</f>
        <v>ZDL</v>
      </c>
      <c r="AD6" s="85" t="str">
        <f>VLOOKUP(B6,'FTD08'!C:E,1,0)</f>
        <v>Bloco 2 vias fundo –  vapor</v>
      </c>
      <c r="AE6" s="85" t="str">
        <f>VLOOKUP(C6,'FTD08'!A:E,1,0)</f>
        <v>Inferior</v>
      </c>
      <c r="AF6" s="84" t="str">
        <f>VLOOKUP(B6,'FTD08'!C:E,3,0)</f>
        <v>DN-8</v>
      </c>
      <c r="AG6" s="86" t="str">
        <f>VLOOKUP(B6,'FTD08'!C:G,5,0)</f>
        <v>ZDL</v>
      </c>
      <c r="AH6" s="83" t="str">
        <f>VLOOKUP(B6,'FTD09'!C:E,1,0)</f>
        <v>Bloco 2 vias fundo –  vapor</v>
      </c>
      <c r="AI6" s="85" t="str">
        <f>VLOOKUP(C6,'FTD09'!A:E,1,0)</f>
        <v>Inferior</v>
      </c>
      <c r="AJ6" s="84" t="str">
        <f>VLOOKUP(B6,'FTD09'!C:E,3,0)</f>
        <v>DN-8</v>
      </c>
      <c r="AK6" s="82" t="str">
        <f>VLOOKUP(B6,'FTD09'!C:G,5,0)</f>
        <v>ZDL</v>
      </c>
      <c r="AL6" s="85" t="str">
        <f>VLOOKUP(B6,'FTD10'!C:E,1,0)</f>
        <v>Bloco 2 vias fundo –  vapor</v>
      </c>
      <c r="AM6" s="85" t="str">
        <f>VLOOKUP(C6,'FTD10'!A:E,1,0)</f>
        <v>Inferior</v>
      </c>
      <c r="AN6" s="84" t="str">
        <f>VLOOKUP(B6,'FTD10'!C:E,3,0)</f>
        <v>DN-8</v>
      </c>
      <c r="AO6" s="86" t="str">
        <f>VLOOKUP(B6,'FTD10'!C:G,5,0)</f>
        <v>ZDL</v>
      </c>
      <c r="AP6" s="83" t="str">
        <f>VLOOKUP(B6,'FTD11'!C:E,1,0)</f>
        <v>Bloco 2 vias fundo –  vapor</v>
      </c>
      <c r="AQ6" s="85" t="str">
        <f>VLOOKUP(C6,'FTD11'!A:E,1,0)</f>
        <v>Inferior</v>
      </c>
      <c r="AR6" s="84" t="str">
        <f>VLOOKUP(B6,'FTD11'!C:E,3,0)</f>
        <v>DN-8</v>
      </c>
      <c r="AS6" s="82" t="str">
        <f>VLOOKUP(B6,'FTD11'!C:G,5,0)</f>
        <v>ZDL</v>
      </c>
      <c r="AT6" s="85" t="str">
        <f>VLOOKUP(B6,'FTD12'!C:E,1,0)</f>
        <v>Bloco 2 vias fundo –  vapor</v>
      </c>
      <c r="AU6" s="85" t="str">
        <f>VLOOKUP(C6,'FTD12'!A:E,1,0)</f>
        <v>Inferior</v>
      </c>
      <c r="AV6" s="84" t="str">
        <f>VLOOKUP(B6,'FTD12'!C:E,3,0)</f>
        <v>DN-8</v>
      </c>
      <c r="AW6" s="84" t="str">
        <f>VLOOKUP(B6,'FTD12'!C:G,5,0)</f>
        <v xml:space="preserve">ZDL </v>
      </c>
      <c r="AX6" s="124">
        <f t="shared" si="0"/>
        <v>11</v>
      </c>
      <c r="AY6" s="124">
        <f t="shared" si="1"/>
        <v>11</v>
      </c>
      <c r="BA6" s="14" t="s">
        <v>53</v>
      </c>
      <c r="BB6" s="14" t="s">
        <v>49</v>
      </c>
      <c r="BC6" s="14" t="s">
        <v>54</v>
      </c>
      <c r="BD6" s="68" t="s">
        <v>6</v>
      </c>
      <c r="BE6" s="85" t="str">
        <f>VLOOKUP(BA6,'PGD02'!C:E,1,0)</f>
        <v>Bloco válv. 3 vias coletor de amostra Entrada tanque</v>
      </c>
      <c r="BF6" s="85"/>
      <c r="BG6" s="84" t="str">
        <f>VLOOKUP(BA6,'PGD02'!C:E,3,0)</f>
        <v>DN-15</v>
      </c>
      <c r="BH6" s="86" t="str">
        <f>VLOOKUP(BA6,'PGD02'!C:G,5,0)</f>
        <v>ZDL</v>
      </c>
      <c r="BI6" s="83" t="str">
        <f>VLOOKUP(BA6,'PGD03'!C:E,1,0)</f>
        <v>Bloco válv. 3 vias coletor de amostra Entrada tanque</v>
      </c>
      <c r="BJ6" s="85"/>
      <c r="BK6" s="84" t="str">
        <f>VLOOKUP(BA6,'PGD03'!C:E,3,0)</f>
        <v>DN-15</v>
      </c>
      <c r="BL6" s="82" t="str">
        <f>VLOOKUP(BA6,'PGD03'!C:G,5,0)</f>
        <v>ZDL</v>
      </c>
      <c r="BM6" s="85" t="str">
        <f>VLOOKUP(BA6,'PGD03'!C:E,1,0)</f>
        <v>Bloco válv. 3 vias coletor de amostra Entrada tanque</v>
      </c>
      <c r="BN6" s="85"/>
      <c r="BO6" s="84" t="str">
        <f>VLOOKUP(BA6,'PGD04'!C:E,3,0)</f>
        <v>DN-15</v>
      </c>
      <c r="BP6" s="86" t="str">
        <f>VLOOKUP(BA6,'PGD04'!C:G,5,0)</f>
        <v>ZDL</v>
      </c>
      <c r="BQ6" s="83" t="str">
        <f>VLOOKUP(BA6,'PGD05'!C:E,1,0)</f>
        <v>Bloco válv. 3 vias coletor de amostra Entrada tanque</v>
      </c>
      <c r="BR6" s="85"/>
      <c r="BS6" s="84" t="str">
        <f>VLOOKUP(BA6,'PGD05'!C:E,3,0)</f>
        <v>DN-15</v>
      </c>
      <c r="BT6" s="82" t="str">
        <f>VLOOKUP(BA6,'PGD05'!C:G,5,0)</f>
        <v>ZDL</v>
      </c>
      <c r="BU6" s="85" t="str">
        <f>VLOOKUP(BA6,'PGD06'!C:E,1,0)</f>
        <v>Bloco válv. 3 vias coletor de amostra Entrada tanque</v>
      </c>
      <c r="BV6" s="85"/>
      <c r="BW6" s="84" t="str">
        <f>VLOOKUP(BA6,'PGD06'!C:E,3,0)</f>
        <v>DN-15</v>
      </c>
      <c r="BX6" s="86" t="str">
        <f>VLOOKUP(BA6,'PGD06'!C:G,5,0)</f>
        <v>ZDL</v>
      </c>
      <c r="BY6" s="83" t="str">
        <f>VLOOKUP(BA6,'PGD07'!C:E,1,0)</f>
        <v>Bloco válv. 3 vias coletor de amostra Entrada tanque</v>
      </c>
      <c r="BZ6" s="85"/>
      <c r="CA6" s="84" t="str">
        <f>VLOOKUP(BA6,'PGD07'!C:E,3,0)</f>
        <v>DN-15</v>
      </c>
      <c r="CB6" s="82" t="str">
        <f>VLOOKUP(BA6,'PGD07'!C:G,5,0)</f>
        <v>ZDL</v>
      </c>
      <c r="CC6" s="85" t="str">
        <f>VLOOKUP(BA6,'PGD08'!C:E,1,0)</f>
        <v>Bloco válv. 3 vias coletor de amostra Entrada tanque</v>
      </c>
      <c r="CD6" s="85"/>
      <c r="CE6" s="84" t="str">
        <f>VLOOKUP(BA6,'PGD08'!C:E,3,0)</f>
        <v>DN-15</v>
      </c>
      <c r="CF6" s="86" t="str">
        <f>VLOOKUP(BA6,'PGD08'!C:G,5,0)</f>
        <v>ZDL</v>
      </c>
      <c r="CG6" s="83" t="str">
        <f>VLOOKUP(BA6,'PGD09'!C:E,1,0)</f>
        <v>Bloco válv. 3 vias coletor de amostra Entrada tanque</v>
      </c>
      <c r="CH6" s="85"/>
      <c r="CI6" s="84" t="str">
        <f>VLOOKUP(BA6,'PGD09'!C:E,3,0)</f>
        <v>DN-15</v>
      </c>
      <c r="CJ6" s="82" t="str">
        <f>VLOOKUP(BA6,'PGD09'!C:G,5,0)</f>
        <v>ZDL</v>
      </c>
      <c r="CK6" s="85" t="str">
        <f>VLOOKUP(BA6,'PGD10'!C:E,1,0)</f>
        <v>Bloco válv. 3 vias coletor de amostra Entrada tanque</v>
      </c>
      <c r="CL6" s="85"/>
      <c r="CM6" s="84" t="str">
        <f>VLOOKUP(BA6,'PGD10'!C:E,3,0)</f>
        <v>DN-15</v>
      </c>
      <c r="CN6" s="86" t="str">
        <f>VLOOKUP(BA6,'PGD10'!C:G,5,0)</f>
        <v>ZDL</v>
      </c>
      <c r="CO6" s="83" t="str">
        <f>VLOOKUP(BA6,'PGD11'!C:E,1,0)</f>
        <v>Bloco válv. 3 vias coletor de amostra Entrada tanque</v>
      </c>
      <c r="CP6" s="85"/>
      <c r="CQ6" s="84" t="str">
        <f>VLOOKUP(BA6,'PGD11'!C:E,3,0)</f>
        <v>DN-15</v>
      </c>
      <c r="CR6" s="82" t="str">
        <f>VLOOKUP(BA6,'PGD11'!C:G,5,0)</f>
        <v>ZDL</v>
      </c>
      <c r="CS6" s="85" t="str">
        <f>VLOOKUP(BA6,'PGD12'!C:E,1,0)</f>
        <v>Bloco válv. 3 vias coletor de amostra Entrada tanque</v>
      </c>
      <c r="CT6" s="85"/>
      <c r="CU6" s="84" t="str">
        <f>VLOOKUP(BA6,'PGD12'!C:E,3,0)</f>
        <v>DN-15</v>
      </c>
      <c r="CV6" s="84" t="str">
        <f>VLOOKUP(BA6,'PGD12'!C:G,5,0)</f>
        <v>ZDL</v>
      </c>
      <c r="CW6" s="82">
        <f t="shared" si="2"/>
        <v>11</v>
      </c>
      <c r="CY6" s="51" t="s">
        <v>56</v>
      </c>
      <c r="CZ6" s="6" t="s">
        <v>54</v>
      </c>
      <c r="DA6" s="80" t="s">
        <v>6</v>
      </c>
      <c r="DB6" s="85" t="str">
        <f>VLOOKUP(CY6,'BLD03'!C:E,1,0)</f>
        <v xml:space="preserve">Bloco válv. 3 vias coletor de amostra Dreno vapor </v>
      </c>
      <c r="DC6" s="84" t="str">
        <f>VLOOKUP(CY6,'BLD03'!C:E,3,0)</f>
        <v>DN-15</v>
      </c>
      <c r="DD6" s="84" t="str">
        <f>VLOOKUP(CY6,'BLD02'!C:G,5,0)</f>
        <v>ZDL</v>
      </c>
      <c r="DE6" s="82">
        <f t="shared" si="3"/>
        <v>2</v>
      </c>
    </row>
    <row r="7" spans="2:109" x14ac:dyDescent="0.25">
      <c r="B7" s="7" t="s">
        <v>56</v>
      </c>
      <c r="C7" s="7" t="s">
        <v>174</v>
      </c>
      <c r="D7" s="7" t="s">
        <v>54</v>
      </c>
      <c r="E7" s="7" t="s">
        <v>6</v>
      </c>
      <c r="F7" s="57" t="str">
        <f>VLOOKUP(B7,'FTD02'!C:E,1,0)</f>
        <v xml:space="preserve">Bloco válv. 3 vias coletor de amostra Dreno vapor </v>
      </c>
      <c r="G7" s="122" t="str">
        <f>VLOOKUP(C7,'FTD02'!A:E,1,0)</f>
        <v>Inferior</v>
      </c>
      <c r="H7" s="53" t="str">
        <f>VLOOKUP(B7,'FTD02'!C:E,3,0)</f>
        <v>DN-15</v>
      </c>
      <c r="I7" s="56" t="str">
        <f>VLOOKUP(B7,'FTD02'!C:G,5,0)</f>
        <v>ZDL</v>
      </c>
      <c r="J7" s="57" t="str">
        <f>VLOOKUP(B7,'FTD03'!C:E,1,0)</f>
        <v xml:space="preserve">Bloco válv. 3 vias coletor de amostra Dreno vapor </v>
      </c>
      <c r="K7" s="85" t="str">
        <f>VLOOKUP(C7,'FTD03'!A:E,1,0)</f>
        <v>Inferior</v>
      </c>
      <c r="L7" s="53" t="str">
        <f>VLOOKUP(B7,'FTD03'!C:E,3,0)</f>
        <v>DN-15</v>
      </c>
      <c r="M7" s="56" t="str">
        <f>VLOOKUP(B7,'FTD03'!C:G,5,0)</f>
        <v>ZDL</v>
      </c>
      <c r="N7" s="57" t="str">
        <f>VLOOKUP(B7,'FTD04'!C:E,1,0)</f>
        <v xml:space="preserve">Bloco válv. 3 vias coletor de amostra Dreno vapor </v>
      </c>
      <c r="O7" s="85" t="str">
        <f>VLOOKUP(C7,'FTD04'!A:E,1,0)</f>
        <v>Inferior</v>
      </c>
      <c r="P7" s="53" t="str">
        <f>VLOOKUP(B7,'FTD04'!C:E,3,0)</f>
        <v>DN-15</v>
      </c>
      <c r="Q7" s="56" t="str">
        <f>VLOOKUP(B7,'FTD04'!C:G,5,0)</f>
        <v>ZDL</v>
      </c>
      <c r="R7" s="57" t="str">
        <f>VLOOKUP(B7,'FTD05'!C:E,1,0)</f>
        <v xml:space="preserve">Bloco válv. 3 vias coletor de amostra Dreno vapor </v>
      </c>
      <c r="S7" s="85" t="str">
        <f>VLOOKUP(C7,'FTD05'!A:E,1,0)</f>
        <v>Inferior</v>
      </c>
      <c r="T7" s="53" t="str">
        <f>VLOOKUP(B7,'FTD05'!C:E,3,0)</f>
        <v>DN-15</v>
      </c>
      <c r="U7" s="56" t="str">
        <f>VLOOKUP(B7,'FTD05'!C:G,5,0)</f>
        <v>ZDL</v>
      </c>
      <c r="V7" s="65" t="str">
        <f>VLOOKUP(B7,'FTD06'!C:E,1,0)</f>
        <v xml:space="preserve">Bloco válv. 3 vias coletor de amostra Dreno vapor </v>
      </c>
      <c r="W7" s="85" t="str">
        <f>VLOOKUP(C7,'FTD06'!A:E,1,0)</f>
        <v>Inferior</v>
      </c>
      <c r="X7" s="53" t="str">
        <f>VLOOKUP(B7,'FTD06'!C:E,3,0)</f>
        <v>DN-15</v>
      </c>
      <c r="Y7" s="74" t="str">
        <f>VLOOKUP(B7,'FTD06'!C:G,5,0)</f>
        <v>ZDL</v>
      </c>
      <c r="Z7" s="57" t="str">
        <f>VLOOKUP(B7,'FTD07'!C:E,1,0)</f>
        <v xml:space="preserve">Bloco válv. 3 vias coletor de amostra Dreno vapor </v>
      </c>
      <c r="AA7" s="85" t="str">
        <f>VLOOKUP(C7,'FTD07'!A:E,1,0)</f>
        <v>Inferior</v>
      </c>
      <c r="AB7" s="53" t="str">
        <f>VLOOKUP(B7,'FTD07'!C:E,3,0)</f>
        <v>DN-15</v>
      </c>
      <c r="AC7" s="56" t="str">
        <f>VLOOKUP(B7,'FTD07'!C:G,5,0)</f>
        <v>ZDL</v>
      </c>
      <c r="AD7" s="65" t="str">
        <f>VLOOKUP(B7,'FTD08'!C:E,1,0)</f>
        <v xml:space="preserve">Bloco válv. 3 vias coletor de amostra Dreno vapor </v>
      </c>
      <c r="AE7" s="85" t="str">
        <f>VLOOKUP(C7,'FTD08'!A:E,1,0)</f>
        <v>Inferior</v>
      </c>
      <c r="AF7" s="53" t="str">
        <f>VLOOKUP(B7,'FTD08'!C:E,3,0)</f>
        <v>DN-15</v>
      </c>
      <c r="AG7" s="74" t="str">
        <f>VLOOKUP(B7,'FTD08'!C:G,5,0)</f>
        <v>ZDL</v>
      </c>
      <c r="AH7" s="57" t="str">
        <f>VLOOKUP(B7,'FTD09'!C:E,1,0)</f>
        <v xml:space="preserve">Bloco válv. 3 vias coletor de amostra Dreno vapor </v>
      </c>
      <c r="AI7" s="85" t="str">
        <f>VLOOKUP(C7,'FTD09'!A:E,1,0)</f>
        <v>Inferior</v>
      </c>
      <c r="AJ7" s="53" t="str">
        <f>VLOOKUP(B7,'FTD09'!C:E,3,0)</f>
        <v>DN-15</v>
      </c>
      <c r="AK7" s="56" t="str">
        <f>VLOOKUP(B7,'FTD09'!C:G,5,0)</f>
        <v>ZDL</v>
      </c>
      <c r="AL7" s="65" t="str">
        <f>VLOOKUP(B7,'FTD10'!C:E,1,0)</f>
        <v xml:space="preserve">Bloco válv. 3 vias coletor de amostra Dreno vapor </v>
      </c>
      <c r="AM7" s="85" t="str">
        <f>VLOOKUP(C7,'FTD10'!A:E,1,0)</f>
        <v>Inferior</v>
      </c>
      <c r="AN7" s="53" t="str">
        <f>VLOOKUP(B7,'FTD10'!C:E,3,0)</f>
        <v>DN-15</v>
      </c>
      <c r="AO7" s="74" t="str">
        <f>VLOOKUP(B7,'FTD10'!C:G,5,0)</f>
        <v>ZDL</v>
      </c>
      <c r="AP7" s="57" t="str">
        <f>VLOOKUP(B7,'FTD11'!C:E,1,0)</f>
        <v xml:space="preserve">Bloco válv. 3 vias coletor de amostra Dreno vapor </v>
      </c>
      <c r="AQ7" s="85" t="str">
        <f>VLOOKUP(C7,'FTD11'!A:E,1,0)</f>
        <v>Inferior</v>
      </c>
      <c r="AR7" s="53" t="str">
        <f>VLOOKUP(B7,'FTD11'!C:E,3,0)</f>
        <v>DN-15</v>
      </c>
      <c r="AS7" s="56" t="str">
        <f>VLOOKUP(B7,'FTD11'!C:G,5,0)</f>
        <v>ZDL</v>
      </c>
      <c r="AT7" s="65" t="str">
        <f>VLOOKUP(B7,'FTD12'!C:E,1,0)</f>
        <v xml:space="preserve">Bloco válv. 3 vias coletor de amostra Dreno vapor </v>
      </c>
      <c r="AU7" s="85" t="str">
        <f>VLOOKUP(C7,'FTD12'!A:E,1,0)</f>
        <v>Inferior</v>
      </c>
      <c r="AV7" s="53" t="str">
        <f>VLOOKUP(B7,'FTD12'!C:E,3,0)</f>
        <v>DN-15</v>
      </c>
      <c r="AW7" s="53" t="str">
        <f>VLOOKUP(B7,'FTD12'!C:G,5,0)</f>
        <v xml:space="preserve">ZDL </v>
      </c>
      <c r="AX7" s="124">
        <f t="shared" si="0"/>
        <v>11</v>
      </c>
      <c r="AY7" s="124">
        <f t="shared" si="1"/>
        <v>11</v>
      </c>
      <c r="BA7" s="16" t="s">
        <v>58</v>
      </c>
      <c r="BB7" s="16" t="s">
        <v>49</v>
      </c>
      <c r="BC7" s="16" t="s">
        <v>54</v>
      </c>
      <c r="BD7" s="78" t="s">
        <v>6</v>
      </c>
      <c r="BE7" s="65" t="str">
        <f>VLOOKUP(BA7,'PGD02'!C:E,1,0)</f>
        <v xml:space="preserve">Bloco válv. 3 vias coletor de amostra Entrada vapor </v>
      </c>
      <c r="BF7" s="65"/>
      <c r="BG7" s="53" t="str">
        <f>VLOOKUP(BA7,'PGD02'!C:E,3,0)</f>
        <v>DN-15</v>
      </c>
      <c r="BH7" s="74" t="str">
        <f>VLOOKUP(BA7,'PGD02'!C:G,5,0)</f>
        <v>ZDL</v>
      </c>
      <c r="BI7" s="57" t="str">
        <f>VLOOKUP(BA7,'PGD03'!C:E,1,0)</f>
        <v xml:space="preserve">Bloco válv. 3 vias coletor de amostra Entrada vapor </v>
      </c>
      <c r="BJ7" s="65"/>
      <c r="BK7" s="53" t="str">
        <f>VLOOKUP(BA7,'PGD03'!C:E,3,0)</f>
        <v>DN-15</v>
      </c>
      <c r="BL7" s="56" t="str">
        <f>VLOOKUP(BA7,'PGD03'!C:G,5,0)</f>
        <v>ZDL</v>
      </c>
      <c r="BM7" s="65" t="str">
        <f>VLOOKUP(BA7,'PGD03'!C:E,1,0)</f>
        <v xml:space="preserve">Bloco válv. 3 vias coletor de amostra Entrada vapor </v>
      </c>
      <c r="BN7" s="65"/>
      <c r="BO7" s="53" t="str">
        <f>VLOOKUP(BA7,'PGD04'!C:E,3,0)</f>
        <v>DN-15</v>
      </c>
      <c r="BP7" s="74" t="str">
        <f>VLOOKUP(BA7,'PGD04'!C:G,5,0)</f>
        <v>ZDL</v>
      </c>
      <c r="BQ7" s="57" t="str">
        <f>VLOOKUP(BA7,'PGD05'!C:E,1,0)</f>
        <v xml:space="preserve">Bloco válv. 3 vias coletor de amostra Entrada vapor </v>
      </c>
      <c r="BR7" s="65"/>
      <c r="BS7" s="53" t="str">
        <f>VLOOKUP(BA7,'PGD05'!C:E,3,0)</f>
        <v>DN-15</v>
      </c>
      <c r="BT7" s="56" t="str">
        <f>VLOOKUP(BA7,'PGD05'!C:G,5,0)</f>
        <v>ZDL</v>
      </c>
      <c r="BU7" s="65" t="str">
        <f>VLOOKUP(BA7,'PGD06'!C:E,1,0)</f>
        <v xml:space="preserve">Bloco válv. 3 vias coletor de amostra Entrada vapor </v>
      </c>
      <c r="BV7" s="65"/>
      <c r="BW7" s="53" t="str">
        <f>VLOOKUP(BA7,'PGD06'!C:E,3,0)</f>
        <v>DN-15</v>
      </c>
      <c r="BX7" s="74" t="str">
        <f>VLOOKUP(BA7,'PGD06'!C:G,5,0)</f>
        <v>ZDL</v>
      </c>
      <c r="BY7" s="57" t="str">
        <f>VLOOKUP(BA7,'PGD07'!C:E,1,0)</f>
        <v xml:space="preserve">Bloco válv. 3 vias coletor de amostra Entrada vapor </v>
      </c>
      <c r="BZ7" s="65"/>
      <c r="CA7" s="53" t="str">
        <f>VLOOKUP(BA7,'PGD07'!C:E,3,0)</f>
        <v>DN-15</v>
      </c>
      <c r="CB7" s="56" t="str">
        <f>VLOOKUP(BA7,'PGD07'!C:G,5,0)</f>
        <v>ZDL</v>
      </c>
      <c r="CC7" s="65" t="str">
        <f>VLOOKUP(BA7,'PGD08'!C:E,1,0)</f>
        <v xml:space="preserve">Bloco válv. 3 vias coletor de amostra Entrada vapor </v>
      </c>
      <c r="CD7" s="65"/>
      <c r="CE7" s="53" t="str">
        <f>VLOOKUP(BA7,'PGD08'!C:E,3,0)</f>
        <v>DN-15</v>
      </c>
      <c r="CF7" s="74" t="str">
        <f>VLOOKUP(BA7,'PGD08'!C:G,5,0)</f>
        <v>ZDL</v>
      </c>
      <c r="CG7" s="57" t="str">
        <f>VLOOKUP(BA7,'PGD09'!C:E,1,0)</f>
        <v xml:space="preserve">Bloco válv. 3 vias coletor de amostra Entrada vapor </v>
      </c>
      <c r="CH7" s="65"/>
      <c r="CI7" s="53" t="str">
        <f>VLOOKUP(BA7,'PGD09'!C:E,3,0)</f>
        <v>DN-15</v>
      </c>
      <c r="CJ7" s="56" t="str">
        <f>VLOOKUP(BA7,'PGD09'!C:G,5,0)</f>
        <v>ZDL</v>
      </c>
      <c r="CK7" s="65" t="str">
        <f>VLOOKUP(BA7,'PGD10'!C:E,1,0)</f>
        <v xml:space="preserve">Bloco válv. 3 vias coletor de amostra Entrada vapor </v>
      </c>
      <c r="CL7" s="65"/>
      <c r="CM7" s="53" t="str">
        <f>VLOOKUP(BA7,'PGD10'!C:E,3,0)</f>
        <v>DN-15</v>
      </c>
      <c r="CN7" s="74" t="str">
        <f>VLOOKUP(BA7,'PGD10'!C:G,5,0)</f>
        <v>ZDL</v>
      </c>
      <c r="CO7" s="57" t="str">
        <f>VLOOKUP(BA7,'PGD11'!C:E,1,0)</f>
        <v xml:space="preserve">Bloco válv. 3 vias coletor de amostra Entrada vapor </v>
      </c>
      <c r="CP7" s="65"/>
      <c r="CQ7" s="53" t="str">
        <f>VLOOKUP(BA7,'PGD11'!C:E,3,0)</f>
        <v>DN-15</v>
      </c>
      <c r="CR7" s="56" t="str">
        <f>VLOOKUP(BA7,'PGD11'!C:G,5,0)</f>
        <v>ZDL</v>
      </c>
      <c r="CS7" s="65" t="str">
        <f>VLOOKUP(BA7,'PGD12'!C:E,1,0)</f>
        <v xml:space="preserve">Bloco válv. 3 vias coletor de amostra Entrada vapor </v>
      </c>
      <c r="CT7" s="65"/>
      <c r="CU7" s="53" t="str">
        <f>VLOOKUP(BA7,'PGD12'!C:E,3,0)</f>
        <v>DN-15</v>
      </c>
      <c r="CV7" s="53" t="str">
        <f>VLOOKUP(BA7,'PGD12'!C:G,5,0)</f>
        <v>ZDL</v>
      </c>
      <c r="CW7" s="56">
        <f t="shared" si="2"/>
        <v>11</v>
      </c>
      <c r="CY7" s="52" t="s">
        <v>60</v>
      </c>
      <c r="CZ7" s="16" t="s">
        <v>51</v>
      </c>
      <c r="DA7" s="81" t="s">
        <v>5</v>
      </c>
      <c r="DB7" s="65" t="str">
        <f>VLOOKUP(CY7,'BLD03'!C:E,1,0)</f>
        <v>Bloco 2 vias fundo - fundo</v>
      </c>
      <c r="DC7" s="53" t="str">
        <f>VLOOKUP(CY7,'BLD03'!C:E,3,0)</f>
        <v>DN-40</v>
      </c>
      <c r="DD7" s="53" t="str">
        <f>VLOOKUP(CY7,'BLD02'!C:G,5,0)</f>
        <v>GEMÜ</v>
      </c>
      <c r="DE7" s="56">
        <f t="shared" si="3"/>
        <v>2</v>
      </c>
    </row>
    <row r="8" spans="2:109" x14ac:dyDescent="0.25">
      <c r="B8" s="14" t="s">
        <v>53</v>
      </c>
      <c r="C8" s="14" t="s">
        <v>174</v>
      </c>
      <c r="D8" s="14" t="s">
        <v>54</v>
      </c>
      <c r="E8" s="14" t="s">
        <v>6</v>
      </c>
      <c r="F8" s="83" t="str">
        <f>VLOOKUP(B8,'FTD02'!C:E,1,0)</f>
        <v>Bloco válv. 3 vias coletor de amostra Entrada tanque</v>
      </c>
      <c r="G8" s="84" t="str">
        <f>VLOOKUP(C8,'FTD02'!A:E,1,0)</f>
        <v>Inferior</v>
      </c>
      <c r="H8" s="84" t="str">
        <f>VLOOKUP(B8,'FTD02'!C:E,3,0)</f>
        <v>DN-15</v>
      </c>
      <c r="I8" s="82" t="str">
        <f>VLOOKUP(B8,'FTD02'!C:G,5,0)</f>
        <v>ZDL</v>
      </c>
      <c r="J8" s="83" t="str">
        <f>VLOOKUP(B8,'FTD03'!C:E,1,0)</f>
        <v>Bloco válv. 3 vias coletor de amostra Entrada tanque</v>
      </c>
      <c r="K8" s="85" t="str">
        <f>VLOOKUP(C8,'FTD03'!A:E,1,0)</f>
        <v>Inferior</v>
      </c>
      <c r="L8" s="84" t="str">
        <f>VLOOKUP(B8,'FTD03'!C:E,3,0)</f>
        <v>DN-15</v>
      </c>
      <c r="M8" s="82" t="str">
        <f>VLOOKUP(B8,'FTD03'!C:G,5,0)</f>
        <v>ZDL</v>
      </c>
      <c r="N8" s="83" t="str">
        <f>VLOOKUP(B8,'FTD04'!C:E,1,0)</f>
        <v>Bloco válv. 3 vias coletor de amostra Entrada tanque</v>
      </c>
      <c r="O8" s="85" t="str">
        <f>VLOOKUP(C8,'FTD04'!A:E,1,0)</f>
        <v>Inferior</v>
      </c>
      <c r="P8" s="84" t="str">
        <f>VLOOKUP(B8,'FTD04'!C:E,3,0)</f>
        <v>DN-15</v>
      </c>
      <c r="Q8" s="82" t="str">
        <f>VLOOKUP(B8,'FTD04'!C:G,5,0)</f>
        <v>ZDL</v>
      </c>
      <c r="R8" s="83" t="str">
        <f>VLOOKUP(B8,'FTD05'!C:E,1,0)</f>
        <v>Bloco válv. 3 vias coletor de amostra Entrada tanque</v>
      </c>
      <c r="S8" s="85" t="str">
        <f>VLOOKUP(C8,'FTD05'!A:E,1,0)</f>
        <v>Inferior</v>
      </c>
      <c r="T8" s="84" t="str">
        <f>VLOOKUP(B8,'FTD05'!C:E,3,0)</f>
        <v>DN-15</v>
      </c>
      <c r="U8" s="82" t="str">
        <f>VLOOKUP(B8,'FTD05'!C:G,5,0)</f>
        <v>ZDL</v>
      </c>
      <c r="V8" s="85" t="str">
        <f>VLOOKUP(B8,'FTD06'!C:E,1,0)</f>
        <v>Bloco válv. 3 vias coletor de amostra Entrada tanque</v>
      </c>
      <c r="W8" s="85" t="str">
        <f>VLOOKUP(C8,'FTD06'!A:E,1,0)</f>
        <v>Inferior</v>
      </c>
      <c r="X8" s="84" t="str">
        <f>VLOOKUP(B8,'FTD06'!C:E,3,0)</f>
        <v>DN-15</v>
      </c>
      <c r="Y8" s="86" t="str">
        <f>VLOOKUP(B8,'FTD06'!C:G,5,0)</f>
        <v>ZDL</v>
      </c>
      <c r="Z8" s="83" t="str">
        <f>VLOOKUP(B8,'FTD07'!C:E,1,0)</f>
        <v>Bloco válv. 3 vias coletor de amostra Entrada tanque</v>
      </c>
      <c r="AA8" s="85" t="str">
        <f>VLOOKUP(C8,'FTD07'!A:E,1,0)</f>
        <v>Inferior</v>
      </c>
      <c r="AB8" s="84" t="str">
        <f>VLOOKUP(B8,'FTD07'!C:E,3,0)</f>
        <v>DN-15</v>
      </c>
      <c r="AC8" s="82" t="str">
        <f>VLOOKUP(B8,'FTD07'!C:G,5,0)</f>
        <v>ZDL</v>
      </c>
      <c r="AD8" s="85" t="str">
        <f>VLOOKUP(B8,'FTD08'!C:E,1,0)</f>
        <v>Bloco válv. 3 vias coletor de amostra Entrada tanque</v>
      </c>
      <c r="AE8" s="85" t="str">
        <f>VLOOKUP(C8,'FTD08'!A:E,1,0)</f>
        <v>Inferior</v>
      </c>
      <c r="AF8" s="84" t="str">
        <f>VLOOKUP(B8,'FTD08'!C:E,3,0)</f>
        <v>DN-15</v>
      </c>
      <c r="AG8" s="86" t="str">
        <f>VLOOKUP(B8,'FTD08'!C:G,5,0)</f>
        <v>ZDL</v>
      </c>
      <c r="AH8" s="83" t="str">
        <f>VLOOKUP(B8,'FTD09'!C:E,1,0)</f>
        <v>Bloco válv. 3 vias coletor de amostra Entrada tanque</v>
      </c>
      <c r="AI8" s="85" t="str">
        <f>VLOOKUP(C8,'FTD09'!A:E,1,0)</f>
        <v>Inferior</v>
      </c>
      <c r="AJ8" s="84" t="str">
        <f>VLOOKUP(B8,'FTD09'!C:E,3,0)</f>
        <v>DN-15</v>
      </c>
      <c r="AK8" s="82" t="str">
        <f>VLOOKUP(B8,'FTD09'!C:G,5,0)</f>
        <v>ZDL</v>
      </c>
      <c r="AL8" s="85" t="str">
        <f>VLOOKUP(B8,'FTD10'!C:E,1,0)</f>
        <v>Bloco válv. 3 vias coletor de amostra Entrada tanque</v>
      </c>
      <c r="AM8" s="85" t="str">
        <f>VLOOKUP(C8,'FTD10'!A:E,1,0)</f>
        <v>Inferior</v>
      </c>
      <c r="AN8" s="84" t="str">
        <f>VLOOKUP(B8,'FTD10'!C:E,3,0)</f>
        <v>DN-15</v>
      </c>
      <c r="AO8" s="86" t="str">
        <f>VLOOKUP(B8,'FTD10'!C:G,5,0)</f>
        <v>ZDL</v>
      </c>
      <c r="AP8" s="83" t="str">
        <f>VLOOKUP(B8,'FTD11'!C:E,1,0)</f>
        <v>Bloco válv. 3 vias coletor de amostra Entrada tanque</v>
      </c>
      <c r="AQ8" s="85" t="str">
        <f>VLOOKUP(C8,'FTD11'!A:E,1,0)</f>
        <v>Inferior</v>
      </c>
      <c r="AR8" s="84" t="str">
        <f>VLOOKUP(B8,'FTD11'!C:E,3,0)</f>
        <v>DN-15</v>
      </c>
      <c r="AS8" s="82" t="str">
        <f>VLOOKUP(B8,'FTD11'!C:G,5,0)</f>
        <v>ZDL</v>
      </c>
      <c r="AT8" s="85" t="str">
        <f>VLOOKUP(B8,'FTD12'!C:E,1,0)</f>
        <v>Bloco válv. 3 vias coletor de amostra Entrada tanque</v>
      </c>
      <c r="AU8" s="85" t="str">
        <f>VLOOKUP(C8,'FTD12'!A:E,1,0)</f>
        <v>Inferior</v>
      </c>
      <c r="AV8" s="84" t="str">
        <f>VLOOKUP(B8,'FTD12'!C:E,3,0)</f>
        <v>DN-15</v>
      </c>
      <c r="AW8" s="84" t="str">
        <f>VLOOKUP(B8,'FTD12'!C:G,5,0)</f>
        <v xml:space="preserve">ZDL </v>
      </c>
      <c r="AX8" s="124">
        <f t="shared" si="0"/>
        <v>11</v>
      </c>
      <c r="AY8" s="124">
        <f t="shared" si="1"/>
        <v>11</v>
      </c>
      <c r="BA8" s="14" t="s">
        <v>61</v>
      </c>
      <c r="BB8" s="14" t="s">
        <v>49</v>
      </c>
      <c r="BC8" s="14" t="s">
        <v>51</v>
      </c>
      <c r="BD8" s="68" t="s">
        <v>5</v>
      </c>
      <c r="BE8" s="85" t="str">
        <f>VLOOKUP(BA8,'PGD02'!C:E,1,0)</f>
        <v>CIP BV</v>
      </c>
      <c r="BF8" s="85"/>
      <c r="BG8" s="84" t="str">
        <f>VLOOKUP(BA8,'PGD02'!C:E,3,0)</f>
        <v>DN-40</v>
      </c>
      <c r="BH8" s="86" t="str">
        <f>VLOOKUP(BA8,'PGD02'!C:G,5,0)</f>
        <v>GEMÜ</v>
      </c>
      <c r="BI8" s="83" t="str">
        <f>VLOOKUP(BA8,'PGD03'!C:E,1,0)</f>
        <v>CIP BV</v>
      </c>
      <c r="BJ8" s="85"/>
      <c r="BK8" s="84" t="str">
        <f>VLOOKUP(BA8,'PGD03'!C:E,3,0)</f>
        <v>DN-40</v>
      </c>
      <c r="BL8" s="82" t="str">
        <f>VLOOKUP(BA8,'PGD03'!C:G,5,0)</f>
        <v>GEMÜ</v>
      </c>
      <c r="BM8" s="85" t="str">
        <f>VLOOKUP(BA8,'PGD03'!C:E,1,0)</f>
        <v>CIP BV</v>
      </c>
      <c r="BN8" s="85"/>
      <c r="BO8" s="84" t="str">
        <f>VLOOKUP(BA8,'PGD04'!C:E,3,0)</f>
        <v>DN-40</v>
      </c>
      <c r="BP8" s="86" t="str">
        <f>VLOOKUP(BA8,'PGD04'!C:G,5,0)</f>
        <v>GEMÜ</v>
      </c>
      <c r="BQ8" s="83" t="str">
        <f>VLOOKUP(BA8,'PGD05'!C:E,1,0)</f>
        <v>CIP BV</v>
      </c>
      <c r="BR8" s="85"/>
      <c r="BS8" s="84" t="str">
        <f>VLOOKUP(BA8,'PGD05'!C:E,3,0)</f>
        <v>DN-40</v>
      </c>
      <c r="BT8" s="82" t="str">
        <f>VLOOKUP(BA8,'PGD05'!C:G,5,0)</f>
        <v>GEMÜ</v>
      </c>
      <c r="BU8" s="85" t="str">
        <f>VLOOKUP(BA8,'PGD06'!C:E,1,0)</f>
        <v>CIP BV</v>
      </c>
      <c r="BV8" s="85"/>
      <c r="BW8" s="84" t="str">
        <f>VLOOKUP(BA8,'PGD06'!C:E,3,0)</f>
        <v>DN-40</v>
      </c>
      <c r="BX8" s="86" t="str">
        <f>VLOOKUP(BA8,'PGD06'!C:G,5,0)</f>
        <v>GEMÜ</v>
      </c>
      <c r="BY8" s="83" t="str">
        <f>VLOOKUP(BA8,'PGD07'!C:E,1,0)</f>
        <v>CIP BV</v>
      </c>
      <c r="BZ8" s="85"/>
      <c r="CA8" s="84" t="str">
        <f>VLOOKUP(BA8,'PGD07'!C:E,3,0)</f>
        <v>DN-40</v>
      </c>
      <c r="CB8" s="82" t="str">
        <f>VLOOKUP(BA8,'PGD07'!C:G,5,0)</f>
        <v>GEMÜ</v>
      </c>
      <c r="CC8" s="85" t="str">
        <f>VLOOKUP(BA8,'PGD08'!C:E,1,0)</f>
        <v>CIP BV</v>
      </c>
      <c r="CD8" s="85"/>
      <c r="CE8" s="84" t="str">
        <f>VLOOKUP(BA8,'PGD08'!C:E,3,0)</f>
        <v>DN-40</v>
      </c>
      <c r="CF8" s="86" t="str">
        <f>VLOOKUP(BA8,'PGD08'!C:G,5,0)</f>
        <v>GEMÜ</v>
      </c>
      <c r="CG8" s="83" t="str">
        <f>VLOOKUP(BA8,'PGD09'!C:E,1,0)</f>
        <v>CIP BV</v>
      </c>
      <c r="CH8" s="85"/>
      <c r="CI8" s="84" t="str">
        <f>VLOOKUP(BA8,'PGD09'!C:E,3,0)</f>
        <v>DN-40</v>
      </c>
      <c r="CJ8" s="82" t="str">
        <f>VLOOKUP(BA8,'PGD09'!C:G,5,0)</f>
        <v>GEMÜ</v>
      </c>
      <c r="CK8" s="85" t="str">
        <f>VLOOKUP(BA8,'PGD10'!C:E,1,0)</f>
        <v>CIP BV</v>
      </c>
      <c r="CL8" s="85"/>
      <c r="CM8" s="84" t="str">
        <f>VLOOKUP(BA8,'PGD10'!C:E,3,0)</f>
        <v>DN-40</v>
      </c>
      <c r="CN8" s="86" t="str">
        <f>VLOOKUP(BA8,'PGD10'!C:G,5,0)</f>
        <v>GEMÜ</v>
      </c>
      <c r="CO8" s="83" t="str">
        <f>VLOOKUP(BA8,'PGD11'!C:E,1,0)</f>
        <v>CIP BV</v>
      </c>
      <c r="CP8" s="85"/>
      <c r="CQ8" s="84" t="str">
        <f>VLOOKUP(BA8,'PGD11'!C:E,3,0)</f>
        <v>DN-40</v>
      </c>
      <c r="CR8" s="82" t="str">
        <f>VLOOKUP(BA8,'PGD11'!C:G,5,0)</f>
        <v>GEMÜ</v>
      </c>
      <c r="CS8" s="85" t="str">
        <f>VLOOKUP(BA8,'PGD12'!C:E,1,0)</f>
        <v>CIP BV</v>
      </c>
      <c r="CT8" s="85"/>
      <c r="CU8" s="84" t="str">
        <f>VLOOKUP(BA8,'PGD12'!C:E,3,0)</f>
        <v>DN-40</v>
      </c>
      <c r="CV8" s="84" t="str">
        <f>VLOOKUP(BA8,'PGD12'!C:G,5,0)</f>
        <v>GEMÜ</v>
      </c>
      <c r="CW8" s="82">
        <f t="shared" si="2"/>
        <v>11</v>
      </c>
      <c r="CY8" s="51" t="s">
        <v>63</v>
      </c>
      <c r="CZ8" s="6" t="s">
        <v>51</v>
      </c>
      <c r="DA8" s="80" t="s">
        <v>5</v>
      </c>
      <c r="DB8" s="85" t="str">
        <f>VLOOKUP(CY8,'BLD03'!C:E,1,0)</f>
        <v>Transferência BV</v>
      </c>
      <c r="DC8" s="84" t="str">
        <f>VLOOKUP(CY8,'BLD03'!C:E,3,0)</f>
        <v>DN-40</v>
      </c>
      <c r="DD8" s="84" t="str">
        <f>VLOOKUP(CY8,'BLD02'!C:G,5,0)</f>
        <v>GEMÜ</v>
      </c>
      <c r="DE8" s="82">
        <f t="shared" si="3"/>
        <v>2</v>
      </c>
    </row>
    <row r="9" spans="2:109" x14ac:dyDescent="0.25">
      <c r="B9" s="7" t="s">
        <v>58</v>
      </c>
      <c r="C9" s="7" t="s">
        <v>174</v>
      </c>
      <c r="D9" s="7" t="s">
        <v>54</v>
      </c>
      <c r="E9" s="7" t="s">
        <v>6</v>
      </c>
      <c r="F9" s="57" t="str">
        <f>VLOOKUP(B9,'FTD02'!C:E,1,0)</f>
        <v xml:space="preserve">Bloco válv. 3 vias coletor de amostra Entrada vapor </v>
      </c>
      <c r="G9" s="122" t="str">
        <f>VLOOKUP(C9,'FTD02'!A:E,1,0)</f>
        <v>Inferior</v>
      </c>
      <c r="H9" s="53" t="str">
        <f>VLOOKUP(B9,'FTD02'!C:E,3,0)</f>
        <v>DN-15</v>
      </c>
      <c r="I9" s="56" t="str">
        <f>VLOOKUP(B9,'FTD02'!C:G,5,0)</f>
        <v>ZDL</v>
      </c>
      <c r="J9" s="57" t="str">
        <f>VLOOKUP(B9,'FTD03'!C:E,1,0)</f>
        <v xml:space="preserve">Bloco válv. 3 vias coletor de amostra Entrada vapor </v>
      </c>
      <c r="K9" s="85" t="str">
        <f>VLOOKUP(C9,'FTD03'!A:E,1,0)</f>
        <v>Inferior</v>
      </c>
      <c r="L9" s="53" t="str">
        <f>VLOOKUP(B9,'FTD03'!C:E,3,0)</f>
        <v>DN-15</v>
      </c>
      <c r="M9" s="56" t="str">
        <f>VLOOKUP(B9,'FTD03'!C:G,5,0)</f>
        <v>ZDL</v>
      </c>
      <c r="N9" s="57" t="str">
        <f>VLOOKUP(B9,'FTD04'!C:E,1,0)</f>
        <v xml:space="preserve">Bloco válv. 3 vias coletor de amostra Entrada vapor </v>
      </c>
      <c r="O9" s="85" t="str">
        <f>VLOOKUP(C9,'FTD04'!A:E,1,0)</f>
        <v>Inferior</v>
      </c>
      <c r="P9" s="53" t="str">
        <f>VLOOKUP(B9,'FTD04'!C:E,3,0)</f>
        <v>DN-15</v>
      </c>
      <c r="Q9" s="56" t="str">
        <f>VLOOKUP(B9,'FTD04'!C:G,5,0)</f>
        <v>ZDL</v>
      </c>
      <c r="R9" s="57" t="str">
        <f>VLOOKUP(B9,'FTD05'!C:E,1,0)</f>
        <v xml:space="preserve">Bloco válv. 3 vias coletor de amostra Entrada vapor </v>
      </c>
      <c r="S9" s="85" t="str">
        <f>VLOOKUP(C9,'FTD05'!A:E,1,0)</f>
        <v>Inferior</v>
      </c>
      <c r="T9" s="53" t="str">
        <f>VLOOKUP(B9,'FTD05'!C:E,3,0)</f>
        <v>DN-15</v>
      </c>
      <c r="U9" s="56" t="str">
        <f>VLOOKUP(B9,'FTD05'!C:G,5,0)</f>
        <v>ZDL</v>
      </c>
      <c r="V9" s="65" t="str">
        <f>VLOOKUP(B9,'FTD06'!C:E,1,0)</f>
        <v xml:space="preserve">Bloco válv. 3 vias coletor de amostra Entrada vapor </v>
      </c>
      <c r="W9" s="85" t="str">
        <f>VLOOKUP(C9,'FTD06'!A:E,1,0)</f>
        <v>Inferior</v>
      </c>
      <c r="X9" s="53" t="str">
        <f>VLOOKUP(B9,'FTD06'!C:E,3,0)</f>
        <v>DN-15</v>
      </c>
      <c r="Y9" s="74" t="str">
        <f>VLOOKUP(B9,'FTD06'!C:G,5,0)</f>
        <v>ZDL</v>
      </c>
      <c r="Z9" s="57" t="str">
        <f>VLOOKUP(B9,'FTD07'!C:E,1,0)</f>
        <v xml:space="preserve">Bloco válv. 3 vias coletor de amostra Entrada vapor </v>
      </c>
      <c r="AA9" s="85" t="str">
        <f>VLOOKUP(C9,'FTD07'!A:E,1,0)</f>
        <v>Inferior</v>
      </c>
      <c r="AB9" s="53" t="str">
        <f>VLOOKUP(B9,'FTD07'!C:E,3,0)</f>
        <v>DN-15</v>
      </c>
      <c r="AC9" s="56" t="str">
        <f>VLOOKUP(B9,'FTD07'!C:G,5,0)</f>
        <v>ZDL</v>
      </c>
      <c r="AD9" s="65" t="str">
        <f>VLOOKUP(B9,'FTD08'!C:E,1,0)</f>
        <v xml:space="preserve">Bloco válv. 3 vias coletor de amostra Entrada vapor </v>
      </c>
      <c r="AE9" s="85" t="str">
        <f>VLOOKUP(C9,'FTD08'!A:E,1,0)</f>
        <v>Inferior</v>
      </c>
      <c r="AF9" s="53" t="str">
        <f>VLOOKUP(B9,'FTD08'!C:E,3,0)</f>
        <v>DN-15</v>
      </c>
      <c r="AG9" s="74" t="str">
        <f>VLOOKUP(B9,'FTD08'!C:G,5,0)</f>
        <v>ZDL</v>
      </c>
      <c r="AH9" s="57" t="str">
        <f>VLOOKUP(B9,'FTD09'!C:E,1,0)</f>
        <v xml:space="preserve">Bloco válv. 3 vias coletor de amostra Entrada vapor </v>
      </c>
      <c r="AI9" s="85" t="str">
        <f>VLOOKUP(C9,'FTD09'!A:E,1,0)</f>
        <v>Inferior</v>
      </c>
      <c r="AJ9" s="53" t="str">
        <f>VLOOKUP(B9,'FTD09'!C:E,3,0)</f>
        <v>DN-15</v>
      </c>
      <c r="AK9" s="56" t="str">
        <f>VLOOKUP(B9,'FTD09'!C:G,5,0)</f>
        <v>ZDL</v>
      </c>
      <c r="AL9" s="65" t="str">
        <f>VLOOKUP(B9,'FTD10'!C:E,1,0)</f>
        <v xml:space="preserve">Bloco válv. 3 vias coletor de amostra Entrada vapor </v>
      </c>
      <c r="AM9" s="85" t="str">
        <f>VLOOKUP(C9,'FTD10'!A:E,1,0)</f>
        <v>Inferior</v>
      </c>
      <c r="AN9" s="53" t="str">
        <f>VLOOKUP(B9,'FTD10'!C:E,3,0)</f>
        <v>DN-15</v>
      </c>
      <c r="AO9" s="74" t="str">
        <f>VLOOKUP(B9,'FTD10'!C:G,5,0)</f>
        <v>ZDL</v>
      </c>
      <c r="AP9" s="57" t="str">
        <f>VLOOKUP(B9,'FTD11'!C:E,1,0)</f>
        <v xml:space="preserve">Bloco válv. 3 vias coletor de amostra Entrada vapor </v>
      </c>
      <c r="AQ9" s="85" t="str">
        <f>VLOOKUP(C9,'FTD11'!A:E,1,0)</f>
        <v>Inferior</v>
      </c>
      <c r="AR9" s="53" t="str">
        <f>VLOOKUP(B9,'FTD11'!C:E,3,0)</f>
        <v>DN-15</v>
      </c>
      <c r="AS9" s="56" t="str">
        <f>VLOOKUP(B9,'FTD11'!C:G,5,0)</f>
        <v>ZDL</v>
      </c>
      <c r="AT9" s="65" t="str">
        <f>VLOOKUP(B9,'FTD12'!C:E,1,0)</f>
        <v xml:space="preserve">Bloco válv. 3 vias coletor de amostra Entrada vapor </v>
      </c>
      <c r="AU9" s="85" t="str">
        <f>VLOOKUP(C9,'FTD12'!A:E,1,0)</f>
        <v>Inferior</v>
      </c>
      <c r="AV9" s="53" t="str">
        <f>VLOOKUP(B9,'FTD12'!C:E,3,0)</f>
        <v>DN-15</v>
      </c>
      <c r="AW9" s="53" t="str">
        <f>VLOOKUP(B9,'FTD12'!C:G,5,0)</f>
        <v xml:space="preserve">ZDL </v>
      </c>
      <c r="AX9" s="124">
        <f t="shared" si="0"/>
        <v>11</v>
      </c>
      <c r="AY9" s="124">
        <f t="shared" si="1"/>
        <v>11</v>
      </c>
      <c r="BA9" s="16" t="s">
        <v>64</v>
      </c>
      <c r="BB9" s="16" t="s">
        <v>49</v>
      </c>
      <c r="BC9" s="16" t="s">
        <v>51</v>
      </c>
      <c r="BD9" s="78" t="s">
        <v>5</v>
      </c>
      <c r="BE9" s="65" t="str">
        <f>VLOOKUP(BA9,'PGD02'!C:E,1,0)</f>
        <v xml:space="preserve">Descarte BV  </v>
      </c>
      <c r="BF9" s="65"/>
      <c r="BG9" s="53" t="str">
        <f>VLOOKUP(BA9,'PGD02'!C:E,3,0)</f>
        <v>DN-40</v>
      </c>
      <c r="BH9" s="74" t="str">
        <f>VLOOKUP(BA9,'PGD02'!C:G,5,0)</f>
        <v>GEMÜ</v>
      </c>
      <c r="BI9" s="57" t="str">
        <f>VLOOKUP(BA9,'PGD03'!C:E,1,0)</f>
        <v xml:space="preserve">Descarte BV  </v>
      </c>
      <c r="BJ9" s="65"/>
      <c r="BK9" s="53" t="str">
        <f>VLOOKUP(BA9,'PGD03'!C:E,3,0)</f>
        <v>DN-40</v>
      </c>
      <c r="BL9" s="56" t="str">
        <f>VLOOKUP(BA9,'PGD03'!C:G,5,0)</f>
        <v>GEMÜ</v>
      </c>
      <c r="BM9" s="65" t="str">
        <f>VLOOKUP(BA9,'PGD03'!C:E,1,0)</f>
        <v xml:space="preserve">Descarte BV  </v>
      </c>
      <c r="BN9" s="65"/>
      <c r="BO9" s="53" t="str">
        <f>VLOOKUP(BA9,'PGD04'!C:E,3,0)</f>
        <v>DN-40</v>
      </c>
      <c r="BP9" s="74" t="str">
        <f>VLOOKUP(BA9,'PGD04'!C:G,5,0)</f>
        <v>GEMÜ</v>
      </c>
      <c r="BQ9" s="57" t="str">
        <f>VLOOKUP(BA9,'PGD05'!C:E,1,0)</f>
        <v xml:space="preserve">Descarte BV  </v>
      </c>
      <c r="BR9" s="65"/>
      <c r="BS9" s="53" t="str">
        <f>VLOOKUP(BA9,'PGD05'!C:E,3,0)</f>
        <v>DN-40</v>
      </c>
      <c r="BT9" s="56" t="str">
        <f>VLOOKUP(BA9,'PGD05'!C:G,5,0)</f>
        <v>GEMÜ</v>
      </c>
      <c r="BU9" s="65" t="str">
        <f>VLOOKUP(BA9,'PGD06'!C:E,1,0)</f>
        <v xml:space="preserve">Descarte BV  </v>
      </c>
      <c r="BV9" s="65"/>
      <c r="BW9" s="53" t="str">
        <f>VLOOKUP(BA9,'PGD06'!C:E,3,0)</f>
        <v>DN-40</v>
      </c>
      <c r="BX9" s="74" t="str">
        <f>VLOOKUP(BA9,'PGD06'!C:G,5,0)</f>
        <v>GEMÜ</v>
      </c>
      <c r="BY9" s="57" t="str">
        <f>VLOOKUP(BA9,'PGD07'!C:E,1,0)</f>
        <v xml:space="preserve">Descarte BV  </v>
      </c>
      <c r="BZ9" s="65"/>
      <c r="CA9" s="53" t="str">
        <f>VLOOKUP(BA9,'PGD07'!C:E,3,0)</f>
        <v>DN-40</v>
      </c>
      <c r="CB9" s="56" t="str">
        <f>VLOOKUP(BA9,'PGD07'!C:G,5,0)</f>
        <v>GEMÜ</v>
      </c>
      <c r="CC9" s="65" t="str">
        <f>VLOOKUP(BA9,'PGD08'!C:E,1,0)</f>
        <v xml:space="preserve">Descarte BV  </v>
      </c>
      <c r="CD9" s="65"/>
      <c r="CE9" s="53" t="str">
        <f>VLOOKUP(BA9,'PGD08'!C:E,3,0)</f>
        <v>DN-40</v>
      </c>
      <c r="CF9" s="74" t="str">
        <f>VLOOKUP(BA9,'PGD08'!C:G,5,0)</f>
        <v>GEMÜ</v>
      </c>
      <c r="CG9" s="57" t="str">
        <f>VLOOKUP(BA9,'PGD09'!C:E,1,0)</f>
        <v xml:space="preserve">Descarte BV  </v>
      </c>
      <c r="CH9" s="65"/>
      <c r="CI9" s="53" t="str">
        <f>VLOOKUP(BA9,'PGD09'!C:E,3,0)</f>
        <v>DN-40</v>
      </c>
      <c r="CJ9" s="56" t="str">
        <f>VLOOKUP(BA9,'PGD09'!C:G,5,0)</f>
        <v>GEMÜ</v>
      </c>
      <c r="CK9" s="65" t="str">
        <f>VLOOKUP(BA9,'PGD10'!C:E,1,0)</f>
        <v xml:space="preserve">Descarte BV  </v>
      </c>
      <c r="CL9" s="65"/>
      <c r="CM9" s="53" t="str">
        <f>VLOOKUP(BA9,'PGD10'!C:E,3,0)</f>
        <v>DN-40</v>
      </c>
      <c r="CN9" s="74" t="str">
        <f>VLOOKUP(BA9,'PGD10'!C:G,5,0)</f>
        <v>GEMÜ</v>
      </c>
      <c r="CO9" s="57" t="str">
        <f>VLOOKUP(BA9,'PGD11'!C:E,1,0)</f>
        <v xml:space="preserve">Descarte BV  </v>
      </c>
      <c r="CP9" s="65"/>
      <c r="CQ9" s="53" t="str">
        <f>VLOOKUP(BA9,'PGD11'!C:E,3,0)</f>
        <v>DN-40</v>
      </c>
      <c r="CR9" s="56" t="str">
        <f>VLOOKUP(BA9,'PGD11'!C:G,5,0)</f>
        <v>GEMÜ</v>
      </c>
      <c r="CS9" s="65" t="str">
        <f>VLOOKUP(BA9,'PGD12'!C:E,1,0)</f>
        <v xml:space="preserve">Descarte BV  </v>
      </c>
      <c r="CT9" s="65"/>
      <c r="CU9" s="53" t="str">
        <f>VLOOKUP(BA9,'PGD12'!C:E,3,0)</f>
        <v>DN-40</v>
      </c>
      <c r="CV9" s="53" t="str">
        <f>VLOOKUP(BA9,'PGD12'!C:G,5,0)</f>
        <v>GEMÜ</v>
      </c>
      <c r="CW9" s="56">
        <f t="shared" si="2"/>
        <v>11</v>
      </c>
      <c r="CY9" s="52" t="s">
        <v>66</v>
      </c>
      <c r="CZ9" s="16" t="s">
        <v>51</v>
      </c>
      <c r="DA9" s="81" t="s">
        <v>5</v>
      </c>
      <c r="DB9" s="65" t="str">
        <f>VLOOKUP(CY9,'BLD03'!C:E,1,0)</f>
        <v xml:space="preserve">CIP BV </v>
      </c>
      <c r="DC9" s="53" t="str">
        <f>VLOOKUP(CY9,'BLD03'!C:E,3,0)</f>
        <v>DN-40</v>
      </c>
      <c r="DD9" s="53" t="str">
        <f>VLOOKUP(CY9,'BLD02'!C:G,5,0)</f>
        <v>GEMÜ</v>
      </c>
      <c r="DE9" s="56">
        <f t="shared" si="3"/>
        <v>2</v>
      </c>
    </row>
    <row r="10" spans="2:109" x14ac:dyDescent="0.25">
      <c r="B10" s="14" t="s">
        <v>67</v>
      </c>
      <c r="C10" s="14" t="s">
        <v>174</v>
      </c>
      <c r="D10" s="14" t="s">
        <v>51</v>
      </c>
      <c r="E10" s="14" t="s">
        <v>5</v>
      </c>
      <c r="F10" s="57" t="str">
        <f>VLOOKUP(B10,'FTD02'!C:E,1,0)</f>
        <v xml:space="preserve">CIP BV  fundo </v>
      </c>
      <c r="G10" s="84" t="str">
        <f>VLOOKUP(C10,'FTD02'!A:E,1,0)</f>
        <v>Inferior</v>
      </c>
      <c r="H10" s="53" t="str">
        <f>VLOOKUP(B10,'FTD02'!C:E,3,0)</f>
        <v>DN-40</v>
      </c>
      <c r="I10" s="56" t="str">
        <f>VLOOKUP(B10,'FTD02'!C:G,5,0)</f>
        <v>GEMÜ</v>
      </c>
      <c r="J10" s="57" t="str">
        <f>VLOOKUP(B10,'FTD03'!C:E,1,0)</f>
        <v xml:space="preserve">CIP BV  fundo </v>
      </c>
      <c r="K10" s="85" t="str">
        <f>VLOOKUP(C10,'FTD03'!A:E,1,0)</f>
        <v>Inferior</v>
      </c>
      <c r="L10" s="53" t="str">
        <f>VLOOKUP(B10,'FTD03'!C:E,3,0)</f>
        <v>DN-40</v>
      </c>
      <c r="M10" s="56" t="str">
        <f>VLOOKUP(B10,'FTD03'!C:G,5,0)</f>
        <v>GEMÜ</v>
      </c>
      <c r="N10" s="57" t="str">
        <f>VLOOKUP(B10,'FTD04'!C:E,1,0)</f>
        <v xml:space="preserve">CIP BV  fundo </v>
      </c>
      <c r="O10" s="85" t="str">
        <f>VLOOKUP(C10,'FTD04'!A:E,1,0)</f>
        <v>Inferior</v>
      </c>
      <c r="P10" s="53" t="str">
        <f>VLOOKUP(B10,'FTD04'!C:E,3,0)</f>
        <v>DN-40</v>
      </c>
      <c r="Q10" s="56" t="str">
        <f>VLOOKUP(B10,'FTD04'!C:G,5,0)</f>
        <v>GEMÜ</v>
      </c>
      <c r="R10" s="57" t="str">
        <f>VLOOKUP(B10,'FTD05'!C:E,1,0)</f>
        <v xml:space="preserve">CIP BV  fundo </v>
      </c>
      <c r="S10" s="85" t="str">
        <f>VLOOKUP(C10,'FTD05'!A:E,1,0)</f>
        <v>Inferior</v>
      </c>
      <c r="T10" s="53" t="str">
        <f>VLOOKUP(B10,'FTD05'!C:E,3,0)</f>
        <v>DN-40</v>
      </c>
      <c r="U10" s="56" t="str">
        <f>VLOOKUP(B10,'FTD05'!C:G,5,0)</f>
        <v>GEMÜ</v>
      </c>
      <c r="V10" s="65" t="str">
        <f>VLOOKUP(B10,'FTD06'!C:E,1,0)</f>
        <v xml:space="preserve">CIP BV  fundo </v>
      </c>
      <c r="W10" s="85" t="str">
        <f>VLOOKUP(C10,'FTD06'!A:E,1,0)</f>
        <v>Inferior</v>
      </c>
      <c r="X10" s="53" t="str">
        <f>VLOOKUP(B10,'FTD06'!C:E,3,0)</f>
        <v>DN-40</v>
      </c>
      <c r="Y10" s="74" t="str">
        <f>VLOOKUP(B10,'FTD06'!C:G,5,0)</f>
        <v>GEMÜ</v>
      </c>
      <c r="Z10" s="57" t="str">
        <f>VLOOKUP(B10,'FTD07'!C:E,1,0)</f>
        <v xml:space="preserve">CIP BV  fundo </v>
      </c>
      <c r="AA10" s="85" t="str">
        <f>VLOOKUP(C10,'FTD07'!A:E,1,0)</f>
        <v>Inferior</v>
      </c>
      <c r="AB10" s="53" t="str">
        <f>VLOOKUP(B10,'FTD07'!C:E,3,0)</f>
        <v>DN-40</v>
      </c>
      <c r="AC10" s="56" t="str">
        <f>VLOOKUP(B10,'FTD07'!C:G,5,0)</f>
        <v>GEMÜ</v>
      </c>
      <c r="AD10" s="65" t="str">
        <f>VLOOKUP(B10,'FTD08'!C:E,1,0)</f>
        <v xml:space="preserve">CIP BV  fundo </v>
      </c>
      <c r="AE10" s="85" t="str">
        <f>VLOOKUP(C10,'FTD08'!A:E,1,0)</f>
        <v>Inferior</v>
      </c>
      <c r="AF10" s="53" t="str">
        <f>VLOOKUP(B10,'FTD08'!C:E,3,0)</f>
        <v>DN-40</v>
      </c>
      <c r="AG10" s="74" t="str">
        <f>VLOOKUP(B10,'FTD08'!C:G,5,0)</f>
        <v>GEMÜ</v>
      </c>
      <c r="AH10" s="57" t="str">
        <f>VLOOKUP(B10,'FTD09'!C:E,1,0)</f>
        <v xml:space="preserve">CIP BV  fundo </v>
      </c>
      <c r="AI10" s="85" t="str">
        <f>VLOOKUP(C10,'FTD09'!A:E,1,0)</f>
        <v>Inferior</v>
      </c>
      <c r="AJ10" s="53" t="str">
        <f>VLOOKUP(B10,'FTD09'!C:E,3,0)</f>
        <v>DN-40</v>
      </c>
      <c r="AK10" s="56" t="str">
        <f>VLOOKUP(B10,'FTD09'!C:G,5,0)</f>
        <v>GEMÜ</v>
      </c>
      <c r="AL10" s="65" t="str">
        <f>VLOOKUP(B10,'FTD10'!C:E,1,0)</f>
        <v xml:space="preserve">CIP BV  fundo </v>
      </c>
      <c r="AM10" s="85" t="str">
        <f>VLOOKUP(C10,'FTD10'!A:E,1,0)</f>
        <v>Inferior</v>
      </c>
      <c r="AN10" s="53" t="str">
        <f>VLOOKUP(B10,'FTD10'!C:E,3,0)</f>
        <v>DN-40</v>
      </c>
      <c r="AO10" s="74" t="str">
        <f>VLOOKUP(B10,'FTD10'!C:G,5,0)</f>
        <v>GEMÜ</v>
      </c>
      <c r="AP10" s="57" t="str">
        <f>VLOOKUP(B10,'FTD11'!C:E,1,0)</f>
        <v xml:space="preserve">CIP BV  fundo </v>
      </c>
      <c r="AQ10" s="85" t="str">
        <f>VLOOKUP(C10,'FTD11'!A:E,1,0)</f>
        <v>Inferior</v>
      </c>
      <c r="AR10" s="53" t="str">
        <f>VLOOKUP(B10,'FTD11'!C:E,3,0)</f>
        <v>DN-40</v>
      </c>
      <c r="AS10" s="56" t="str">
        <f>VLOOKUP(B10,'FTD11'!C:G,5,0)</f>
        <v>GEMÜ</v>
      </c>
      <c r="AT10" s="65" t="str">
        <f>VLOOKUP(B10,'FTD12'!C:E,1,0)</f>
        <v xml:space="preserve">CIP BV  fundo </v>
      </c>
      <c r="AU10" s="85" t="str">
        <f>VLOOKUP(C10,'FTD12'!A:E,1,0)</f>
        <v>Inferior</v>
      </c>
      <c r="AV10" s="53" t="str">
        <f>VLOOKUP(B10,'FTD12'!C:E,3,0)</f>
        <v>DN-40</v>
      </c>
      <c r="AW10" s="84" t="str">
        <f>VLOOKUP(B10,'FTD12'!C:G,5,0)</f>
        <v>GEMÜ</v>
      </c>
      <c r="AX10" s="124">
        <f t="shared" si="0"/>
        <v>11</v>
      </c>
      <c r="AY10" s="124">
        <f t="shared" si="1"/>
        <v>11</v>
      </c>
      <c r="BA10" s="14" t="s">
        <v>69</v>
      </c>
      <c r="BB10" s="14" t="s">
        <v>68</v>
      </c>
      <c r="BC10" s="14" t="s">
        <v>51</v>
      </c>
      <c r="BD10" s="68" t="s">
        <v>5</v>
      </c>
      <c r="BE10" s="85" t="str">
        <f>VLOOKUP(BA10,'PGD02'!C:E,1,0)</f>
        <v xml:space="preserve">Bloqueio entrada de ar pré filtro absoluto </v>
      </c>
      <c r="BF10" s="85"/>
      <c r="BG10" s="84" t="str">
        <f>VLOOKUP(BA10,'PGD02'!C:E,3,0)</f>
        <v>DN-40</v>
      </c>
      <c r="BH10" s="86" t="str">
        <f>VLOOKUP(BA10,'PGD02'!C:G,5,0)</f>
        <v>GEMÜ</v>
      </c>
      <c r="BI10" s="83" t="str">
        <f>VLOOKUP(BA10,'PGD03'!C:E,1,0)</f>
        <v xml:space="preserve">Bloqueio entrada de ar pré filtro absoluto </v>
      </c>
      <c r="BJ10" s="85"/>
      <c r="BK10" s="84" t="str">
        <f>VLOOKUP(BA10,'PGD03'!C:E,3,0)</f>
        <v>DN-40</v>
      </c>
      <c r="BL10" s="82" t="str">
        <f>VLOOKUP(BA10,'PGD03'!C:G,5,0)</f>
        <v>GEMÜ</v>
      </c>
      <c r="BM10" s="85" t="str">
        <f>VLOOKUP(BA10,'PGD03'!C:E,1,0)</f>
        <v xml:space="preserve">Bloqueio entrada de ar pré filtro absoluto </v>
      </c>
      <c r="BN10" s="85"/>
      <c r="BO10" s="84" t="str">
        <f>VLOOKUP(BA10,'PGD04'!C:E,3,0)</f>
        <v>DN-40</v>
      </c>
      <c r="BP10" s="86" t="str">
        <f>VLOOKUP(BA10,'PGD04'!C:G,5,0)</f>
        <v>GEMÜ</v>
      </c>
      <c r="BQ10" s="83" t="str">
        <f>VLOOKUP(BA10,'PGD05'!C:E,1,0)</f>
        <v xml:space="preserve">Bloqueio entrada de ar pré filtro absoluto </v>
      </c>
      <c r="BR10" s="85"/>
      <c r="BS10" s="84" t="str">
        <f>VLOOKUP(BA10,'PGD05'!C:E,3,0)</f>
        <v>DN-40</v>
      </c>
      <c r="BT10" s="82" t="str">
        <f>VLOOKUP(BA10,'PGD05'!C:G,5,0)</f>
        <v>GEMÜ</v>
      </c>
      <c r="BU10" s="85" t="str">
        <f>VLOOKUP(BA10,'PGD06'!C:E,1,0)</f>
        <v xml:space="preserve">Bloqueio entrada de ar pré filtro absoluto </v>
      </c>
      <c r="BV10" s="85"/>
      <c r="BW10" s="84" t="str">
        <f>VLOOKUP(BA10,'PGD06'!C:E,3,0)</f>
        <v>DN-40</v>
      </c>
      <c r="BX10" s="86" t="str">
        <f>VLOOKUP(BA10,'PGD06'!C:G,5,0)</f>
        <v>GEMÜ</v>
      </c>
      <c r="BY10" s="83" t="str">
        <f>VLOOKUP(BA10,'PGD07'!C:E,1,0)</f>
        <v xml:space="preserve">Bloqueio entrada de ar pré filtro absoluto </v>
      </c>
      <c r="BZ10" s="85"/>
      <c r="CA10" s="84" t="str">
        <f>VLOOKUP(BA10,'PGD07'!C:E,3,0)</f>
        <v>DN-40</v>
      </c>
      <c r="CB10" s="82" t="str">
        <f>VLOOKUP(BA10,'PGD07'!C:G,5,0)</f>
        <v>GEMÜ</v>
      </c>
      <c r="CC10" s="85" t="str">
        <f>VLOOKUP(BA10,'PGD08'!C:E,1,0)</f>
        <v xml:space="preserve">Bloqueio entrada de ar pré filtro absoluto </v>
      </c>
      <c r="CD10" s="85"/>
      <c r="CE10" s="84" t="str">
        <f>VLOOKUP(BA10,'PGD08'!C:E,3,0)</f>
        <v>DN-40</v>
      </c>
      <c r="CF10" s="86" t="str">
        <f>VLOOKUP(BA10,'PGD08'!C:G,5,0)</f>
        <v>GEMÜ</v>
      </c>
      <c r="CG10" s="83" t="str">
        <f>VLOOKUP(BA10,'PGD09'!C:E,1,0)</f>
        <v xml:space="preserve">Bloqueio entrada de ar pré filtro absoluto </v>
      </c>
      <c r="CH10" s="85"/>
      <c r="CI10" s="84" t="str">
        <f>VLOOKUP(BA10,'PGD09'!C:E,3,0)</f>
        <v>DN-40</v>
      </c>
      <c r="CJ10" s="82" t="str">
        <f>VLOOKUP(BA10,'PGD09'!C:G,5,0)</f>
        <v>GEMÜ</v>
      </c>
      <c r="CK10" s="85" t="str">
        <f>VLOOKUP(BA10,'PGD10'!C:E,1,0)</f>
        <v xml:space="preserve">Bloqueio entrada de ar pré filtro absoluto </v>
      </c>
      <c r="CL10" s="85"/>
      <c r="CM10" s="84" t="str">
        <f>VLOOKUP(BA10,'PGD10'!C:E,3,0)</f>
        <v>DN-40</v>
      </c>
      <c r="CN10" s="86" t="str">
        <f>VLOOKUP(BA10,'PGD10'!C:G,5,0)</f>
        <v>GEMÜ</v>
      </c>
      <c r="CO10" s="83" t="str">
        <f>VLOOKUP(BA10,'PGD11'!C:E,1,0)</f>
        <v xml:space="preserve">Bloqueio entrada de ar pré filtro absoluto </v>
      </c>
      <c r="CP10" s="85"/>
      <c r="CQ10" s="84" t="str">
        <f>VLOOKUP(BA10,'PGD11'!C:E,3,0)</f>
        <v>DN-40</v>
      </c>
      <c r="CR10" s="82" t="str">
        <f>VLOOKUP(BA10,'PGD11'!C:G,5,0)</f>
        <v>GEMÜ</v>
      </c>
      <c r="CS10" s="85" t="str">
        <f>VLOOKUP(BA10,'PGD12'!C:E,1,0)</f>
        <v xml:space="preserve">Bloqueio entrada de ar pré filtro absoluto </v>
      </c>
      <c r="CT10" s="85"/>
      <c r="CU10" s="84" t="str">
        <f>VLOOKUP(BA10,'PGD12'!C:E,3,0)</f>
        <v>DN-40</v>
      </c>
      <c r="CV10" s="84" t="str">
        <f>VLOOKUP(BA10,'PGD12'!C:G,5,0)</f>
        <v>GEMÜ</v>
      </c>
      <c r="CW10" s="82">
        <f t="shared" si="2"/>
        <v>11</v>
      </c>
      <c r="CY10" s="51" t="s">
        <v>70</v>
      </c>
      <c r="CZ10" s="6" t="s">
        <v>51</v>
      </c>
      <c r="DA10" s="80" t="s">
        <v>5</v>
      </c>
      <c r="DB10" s="85" t="str">
        <f>VLOOKUP(CY10,'BLD03'!C:E,1,0)</f>
        <v xml:space="preserve">Descarte BV </v>
      </c>
      <c r="DC10" s="84" t="str">
        <f>VLOOKUP(CY10,'BLD03'!C:E,3,0)</f>
        <v>DN-40</v>
      </c>
      <c r="DD10" s="84" t="str">
        <f>VLOOKUP(CY10,'BLD02'!C:G,5,0)</f>
        <v>GEMÜ</v>
      </c>
      <c r="DE10" s="82">
        <f t="shared" si="3"/>
        <v>2</v>
      </c>
    </row>
    <row r="11" spans="2:109" x14ac:dyDescent="0.25">
      <c r="B11" s="7" t="s">
        <v>71</v>
      </c>
      <c r="C11" s="7" t="s">
        <v>174</v>
      </c>
      <c r="D11" s="7" t="s">
        <v>51</v>
      </c>
      <c r="E11" s="7" t="s">
        <v>5</v>
      </c>
      <c r="F11" s="83" t="str">
        <f>VLOOKUP(B11,'FTD02'!C:E,1,0)</f>
        <v>Descarte  BV  fundo</v>
      </c>
      <c r="G11" s="122" t="str">
        <f>VLOOKUP(C11,'FTD02'!A:E,1,0)</f>
        <v>Inferior</v>
      </c>
      <c r="H11" s="84" t="str">
        <f>VLOOKUP(B11,'FTD02'!C:E,3,0)</f>
        <v>DN-40</v>
      </c>
      <c r="I11" s="82" t="str">
        <f>VLOOKUP(B11,'FTD02'!C:G,5,0)</f>
        <v>GEMÜ</v>
      </c>
      <c r="J11" s="83" t="str">
        <f>VLOOKUP(B11,'FTD03'!C:E,1,0)</f>
        <v>Descarte  BV  fundo</v>
      </c>
      <c r="K11" s="85" t="str">
        <f>VLOOKUP(C11,'FTD03'!A:E,1,0)</f>
        <v>Inferior</v>
      </c>
      <c r="L11" s="84" t="str">
        <f>VLOOKUP(B11,'FTD03'!C:E,3,0)</f>
        <v>DN-40</v>
      </c>
      <c r="M11" s="82" t="str">
        <f>VLOOKUP(B11,'FTD03'!C:G,5,0)</f>
        <v>GEMÜ</v>
      </c>
      <c r="N11" s="83" t="str">
        <f>VLOOKUP(B11,'FTD04'!C:E,1,0)</f>
        <v>Descarte  BV  fundo</v>
      </c>
      <c r="O11" s="85" t="str">
        <f>VLOOKUP(C11,'FTD04'!A:E,1,0)</f>
        <v>Inferior</v>
      </c>
      <c r="P11" s="84" t="str">
        <f>VLOOKUP(B11,'FTD04'!C:E,3,0)</f>
        <v>DN-40</v>
      </c>
      <c r="Q11" s="82" t="str">
        <f>VLOOKUP(B11,'FTD04'!C:G,5,0)</f>
        <v>GEMÜ</v>
      </c>
      <c r="R11" s="83" t="str">
        <f>VLOOKUP(B11,'FTD05'!C:E,1,0)</f>
        <v>Descarte  BV  fundo</v>
      </c>
      <c r="S11" s="85" t="str">
        <f>VLOOKUP(C11,'FTD05'!A:E,1,0)</f>
        <v>Inferior</v>
      </c>
      <c r="T11" s="84" t="str">
        <f>VLOOKUP(B11,'FTD05'!C:E,3,0)</f>
        <v>DN-40</v>
      </c>
      <c r="U11" s="82" t="str">
        <f>VLOOKUP(B11,'FTD05'!C:G,5,0)</f>
        <v>GEMÜ</v>
      </c>
      <c r="V11" s="85" t="str">
        <f>VLOOKUP(B11,'FTD06'!C:E,1,0)</f>
        <v>Descarte  BV  fundo</v>
      </c>
      <c r="W11" s="85" t="str">
        <f>VLOOKUP(C11,'FTD06'!A:E,1,0)</f>
        <v>Inferior</v>
      </c>
      <c r="X11" s="84" t="str">
        <f>VLOOKUP(B11,'FTD06'!C:E,3,0)</f>
        <v>DN-40</v>
      </c>
      <c r="Y11" s="86" t="str">
        <f>VLOOKUP(B11,'FTD06'!C:G,5,0)</f>
        <v>GEMÜ</v>
      </c>
      <c r="Z11" s="83" t="str">
        <f>VLOOKUP(B11,'FTD07'!C:E,1,0)</f>
        <v>Descarte  BV  fundo</v>
      </c>
      <c r="AA11" s="85" t="str">
        <f>VLOOKUP(C11,'FTD07'!A:E,1,0)</f>
        <v>Inferior</v>
      </c>
      <c r="AB11" s="84" t="str">
        <f>VLOOKUP(B11,'FTD07'!C:E,3,0)</f>
        <v>DN-40</v>
      </c>
      <c r="AC11" s="82" t="str">
        <f>VLOOKUP(B11,'FTD07'!C:G,5,0)</f>
        <v>GEMÜ</v>
      </c>
      <c r="AD11" s="85" t="str">
        <f>VLOOKUP(B11,'FTD08'!C:E,1,0)</f>
        <v>Descarte  BV  fundo</v>
      </c>
      <c r="AE11" s="85" t="str">
        <f>VLOOKUP(C11,'FTD08'!A:E,1,0)</f>
        <v>Inferior</v>
      </c>
      <c r="AF11" s="84" t="str">
        <f>VLOOKUP(B11,'FTD08'!C:E,3,0)</f>
        <v>DN-40</v>
      </c>
      <c r="AG11" s="86" t="str">
        <f>VLOOKUP(B11,'FTD08'!C:G,5,0)</f>
        <v>GEMÜ</v>
      </c>
      <c r="AH11" s="83" t="str">
        <f>VLOOKUP(B11,'FTD09'!C:E,1,0)</f>
        <v>Descarte  BV  fundo</v>
      </c>
      <c r="AI11" s="85" t="str">
        <f>VLOOKUP(C11,'FTD09'!A:E,1,0)</f>
        <v>Inferior</v>
      </c>
      <c r="AJ11" s="84" t="str">
        <f>VLOOKUP(B11,'FTD09'!C:E,3,0)</f>
        <v>DN-40</v>
      </c>
      <c r="AK11" s="82" t="str">
        <f>VLOOKUP(B11,'FTD09'!C:G,5,0)</f>
        <v>GEMÜ</v>
      </c>
      <c r="AL11" s="85" t="str">
        <f>VLOOKUP(B11,'FTD10'!C:E,1,0)</f>
        <v>Descarte  BV  fundo</v>
      </c>
      <c r="AM11" s="85" t="str">
        <f>VLOOKUP(C11,'FTD10'!A:E,1,0)</f>
        <v>Inferior</v>
      </c>
      <c r="AN11" s="84" t="str">
        <f>VLOOKUP(B11,'FTD10'!C:E,3,0)</f>
        <v>DN-40</v>
      </c>
      <c r="AO11" s="86" t="str">
        <f>VLOOKUP(B11,'FTD10'!C:G,5,0)</f>
        <v>GEMÜ</v>
      </c>
      <c r="AP11" s="83" t="str">
        <f>VLOOKUP(B11,'FTD11'!C:E,1,0)</f>
        <v>Descarte  BV  fundo</v>
      </c>
      <c r="AQ11" s="85" t="str">
        <f>VLOOKUP(C11,'FTD11'!A:E,1,0)</f>
        <v>Inferior</v>
      </c>
      <c r="AR11" s="84" t="str">
        <f>VLOOKUP(B11,'FTD11'!C:E,3,0)</f>
        <v>DN-40</v>
      </c>
      <c r="AS11" s="82" t="str">
        <f>VLOOKUP(B11,'FTD11'!C:G,5,0)</f>
        <v>GEMÜ</v>
      </c>
      <c r="AT11" s="85" t="str">
        <f>VLOOKUP(B11,'FTD12'!C:E,1,0)</f>
        <v>Descarte  BV  fundo</v>
      </c>
      <c r="AU11" s="85" t="str">
        <f>VLOOKUP(C11,'FTD12'!A:E,1,0)</f>
        <v>Inferior</v>
      </c>
      <c r="AV11" s="84" t="str">
        <f>VLOOKUP(B11,'FTD12'!C:E,3,0)</f>
        <v>DN-40</v>
      </c>
      <c r="AW11" s="53" t="str">
        <f>VLOOKUP(B11,'FTD12'!C:G,5,0)</f>
        <v>GEMÜ</v>
      </c>
      <c r="AX11" s="124">
        <f t="shared" si="0"/>
        <v>11</v>
      </c>
      <c r="AY11" s="124">
        <f t="shared" si="1"/>
        <v>11</v>
      </c>
      <c r="BA11" s="16" t="s">
        <v>72</v>
      </c>
      <c r="BB11" s="16" t="s">
        <v>49</v>
      </c>
      <c r="BC11" s="16" t="s">
        <v>51</v>
      </c>
      <c r="BD11" s="78" t="s">
        <v>5</v>
      </c>
      <c r="BE11" s="65" t="str">
        <f>VLOOKUP(BA11,'PGD02'!C:E,1,0)</f>
        <v xml:space="preserve">Válvula injetora de vapor </v>
      </c>
      <c r="BF11" s="65"/>
      <c r="BG11" s="53" t="str">
        <f>VLOOKUP(BA11,'PGD02'!C:E,3,0)</f>
        <v>DN-40</v>
      </c>
      <c r="BH11" s="74" t="str">
        <f>VLOOKUP(BA11,'PGD02'!C:G,5,0)</f>
        <v>GEMÜ</v>
      </c>
      <c r="BI11" s="57" t="str">
        <f>VLOOKUP(BA11,'PGD03'!C:E,1,0)</f>
        <v xml:space="preserve">Válvula injetora de vapor </v>
      </c>
      <c r="BJ11" s="65"/>
      <c r="BK11" s="53" t="str">
        <f>VLOOKUP(BA11,'PGD03'!C:E,3,0)</f>
        <v>DN-40</v>
      </c>
      <c r="BL11" s="56" t="str">
        <f>VLOOKUP(BA11,'PGD03'!C:G,5,0)</f>
        <v>GEMÜ</v>
      </c>
      <c r="BM11" s="65" t="str">
        <f>VLOOKUP(BA11,'PGD03'!C:E,1,0)</f>
        <v xml:space="preserve">Válvula injetora de vapor </v>
      </c>
      <c r="BN11" s="65"/>
      <c r="BO11" s="53" t="str">
        <f>VLOOKUP(BA11,'PGD04'!C:E,3,0)</f>
        <v>DN-40</v>
      </c>
      <c r="BP11" s="74" t="str">
        <f>VLOOKUP(BA11,'PGD04'!C:G,5,0)</f>
        <v>GEMÜ</v>
      </c>
      <c r="BQ11" s="57" t="str">
        <f>VLOOKUP(BA11,'PGD05'!C:E,1,0)</f>
        <v xml:space="preserve">Válvula injetora de vapor </v>
      </c>
      <c r="BR11" s="65"/>
      <c r="BS11" s="53" t="str">
        <f>VLOOKUP(BA11,'PGD05'!C:E,3,0)</f>
        <v>DN-40</v>
      </c>
      <c r="BT11" s="56" t="str">
        <f>VLOOKUP(BA11,'PGD05'!C:G,5,0)</f>
        <v>GEMÜ</v>
      </c>
      <c r="BU11" s="65" t="str">
        <f>VLOOKUP(BA11,'PGD06'!C:E,1,0)</f>
        <v xml:space="preserve">Válvula injetora de vapor </v>
      </c>
      <c r="BV11" s="65"/>
      <c r="BW11" s="53" t="str">
        <f>VLOOKUP(BA11,'PGD06'!C:E,3,0)</f>
        <v>DN-40</v>
      </c>
      <c r="BX11" s="74" t="str">
        <f>VLOOKUP(BA11,'PGD06'!C:G,5,0)</f>
        <v>GEMÜ</v>
      </c>
      <c r="BY11" s="57" t="str">
        <f>VLOOKUP(BA11,'PGD07'!C:E,1,0)</f>
        <v xml:space="preserve">Válvula injetora de vapor </v>
      </c>
      <c r="BZ11" s="65"/>
      <c r="CA11" s="53" t="str">
        <f>VLOOKUP(BA11,'PGD07'!C:E,3,0)</f>
        <v>DN-40</v>
      </c>
      <c r="CB11" s="56" t="str">
        <f>VLOOKUP(BA11,'PGD07'!C:G,5,0)</f>
        <v>GEMÜ</v>
      </c>
      <c r="CC11" s="65" t="str">
        <f>VLOOKUP(BA11,'PGD08'!C:E,1,0)</f>
        <v xml:space="preserve">Válvula injetora de vapor </v>
      </c>
      <c r="CD11" s="65"/>
      <c r="CE11" s="53" t="str">
        <f>VLOOKUP(BA11,'PGD08'!C:E,3,0)</f>
        <v>DN-40</v>
      </c>
      <c r="CF11" s="74" t="str">
        <f>VLOOKUP(BA11,'PGD08'!C:G,5,0)</f>
        <v>GEMÜ</v>
      </c>
      <c r="CG11" s="57" t="str">
        <f>VLOOKUP(BA11,'PGD09'!C:E,1,0)</f>
        <v xml:space="preserve">Válvula injetora de vapor </v>
      </c>
      <c r="CH11" s="65"/>
      <c r="CI11" s="53" t="str">
        <f>VLOOKUP(BA11,'PGD09'!C:E,3,0)</f>
        <v>DN-40</v>
      </c>
      <c r="CJ11" s="56" t="str">
        <f>VLOOKUP(BA11,'PGD09'!C:G,5,0)</f>
        <v>GEMÜ</v>
      </c>
      <c r="CK11" s="65" t="str">
        <f>VLOOKUP(BA11,'PGD10'!C:E,1,0)</f>
        <v xml:space="preserve">Válvula injetora de vapor </v>
      </c>
      <c r="CL11" s="65"/>
      <c r="CM11" s="53" t="str">
        <f>VLOOKUP(BA11,'PGD10'!C:E,3,0)</f>
        <v>DN-40</v>
      </c>
      <c r="CN11" s="74" t="str">
        <f>VLOOKUP(BA11,'PGD10'!C:G,5,0)</f>
        <v>GEMÜ</v>
      </c>
      <c r="CO11" s="57" t="str">
        <f>VLOOKUP(BA11,'PGD11'!C:E,1,0)</f>
        <v xml:space="preserve">Válvula injetora de vapor </v>
      </c>
      <c r="CP11" s="65"/>
      <c r="CQ11" s="53" t="str">
        <f>VLOOKUP(BA11,'PGD11'!C:E,3,0)</f>
        <v>DN-40</v>
      </c>
      <c r="CR11" s="56" t="str">
        <f>VLOOKUP(BA11,'PGD11'!C:G,5,0)</f>
        <v>GEMÜ</v>
      </c>
      <c r="CS11" s="65" t="str">
        <f>VLOOKUP(BA11,'PGD12'!C:E,1,0)</f>
        <v xml:space="preserve">Válvula injetora de vapor </v>
      </c>
      <c r="CT11" s="65"/>
      <c r="CU11" s="53" t="str">
        <f>VLOOKUP(BA11,'PGD12'!C:E,3,0)</f>
        <v>DN-40</v>
      </c>
      <c r="CV11" s="53" t="str">
        <f>VLOOKUP(BA11,'PGD12'!C:G,5,0)</f>
        <v>GEMÜ</v>
      </c>
      <c r="CW11" s="56">
        <f t="shared" si="2"/>
        <v>11</v>
      </c>
      <c r="CY11" s="52" t="s">
        <v>74</v>
      </c>
      <c r="CZ11" s="16" t="s">
        <v>48</v>
      </c>
      <c r="DA11" s="81" t="s">
        <v>6</v>
      </c>
      <c r="DB11" s="65" t="str">
        <f>VLOOKUP(CY11,'BLD03'!C:E,1,0)</f>
        <v>bloco 2 vias fundo - vapor</v>
      </c>
      <c r="DC11" s="53" t="str">
        <f>VLOOKUP(CY11,'BLD03'!C:E,3,0)</f>
        <v>DN-8</v>
      </c>
      <c r="DD11" s="53" t="str">
        <f>VLOOKUP(CY11,'BLD02'!C:G,5,0)</f>
        <v>ZDL</v>
      </c>
      <c r="DE11" s="56">
        <f t="shared" si="3"/>
        <v>2</v>
      </c>
    </row>
    <row r="12" spans="2:109" x14ac:dyDescent="0.25">
      <c r="B12" s="107" t="s">
        <v>175</v>
      </c>
      <c r="C12" s="107" t="s">
        <v>174</v>
      </c>
      <c r="D12" s="107" t="s">
        <v>76</v>
      </c>
      <c r="E12" s="107" t="s">
        <v>5</v>
      </c>
      <c r="F12" s="128" t="str">
        <f>VLOOKUP(B12,'FTD02'!C:E,1,0)</f>
        <v>Entrada de ar no tanque pós filtro absoluto</v>
      </c>
      <c r="G12" s="54" t="str">
        <f>VLOOKUP(C12,'FTD02'!A:E,1,0)</f>
        <v>Inferior</v>
      </c>
      <c r="H12" s="54" t="str">
        <f>VLOOKUP(B12,'FTD02'!C:E,3,0)</f>
        <v>DN-80</v>
      </c>
      <c r="I12" s="72" t="str">
        <f>VLOOKUP(B12,'FTD02'!C:G,5,0)</f>
        <v>GEMÜ</v>
      </c>
      <c r="J12" s="128" t="str">
        <f>VLOOKUP(B12,'FTD03'!C:E,1,0)</f>
        <v>Entrada de ar no tanque pós filtro absoluto</v>
      </c>
      <c r="K12" s="110" t="str">
        <f>VLOOKUP(C12,'FTD03'!A:E,1,0)</f>
        <v>Inferior</v>
      </c>
      <c r="L12" s="54" t="str">
        <f>VLOOKUP(B12,'FTD03'!C:E,3,0)</f>
        <v>DN-80</v>
      </c>
      <c r="M12" s="72" t="str">
        <f>VLOOKUP(B12,'FTD03'!C:G,5,0)</f>
        <v>GEMÜ</v>
      </c>
      <c r="N12" s="128" t="str">
        <f>VLOOKUP(B12,'FTD04'!C:E,1,0)</f>
        <v>Entrada de ar no tanque pós filtro absoluto</v>
      </c>
      <c r="O12" s="110" t="str">
        <f>VLOOKUP(C12,'FTD04'!A:E,1,0)</f>
        <v>Inferior</v>
      </c>
      <c r="P12" s="54" t="str">
        <f>VLOOKUP(B12,'FTD04'!C:E,3,0)</f>
        <v>DN-80</v>
      </c>
      <c r="Q12" s="72" t="str">
        <f>VLOOKUP(B12,'FTD04'!C:G,5,0)</f>
        <v>GEMÜ</v>
      </c>
      <c r="R12" s="128" t="str">
        <f>VLOOKUP(B12,'FTD05'!C:E,1,0)</f>
        <v>Entrada de ar no tanque pós filtro absoluto</v>
      </c>
      <c r="S12" s="110" t="str">
        <f>VLOOKUP(C12,'FTD05'!A:E,1,0)</f>
        <v>Inferior</v>
      </c>
      <c r="T12" s="54" t="str">
        <f>VLOOKUP(B12,'FTD05'!C:E,3,0)</f>
        <v>DN-80</v>
      </c>
      <c r="U12" s="72" t="str">
        <f>VLOOKUP(B12,'FTD05'!C:G,5,0)</f>
        <v>GEMÜ</v>
      </c>
      <c r="V12" s="110" t="str">
        <f>VLOOKUP(B12,'FTD06'!C:E,1,0)</f>
        <v>Entrada de ar no tanque pós filtro absoluto</v>
      </c>
      <c r="W12" s="110" t="str">
        <f>VLOOKUP(C12,'FTD06'!A:E,1,0)</f>
        <v>Inferior</v>
      </c>
      <c r="X12" s="54" t="str">
        <f>VLOOKUP(B12,'FTD06'!C:E,3,0)</f>
        <v>DN-80</v>
      </c>
      <c r="Y12" s="75" t="str">
        <f>VLOOKUP(B12,'FTD06'!C:G,5,0)</f>
        <v>GEMÜ</v>
      </c>
      <c r="Z12" s="128" t="str">
        <f>VLOOKUP(B12,'FTD07'!C:E,1,0)</f>
        <v>Entrada de ar no tanque pós filtro absoluto</v>
      </c>
      <c r="AA12" s="110" t="str">
        <f>VLOOKUP(C12,'FTD07'!A:E,1,0)</f>
        <v>Inferior</v>
      </c>
      <c r="AB12" s="54" t="str">
        <f>VLOOKUP(B12,'FTD07'!C:E,3,0)</f>
        <v>DN-80</v>
      </c>
      <c r="AC12" s="72" t="str">
        <f>VLOOKUP(B12,'FTD07'!C:G,5,0)</f>
        <v>GEMÜ</v>
      </c>
      <c r="AD12" s="110" t="str">
        <f>VLOOKUP(B12,'FTD08'!C:E,1,0)</f>
        <v>Entrada de ar no tanque pós filtro absoluto</v>
      </c>
      <c r="AE12" s="110" t="str">
        <f>VLOOKUP(C12,'FTD08'!A:E,1,0)</f>
        <v>Inferior</v>
      </c>
      <c r="AF12" s="54" t="str">
        <f>VLOOKUP(B12,'FTD08'!C:E,3,0)</f>
        <v>DN-80</v>
      </c>
      <c r="AG12" s="75" t="str">
        <f>VLOOKUP(B12,'FTD08'!C:G,5,0)</f>
        <v>GEMÜ</v>
      </c>
      <c r="AH12" s="128" t="str">
        <f>VLOOKUP(B12,'FTD09'!C:E,1,0)</f>
        <v>Entrada de ar no tanque pós filtro absoluto</v>
      </c>
      <c r="AI12" s="110" t="str">
        <f>VLOOKUP(C12,'FTD09'!A:E,1,0)</f>
        <v>Inferior</v>
      </c>
      <c r="AJ12" s="54" t="str">
        <f>VLOOKUP(B12,'FTD09'!C:E,3,0)</f>
        <v>DN-80</v>
      </c>
      <c r="AK12" s="72" t="str">
        <f>VLOOKUP(B12,'FTD09'!C:G,5,0)</f>
        <v>GEMÜ</v>
      </c>
      <c r="AL12" s="110" t="str">
        <f>VLOOKUP(B12,'FTD10'!C:E,1,0)</f>
        <v>Entrada de ar no tanque pós filtro absoluto</v>
      </c>
      <c r="AM12" s="110" t="str">
        <f>VLOOKUP(C12,'FTD10'!A:E,1,0)</f>
        <v>Inferior</v>
      </c>
      <c r="AN12" s="54" t="str">
        <f>VLOOKUP(B12,'FTD10'!C:E,3,0)</f>
        <v>DN-80</v>
      </c>
      <c r="AO12" s="75" t="str">
        <f>VLOOKUP(B12,'FTD10'!C:G,5,0)</f>
        <v>GEMÜ</v>
      </c>
      <c r="AP12" s="128" t="str">
        <f>VLOOKUP(B12,'FTD11'!C:E,1,0)</f>
        <v>Entrada de ar no tanque pós filtro absoluto</v>
      </c>
      <c r="AQ12" s="110" t="str">
        <f>VLOOKUP(C12,'FTD11'!A:E,1,0)</f>
        <v>Inferior</v>
      </c>
      <c r="AR12" s="54" t="str">
        <f>VLOOKUP(B12,'FTD11'!C:E,3,0)</f>
        <v>DN-80</v>
      </c>
      <c r="AS12" s="72" t="str">
        <f>VLOOKUP(B12,'FTD11'!C:G,5,0)</f>
        <v>GEMÜ</v>
      </c>
      <c r="AT12" s="110" t="str">
        <f>VLOOKUP(B12,'FTD12'!C:E,1,0)</f>
        <v>Entrada de ar no tanque pós filtro absoluto</v>
      </c>
      <c r="AU12" s="110" t="str">
        <f>VLOOKUP(C12,'FTD12'!A:E,1,0)</f>
        <v>Inferior</v>
      </c>
      <c r="AV12" s="54" t="str">
        <f>VLOOKUP(B12,'FTD12'!C:E,3,0)</f>
        <v>DN-80</v>
      </c>
      <c r="AW12" s="54" t="str">
        <f>VLOOKUP(B12,'FTD12'!C:G,5,0)</f>
        <v>GEMÜ</v>
      </c>
      <c r="AX12" s="72">
        <f t="shared" si="0"/>
        <v>11</v>
      </c>
      <c r="AY12" s="72">
        <f t="shared" si="1"/>
        <v>11</v>
      </c>
      <c r="BA12" s="14" t="s">
        <v>77</v>
      </c>
      <c r="BB12" s="14" t="s">
        <v>49</v>
      </c>
      <c r="BC12" s="14" t="s">
        <v>48</v>
      </c>
      <c r="BD12" s="68" t="s">
        <v>6</v>
      </c>
      <c r="BE12" s="85" t="str">
        <f>VLOOKUP(BA12,'PGD02'!C:E,1,0)</f>
        <v>Linha vapor fundo esterilização</v>
      </c>
      <c r="BF12" s="85"/>
      <c r="BG12" s="84" t="str">
        <f>VLOOKUP(BA12,'PGD02'!C:E,3,0)</f>
        <v>DN-8</v>
      </c>
      <c r="BH12" s="86" t="str">
        <f>VLOOKUP(BA12,'PGD02'!C:G,5,0)</f>
        <v>GEMÜ</v>
      </c>
      <c r="BI12" s="83" t="str">
        <f>VLOOKUP(BA12,'PGD03'!C:E,1,0)</f>
        <v>Linha vapor fundo esterilização</v>
      </c>
      <c r="BJ12" s="85"/>
      <c r="BK12" s="84" t="str">
        <f>VLOOKUP(BA12,'PGD03'!C:E,3,0)</f>
        <v>DN-8</v>
      </c>
      <c r="BL12" s="82" t="str">
        <f>VLOOKUP(BA12,'PGD03'!C:G,5,0)</f>
        <v>ZDL</v>
      </c>
      <c r="BM12" s="85" t="str">
        <f>VLOOKUP(BA12,'PGD03'!C:E,1,0)</f>
        <v>Linha vapor fundo esterilização</v>
      </c>
      <c r="BN12" s="85"/>
      <c r="BO12" s="84" t="str">
        <f>VLOOKUP(BA12,'PGD04'!C:E,3,0)</f>
        <v>DN-8</v>
      </c>
      <c r="BP12" s="86" t="str">
        <f>VLOOKUP(BA12,'PGD04'!C:G,5,0)</f>
        <v>ZDL</v>
      </c>
      <c r="BQ12" s="83" t="str">
        <f>VLOOKUP(BA12,'PGD05'!C:E,1,0)</f>
        <v>Linha vapor fundo esterilização</v>
      </c>
      <c r="BR12" s="85"/>
      <c r="BS12" s="84" t="str">
        <f>VLOOKUP(BA12,'PGD05'!C:E,3,0)</f>
        <v>DN-8</v>
      </c>
      <c r="BT12" s="82" t="str">
        <f>VLOOKUP(BA12,'PGD05'!C:G,5,0)</f>
        <v>ZDL</v>
      </c>
      <c r="BU12" s="85" t="str">
        <f>VLOOKUP(BA12,'PGD06'!C:E,1,0)</f>
        <v>Linha vapor fundo esterilização</v>
      </c>
      <c r="BV12" s="85"/>
      <c r="BW12" s="84" t="str">
        <f>VLOOKUP(BA12,'PGD06'!C:E,3,0)</f>
        <v>DN-8</v>
      </c>
      <c r="BX12" s="86" t="str">
        <f>VLOOKUP(BA12,'PGD06'!C:G,5,0)</f>
        <v>ZDL</v>
      </c>
      <c r="BY12" s="83" t="str">
        <f>VLOOKUP(BA12,'PGD07'!C:E,1,0)</f>
        <v>Linha vapor fundo esterilização</v>
      </c>
      <c r="BZ12" s="85"/>
      <c r="CA12" s="84" t="str">
        <f>VLOOKUP(BA12,'PGD07'!C:E,3,0)</f>
        <v>DN-8</v>
      </c>
      <c r="CB12" s="82" t="str">
        <f>VLOOKUP(BA12,'PGD07'!C:G,5,0)</f>
        <v>ZDL</v>
      </c>
      <c r="CC12" s="85" t="str">
        <f>VLOOKUP(BA12,'PGD08'!C:E,1,0)</f>
        <v>Linha vapor fundo esterilização</v>
      </c>
      <c r="CD12" s="85"/>
      <c r="CE12" s="84" t="str">
        <f>VLOOKUP(BA12,'PGD08'!C:E,3,0)</f>
        <v>DN-8</v>
      </c>
      <c r="CF12" s="86" t="str">
        <f>VLOOKUP(BA12,'PGD08'!C:G,5,0)</f>
        <v>ZDL</v>
      </c>
      <c r="CG12" s="83" t="str">
        <f>VLOOKUP(BA12,'PGD09'!C:E,1,0)</f>
        <v>Linha vapor fundo esterilização</v>
      </c>
      <c r="CH12" s="85"/>
      <c r="CI12" s="84" t="str">
        <f>VLOOKUP(BA12,'PGD09'!C:E,3,0)</f>
        <v>DN-8</v>
      </c>
      <c r="CJ12" s="82" t="str">
        <f>VLOOKUP(BA12,'PGD09'!C:G,5,0)</f>
        <v>ZDL</v>
      </c>
      <c r="CK12" s="85" t="str">
        <f>VLOOKUP(BA12,'PGD10'!C:E,1,0)</f>
        <v>Linha vapor fundo esterilização</v>
      </c>
      <c r="CL12" s="85"/>
      <c r="CM12" s="84" t="str">
        <f>VLOOKUP(BA12,'PGD10'!C:E,3,0)</f>
        <v>DN-8</v>
      </c>
      <c r="CN12" s="86" t="str">
        <f>VLOOKUP(BA12,'PGD10'!C:G,5,0)</f>
        <v>ZDL</v>
      </c>
      <c r="CO12" s="83" t="str">
        <f>VLOOKUP(BA12,'PGD11'!C:E,1,0)</f>
        <v>Linha vapor fundo esterilização</v>
      </c>
      <c r="CP12" s="85"/>
      <c r="CQ12" s="84" t="str">
        <f>VLOOKUP(BA12,'PGD11'!C:E,3,0)</f>
        <v>DN-8</v>
      </c>
      <c r="CR12" s="82" t="str">
        <f>VLOOKUP(BA12,'PGD11'!C:G,5,0)</f>
        <v>ZDL</v>
      </c>
      <c r="CS12" s="85" t="str">
        <f>VLOOKUP(BA12,'PGD12'!C:E,1,0)</f>
        <v>Linha vapor fundo esterilização</v>
      </c>
      <c r="CT12" s="85"/>
      <c r="CU12" s="84" t="str">
        <f>VLOOKUP(BA12,'PGD12'!C:E,3,0)</f>
        <v>DN-8</v>
      </c>
      <c r="CV12" s="84" t="str">
        <f>VLOOKUP(BA12,'PGD12'!C:G,5,0)</f>
        <v>GEMÜ</v>
      </c>
      <c r="CW12" s="82">
        <f t="shared" si="2"/>
        <v>11</v>
      </c>
      <c r="CY12" s="51" t="s">
        <v>79</v>
      </c>
      <c r="CZ12" s="6" t="s">
        <v>80</v>
      </c>
      <c r="DA12" s="80" t="s">
        <v>5</v>
      </c>
      <c r="DB12" s="85" t="str">
        <f>VLOOKUP(CY12,'BLD03'!C:E,1,0)</f>
        <v>Entrada de água fria</v>
      </c>
      <c r="DC12" s="84" t="str">
        <f>VLOOKUP(CY12,'BLD03'!C:E,3,0)</f>
        <v>DN-50</v>
      </c>
      <c r="DD12" s="84" t="str">
        <f>VLOOKUP(CY12,'BLD02'!C:G,5,0)</f>
        <v>GEMÜ</v>
      </c>
      <c r="DE12" s="82">
        <f t="shared" si="3"/>
        <v>2</v>
      </c>
    </row>
    <row r="13" spans="2:109" x14ac:dyDescent="0.25">
      <c r="B13" s="7" t="s">
        <v>72</v>
      </c>
      <c r="C13" s="7" t="s">
        <v>174</v>
      </c>
      <c r="D13" s="7" t="s">
        <v>76</v>
      </c>
      <c r="E13" s="7" t="s">
        <v>5</v>
      </c>
      <c r="F13" s="83" t="str">
        <f>VLOOKUP(B13,'FTD02'!C:E,1,0)</f>
        <v xml:space="preserve">Válvula injetora de vapor </v>
      </c>
      <c r="G13" s="122" t="str">
        <f>VLOOKUP(C13,'FTD02'!A:E,1,0)</f>
        <v>Inferior</v>
      </c>
      <c r="H13" s="84" t="str">
        <f>VLOOKUP(B13,'FTD02'!C:E,3,0)</f>
        <v>DN-80</v>
      </c>
      <c r="I13" s="82" t="str">
        <f>VLOOKUP(B13,'FTD02'!C:G,5,0)</f>
        <v>GEMÜ</v>
      </c>
      <c r="J13" s="83" t="str">
        <f>VLOOKUP(B13,'FTD03'!C:E,1,0)</f>
        <v xml:space="preserve">Válvula injetora de vapor </v>
      </c>
      <c r="K13" s="85" t="str">
        <f>VLOOKUP(C13,'FTD03'!A:E,1,0)</f>
        <v>Inferior</v>
      </c>
      <c r="L13" s="84" t="str">
        <f>VLOOKUP(B13,'FTD03'!C:E,3,0)</f>
        <v>DN-80</v>
      </c>
      <c r="M13" s="82" t="str">
        <f>VLOOKUP(B13,'FTD03'!C:G,5,0)</f>
        <v>GEMÜ</v>
      </c>
      <c r="N13" s="83" t="str">
        <f>VLOOKUP(B13,'FTD04'!C:E,1,0)</f>
        <v xml:space="preserve">Válvula injetora de vapor </v>
      </c>
      <c r="O13" s="85" t="str">
        <f>VLOOKUP(C13,'FTD04'!A:E,1,0)</f>
        <v>Inferior</v>
      </c>
      <c r="P13" s="84" t="str">
        <f>VLOOKUP(B13,'FTD04'!C:E,3,0)</f>
        <v>DN-80</v>
      </c>
      <c r="Q13" s="82" t="str">
        <f>VLOOKUP(B13,'FTD04'!C:G,5,0)</f>
        <v>GEMÜ</v>
      </c>
      <c r="R13" s="83" t="str">
        <f>VLOOKUP(B13,'FTD05'!C:E,1,0)</f>
        <v xml:space="preserve">Válvula injetora de vapor </v>
      </c>
      <c r="S13" s="85" t="str">
        <f>VLOOKUP(C13,'FTD05'!A:E,1,0)</f>
        <v>Inferior</v>
      </c>
      <c r="T13" s="84" t="str">
        <f>VLOOKUP(B13,'FTD05'!C:E,3,0)</f>
        <v>DN-80</v>
      </c>
      <c r="U13" s="82" t="str">
        <f>VLOOKUP(B13,'FTD05'!C:G,5,0)</f>
        <v>GEMÜ</v>
      </c>
      <c r="V13" s="85" t="str">
        <f>VLOOKUP(B13,'FTD06'!C:E,1,0)</f>
        <v xml:space="preserve">Válvula injetora de vapor </v>
      </c>
      <c r="W13" s="85" t="str">
        <f>VLOOKUP(C13,'FTD06'!A:E,1,0)</f>
        <v>Inferior</v>
      </c>
      <c r="X13" s="84" t="str">
        <f>VLOOKUP(B13,'FTD06'!C:E,3,0)</f>
        <v>DN-80</v>
      </c>
      <c r="Y13" s="86" t="str">
        <f>VLOOKUP(B13,'FTD06'!C:G,5,0)</f>
        <v>GEMÜ</v>
      </c>
      <c r="Z13" s="83" t="str">
        <f>VLOOKUP(B13,'FTD07'!C:E,1,0)</f>
        <v xml:space="preserve">Válvula injetora de vapor </v>
      </c>
      <c r="AA13" s="85" t="str">
        <f>VLOOKUP(C13,'FTD07'!A:E,1,0)</f>
        <v>Inferior</v>
      </c>
      <c r="AB13" s="84" t="str">
        <f>VLOOKUP(B13,'FTD07'!C:E,3,0)</f>
        <v>DN-80</v>
      </c>
      <c r="AC13" s="82" t="str">
        <f>VLOOKUP(B13,'FTD07'!C:G,5,0)</f>
        <v>GEMÜ</v>
      </c>
      <c r="AD13" s="85" t="str">
        <f>VLOOKUP(B13,'FTD08'!C:E,1,0)</f>
        <v xml:space="preserve">Válvula injetora de vapor </v>
      </c>
      <c r="AE13" s="85" t="str">
        <f>VLOOKUP(C13,'FTD08'!A:E,1,0)</f>
        <v>Inferior</v>
      </c>
      <c r="AF13" s="84" t="str">
        <f>VLOOKUP(B13,'FTD08'!C:E,3,0)</f>
        <v>DN-80</v>
      </c>
      <c r="AG13" s="86" t="str">
        <f>VLOOKUP(B13,'FTD08'!C:G,5,0)</f>
        <v>GEMÜ</v>
      </c>
      <c r="AH13" s="83" t="str">
        <f>VLOOKUP(B13,'FTD09'!C:E,1,0)</f>
        <v xml:space="preserve">Válvula injetora de vapor </v>
      </c>
      <c r="AI13" s="85" t="str">
        <f>VLOOKUP(C13,'FTD09'!A:E,1,0)</f>
        <v>Inferior</v>
      </c>
      <c r="AJ13" s="84" t="str">
        <f>VLOOKUP(B13,'FTD09'!C:E,3,0)</f>
        <v>DN-80</v>
      </c>
      <c r="AK13" s="82" t="str">
        <f>VLOOKUP(B13,'FTD09'!C:G,5,0)</f>
        <v>GEMÜ</v>
      </c>
      <c r="AL13" s="85" t="str">
        <f>VLOOKUP(B13,'FTD10'!C:E,1,0)</f>
        <v xml:space="preserve">Válvula injetora de vapor </v>
      </c>
      <c r="AM13" s="85" t="str">
        <f>VLOOKUP(C13,'FTD10'!A:E,1,0)</f>
        <v>Inferior</v>
      </c>
      <c r="AN13" s="84" t="str">
        <f>VLOOKUP(B13,'FTD10'!C:E,3,0)</f>
        <v>DN-80</v>
      </c>
      <c r="AO13" s="86" t="str">
        <f>VLOOKUP(B13,'FTD10'!C:G,5,0)</f>
        <v>GEMÜ</v>
      </c>
      <c r="AP13" s="83" t="str">
        <f>VLOOKUP(B13,'FTD11'!C:E,1,0)</f>
        <v xml:space="preserve">Válvula injetora de vapor </v>
      </c>
      <c r="AQ13" s="85" t="str">
        <f>VLOOKUP(C13,'FTD11'!A:E,1,0)</f>
        <v>Inferior</v>
      </c>
      <c r="AR13" s="84" t="str">
        <f>VLOOKUP(B13,'FTD11'!C:E,3,0)</f>
        <v>DN-80</v>
      </c>
      <c r="AS13" s="82" t="str">
        <f>VLOOKUP(B13,'FTD11'!C:G,5,0)</f>
        <v>GEMÜ</v>
      </c>
      <c r="AT13" s="85" t="str">
        <f>VLOOKUP(B13,'FTD12'!C:E,1,0)</f>
        <v xml:space="preserve">Válvula injetora de vapor </v>
      </c>
      <c r="AU13" s="85" t="str">
        <f>VLOOKUP(C13,'FTD12'!A:E,1,0)</f>
        <v>Inferior</v>
      </c>
      <c r="AV13" s="84" t="str">
        <f>VLOOKUP(B13,'FTD12'!C:E,3,0)</f>
        <v>DN-80</v>
      </c>
      <c r="AW13" s="53" t="str">
        <f>VLOOKUP(B13,'FTD12'!C:G,5,0)</f>
        <v>GEMÜ</v>
      </c>
      <c r="AX13" s="124">
        <f t="shared" si="0"/>
        <v>11</v>
      </c>
      <c r="AY13" s="124">
        <f t="shared" si="1"/>
        <v>11</v>
      </c>
      <c r="BA13" s="16" t="s">
        <v>81</v>
      </c>
      <c r="BB13" s="16" t="s">
        <v>49</v>
      </c>
      <c r="BC13" s="16" t="s">
        <v>51</v>
      </c>
      <c r="BD13" s="78" t="s">
        <v>5</v>
      </c>
      <c r="BE13" s="65" t="str">
        <f>VLOOKUP(BA13,'PGD02'!C:E,1,0)</f>
        <v xml:space="preserve">Trasnferência BV </v>
      </c>
      <c r="BF13" s="65"/>
      <c r="BG13" s="53" t="str">
        <f>VLOOKUP(BA13,'PGD02'!C:E,3,0)</f>
        <v>DN-40</v>
      </c>
      <c r="BH13" s="74" t="str">
        <f>VLOOKUP(BA13,'PGD02'!C:G,5,0)</f>
        <v>GEMÜ</v>
      </c>
      <c r="BI13" s="57" t="str">
        <f>VLOOKUP(BA13,'PGD03'!C:E,1,0)</f>
        <v xml:space="preserve">Trasnferência BV </v>
      </c>
      <c r="BJ13" s="65"/>
      <c r="BK13" s="53" t="str">
        <f>VLOOKUP(BA13,'PGD03'!C:E,3,0)</f>
        <v>DN-40</v>
      </c>
      <c r="BL13" s="56" t="str">
        <f>VLOOKUP(BA13,'PGD03'!C:G,5,0)</f>
        <v>GEMÜ</v>
      </c>
      <c r="BM13" s="65" t="str">
        <f>VLOOKUP(BA13,'PGD03'!C:E,1,0)</f>
        <v xml:space="preserve">Trasnferência BV </v>
      </c>
      <c r="BN13" s="65"/>
      <c r="BO13" s="53" t="str">
        <f>VLOOKUP(BA13,'PGD04'!C:E,3,0)</f>
        <v>DN-40</v>
      </c>
      <c r="BP13" s="74" t="str">
        <f>VLOOKUP(BA13,'PGD04'!C:G,5,0)</f>
        <v>GEMÜ</v>
      </c>
      <c r="BQ13" s="57" t="str">
        <f>VLOOKUP(BA13,'PGD05'!C:E,1,0)</f>
        <v xml:space="preserve">Trasnferência BV </v>
      </c>
      <c r="BR13" s="65"/>
      <c r="BS13" s="53" t="str">
        <f>VLOOKUP(BA13,'PGD05'!C:E,3,0)</f>
        <v>DN-40</v>
      </c>
      <c r="BT13" s="56" t="str">
        <f>VLOOKUP(BA13,'PGD05'!C:G,5,0)</f>
        <v>GEMÜ</v>
      </c>
      <c r="BU13" s="65" t="str">
        <f>VLOOKUP(BA13,'PGD06'!C:E,1,0)</f>
        <v xml:space="preserve">Trasnferência BV </v>
      </c>
      <c r="BV13" s="65"/>
      <c r="BW13" s="53" t="str">
        <f>VLOOKUP(BA13,'PGD06'!C:E,3,0)</f>
        <v>DN-40</v>
      </c>
      <c r="BX13" s="74" t="str">
        <f>VLOOKUP(BA13,'PGD06'!C:G,5,0)</f>
        <v>GEMÜ</v>
      </c>
      <c r="BY13" s="57" t="str">
        <f>VLOOKUP(BA13,'PGD07'!C:E,1,0)</f>
        <v xml:space="preserve">Trasnferência BV </v>
      </c>
      <c r="BZ13" s="65"/>
      <c r="CA13" s="53" t="str">
        <f>VLOOKUP(BA13,'PGD07'!C:E,3,0)</f>
        <v>DN-40</v>
      </c>
      <c r="CB13" s="56" t="str">
        <f>VLOOKUP(BA13,'PGD07'!C:G,5,0)</f>
        <v>GEMÜ</v>
      </c>
      <c r="CC13" s="65" t="str">
        <f>VLOOKUP(BA13,'PGD08'!C:E,1,0)</f>
        <v xml:space="preserve">Trasnferência BV </v>
      </c>
      <c r="CD13" s="65"/>
      <c r="CE13" s="53" t="str">
        <f>VLOOKUP(BA13,'PGD08'!C:E,3,0)</f>
        <v>DN-40</v>
      </c>
      <c r="CF13" s="74" t="str">
        <f>VLOOKUP(BA13,'PGD08'!C:G,5,0)</f>
        <v>ZDL</v>
      </c>
      <c r="CG13" s="57" t="str">
        <f>VLOOKUP(BA13,'PGD09'!C:E,1,0)</f>
        <v xml:space="preserve">Trasnferência BV </v>
      </c>
      <c r="CH13" s="65"/>
      <c r="CI13" s="53" t="str">
        <f>VLOOKUP(BA13,'PGD09'!C:E,3,0)</f>
        <v>DN-40</v>
      </c>
      <c r="CJ13" s="56" t="str">
        <f>VLOOKUP(BA13,'PGD09'!C:G,5,0)</f>
        <v>GEMÜ</v>
      </c>
      <c r="CK13" s="65" t="str">
        <f>VLOOKUP(BA13,'PGD10'!C:E,1,0)</f>
        <v xml:space="preserve">Trasnferência BV </v>
      </c>
      <c r="CL13" s="65"/>
      <c r="CM13" s="53" t="str">
        <f>VLOOKUP(BA13,'PGD10'!C:E,3,0)</f>
        <v>DN-40</v>
      </c>
      <c r="CN13" s="74" t="str">
        <f>VLOOKUP(BA13,'PGD10'!C:G,5,0)</f>
        <v>GEMÜ</v>
      </c>
      <c r="CO13" s="57" t="str">
        <f>VLOOKUP(BA13,'PGD11'!C:E,1,0)</f>
        <v xml:space="preserve">Trasnferência BV </v>
      </c>
      <c r="CP13" s="65"/>
      <c r="CQ13" s="53" t="str">
        <f>VLOOKUP(BA13,'PGD11'!C:E,3,0)</f>
        <v>DN-40</v>
      </c>
      <c r="CR13" s="56" t="str">
        <f>VLOOKUP(BA13,'PGD11'!C:G,5,0)</f>
        <v>GEMÜ</v>
      </c>
      <c r="CS13" s="65" t="str">
        <f>VLOOKUP(BA13,'PGD12'!C:E,1,0)</f>
        <v xml:space="preserve">Trasnferência BV </v>
      </c>
      <c r="CT13" s="65"/>
      <c r="CU13" s="53" t="str">
        <f>VLOOKUP(BA13,'PGD12'!C:E,3,0)</f>
        <v>DN-40</v>
      </c>
      <c r="CV13" s="53" t="str">
        <f>VLOOKUP(BA13,'PGD12'!C:G,5,0)</f>
        <v>GEMÜ</v>
      </c>
      <c r="CW13" s="56">
        <f t="shared" si="2"/>
        <v>11</v>
      </c>
      <c r="CY13" s="52" t="s">
        <v>83</v>
      </c>
      <c r="CZ13" s="16" t="s">
        <v>80</v>
      </c>
      <c r="DA13" s="81" t="s">
        <v>5</v>
      </c>
      <c r="DB13" s="65" t="str">
        <f>VLOOKUP(CY13,'BLD03'!C:E,1,0)</f>
        <v xml:space="preserve">Entrada bloco BV água quente </v>
      </c>
      <c r="DC13" s="53" t="str">
        <f>VLOOKUP(CY13,'BLD03'!C:E,3,0)</f>
        <v>DN-50</v>
      </c>
      <c r="DD13" s="53" t="str">
        <f>VLOOKUP(CY13,'BLD02'!C:G,5,0)</f>
        <v>GEMÜ</v>
      </c>
      <c r="DE13" s="56">
        <f t="shared" si="3"/>
        <v>2</v>
      </c>
    </row>
    <row r="14" spans="2:109" x14ac:dyDescent="0.25">
      <c r="B14" s="14" t="s">
        <v>84</v>
      </c>
      <c r="C14" s="14" t="s">
        <v>174</v>
      </c>
      <c r="D14" s="14" t="s">
        <v>51</v>
      </c>
      <c r="E14" s="14" t="s">
        <v>5</v>
      </c>
      <c r="F14" s="57" t="str">
        <f>VLOOKUP(B14,'FTD02'!C:E,1,0)</f>
        <v>Trasnferência BV fundo</v>
      </c>
      <c r="G14" s="84" t="str">
        <f>VLOOKUP(C14,'FTD02'!A:E,1,0)</f>
        <v>Inferior</v>
      </c>
      <c r="H14" s="53" t="str">
        <f>VLOOKUP(B14,'FTD02'!C:E,3,0)</f>
        <v>DN-40</v>
      </c>
      <c r="I14" s="56" t="str">
        <f>VLOOKUP(B14,'FTD02'!C:G,5,0)</f>
        <v>GEMÜ</v>
      </c>
      <c r="J14" s="57" t="str">
        <f>VLOOKUP(B14,'FTD03'!C:E,1,0)</f>
        <v>Trasnferência BV fundo</v>
      </c>
      <c r="K14" s="85" t="str">
        <f>VLOOKUP(C14,'FTD03'!A:E,1,0)</f>
        <v>Inferior</v>
      </c>
      <c r="L14" s="53" t="str">
        <f>VLOOKUP(B14,'FTD03'!C:E,3,0)</f>
        <v>DN-40</v>
      </c>
      <c r="M14" s="56" t="str">
        <f>VLOOKUP(B14,'FTD03'!C:G,5,0)</f>
        <v>GEMÜ</v>
      </c>
      <c r="N14" s="57" t="str">
        <f>VLOOKUP(B14,'FTD04'!C:E,1,0)</f>
        <v>Trasnferência BV fundo</v>
      </c>
      <c r="O14" s="85" t="str">
        <f>VLOOKUP(C14,'FTD04'!A:E,1,0)</f>
        <v>Inferior</v>
      </c>
      <c r="P14" s="53" t="str">
        <f>VLOOKUP(B14,'FTD04'!C:E,3,0)</f>
        <v>DN-40</v>
      </c>
      <c r="Q14" s="56" t="str">
        <f>VLOOKUP(B14,'FTD04'!C:G,5,0)</f>
        <v>GEMÜ</v>
      </c>
      <c r="R14" s="57" t="str">
        <f>VLOOKUP(B14,'FTD05'!C:E,1,0)</f>
        <v>Trasnferência BV fundo</v>
      </c>
      <c r="S14" s="85" t="str">
        <f>VLOOKUP(C14,'FTD05'!A:E,1,0)</f>
        <v>Inferior</v>
      </c>
      <c r="T14" s="53" t="str">
        <f>VLOOKUP(B14,'FTD05'!C:E,3,0)</f>
        <v>DN-40</v>
      </c>
      <c r="U14" s="56" t="str">
        <f>VLOOKUP(B14,'FTD05'!C:G,5,0)</f>
        <v>GEMÜ</v>
      </c>
      <c r="V14" s="65" t="str">
        <f>VLOOKUP(B14,'FTD06'!C:E,1,0)</f>
        <v>Trasnferência BV fundo</v>
      </c>
      <c r="W14" s="85" t="str">
        <f>VLOOKUP(C14,'FTD06'!A:E,1,0)</f>
        <v>Inferior</v>
      </c>
      <c r="X14" s="53" t="str">
        <f>VLOOKUP(B14,'FTD06'!C:E,3,0)</f>
        <v>DN-40</v>
      </c>
      <c r="Y14" s="74" t="str">
        <f>VLOOKUP(B14,'FTD06'!C:G,5,0)</f>
        <v>GEMÜ</v>
      </c>
      <c r="Z14" s="57" t="str">
        <f>VLOOKUP(B14,'FTD07'!C:E,1,0)</f>
        <v>Trasnferência BV fundo</v>
      </c>
      <c r="AA14" s="85" t="str">
        <f>VLOOKUP(C14,'FTD07'!A:E,1,0)</f>
        <v>Inferior</v>
      </c>
      <c r="AB14" s="53" t="str">
        <f>VLOOKUP(B14,'FTD07'!C:E,3,0)</f>
        <v>DN-40</v>
      </c>
      <c r="AC14" s="56" t="str">
        <f>VLOOKUP(B14,'FTD07'!C:G,5,0)</f>
        <v>GEMÜ</v>
      </c>
      <c r="AD14" s="65" t="str">
        <f>VLOOKUP(B14,'FTD08'!C:E,1,0)</f>
        <v>Trasnferência BV fundo</v>
      </c>
      <c r="AE14" s="85" t="str">
        <f>VLOOKUP(C14,'FTD08'!A:E,1,0)</f>
        <v>Inferior</v>
      </c>
      <c r="AF14" s="53" t="str">
        <f>VLOOKUP(B14,'FTD08'!C:E,3,0)</f>
        <v>DN-40</v>
      </c>
      <c r="AG14" s="74" t="str">
        <f>VLOOKUP(B14,'FTD08'!C:G,5,0)</f>
        <v>GEMÜ</v>
      </c>
      <c r="AH14" s="57" t="str">
        <f>VLOOKUP(B14,'FTD09'!C:E,1,0)</f>
        <v>Trasnferência BV fundo</v>
      </c>
      <c r="AI14" s="85" t="str">
        <f>VLOOKUP(C14,'FTD09'!A:E,1,0)</f>
        <v>Inferior</v>
      </c>
      <c r="AJ14" s="53" t="str">
        <f>VLOOKUP(B14,'FTD09'!C:E,3,0)</f>
        <v>DN-40</v>
      </c>
      <c r="AK14" s="56" t="str">
        <f>VLOOKUP(B14,'FTD09'!C:G,5,0)</f>
        <v>GEMÜ</v>
      </c>
      <c r="AL14" s="65" t="str">
        <f>VLOOKUP(B14,'FTD10'!C:E,1,0)</f>
        <v>Trasnferência BV fundo</v>
      </c>
      <c r="AM14" s="85" t="str">
        <f>VLOOKUP(C14,'FTD10'!A:E,1,0)</f>
        <v>Inferior</v>
      </c>
      <c r="AN14" s="53" t="str">
        <f>VLOOKUP(B14,'FTD10'!C:E,3,0)</f>
        <v>DN-40</v>
      </c>
      <c r="AO14" s="74" t="str">
        <f>VLOOKUP(B14,'FTD10'!C:G,5,0)</f>
        <v>GEMÜ</v>
      </c>
      <c r="AP14" s="57" t="str">
        <f>VLOOKUP(B14,'FTD11'!C:E,1,0)</f>
        <v>Trasnferência BV fundo</v>
      </c>
      <c r="AQ14" s="85" t="str">
        <f>VLOOKUP(C14,'FTD11'!A:E,1,0)</f>
        <v>Inferior</v>
      </c>
      <c r="AR14" s="53" t="str">
        <f>VLOOKUP(B14,'FTD11'!C:E,3,0)</f>
        <v>DN-40</v>
      </c>
      <c r="AS14" s="56" t="str">
        <f>VLOOKUP(B14,'FTD11'!C:G,5,0)</f>
        <v>GEMÜ</v>
      </c>
      <c r="AT14" s="65" t="str">
        <f>VLOOKUP(B14,'FTD12'!C:E,1,0)</f>
        <v>Trasnferência BV fundo</v>
      </c>
      <c r="AU14" s="85" t="str">
        <f>VLOOKUP(C14,'FTD12'!A:E,1,0)</f>
        <v>Inferior</v>
      </c>
      <c r="AV14" s="53" t="str">
        <f>VLOOKUP(B14,'FTD12'!C:E,3,0)</f>
        <v>DN-40</v>
      </c>
      <c r="AW14" s="84" t="str">
        <f>VLOOKUP(B14,'FTD12'!C:G,5,0)</f>
        <v>GEMÜ</v>
      </c>
      <c r="AX14" s="124">
        <f t="shared" si="0"/>
        <v>11</v>
      </c>
      <c r="AY14" s="124">
        <f t="shared" si="1"/>
        <v>11</v>
      </c>
      <c r="BA14" s="14" t="s">
        <v>85</v>
      </c>
      <c r="BB14" s="14" t="s">
        <v>68</v>
      </c>
      <c r="BC14" s="14" t="s">
        <v>86</v>
      </c>
      <c r="BD14" s="68" t="s">
        <v>5</v>
      </c>
      <c r="BE14" s="85" t="str">
        <f>VLOOKUP(BA14,'PGD02'!C:E,1,0)</f>
        <v>Dreno BV  alimentação carbono</v>
      </c>
      <c r="BF14" s="85"/>
      <c r="BG14" s="84" t="str">
        <f>VLOOKUP(BA14,'PGD02'!C:E,3,0)</f>
        <v>DN-25</v>
      </c>
      <c r="BH14" s="86" t="str">
        <f>VLOOKUP(BA14,'PGD02'!C:G,5,0)</f>
        <v>GEMÜ</v>
      </c>
      <c r="BI14" s="83" t="str">
        <f>VLOOKUP(BA14,'PGD03'!C:E,1,0)</f>
        <v>Dreno BV  alimentação carbono</v>
      </c>
      <c r="BJ14" s="85"/>
      <c r="BK14" s="84" t="str">
        <f>VLOOKUP(BA14,'PGD03'!C:E,3,0)</f>
        <v>DN-25</v>
      </c>
      <c r="BL14" s="82" t="str">
        <f>VLOOKUP(BA14,'PGD03'!C:G,5,0)</f>
        <v>GEMÜ</v>
      </c>
      <c r="BM14" s="85" t="str">
        <f>VLOOKUP(BA14,'PGD03'!C:E,1,0)</f>
        <v>Dreno BV  alimentação carbono</v>
      </c>
      <c r="BN14" s="85"/>
      <c r="BO14" s="84" t="str">
        <f>VLOOKUP(BA14,'PGD04'!C:E,3,0)</f>
        <v>DN-25</v>
      </c>
      <c r="BP14" s="86" t="str">
        <f>VLOOKUP(BA14,'PGD04'!C:G,5,0)</f>
        <v>GEMÜ</v>
      </c>
      <c r="BQ14" s="83" t="str">
        <f>VLOOKUP(BA14,'PGD05'!C:E,1,0)</f>
        <v>Dreno BV  alimentação carbono</v>
      </c>
      <c r="BR14" s="85"/>
      <c r="BS14" s="84" t="str">
        <f>VLOOKUP(BA14,'PGD05'!C:E,3,0)</f>
        <v>DN-25</v>
      </c>
      <c r="BT14" s="82" t="str">
        <f>VLOOKUP(BA14,'PGD05'!C:G,5,0)</f>
        <v>GEMÜ</v>
      </c>
      <c r="BU14" s="85" t="str">
        <f>VLOOKUP(BA14,'PGD06'!C:E,1,0)</f>
        <v>Dreno BV  alimentação carbono</v>
      </c>
      <c r="BV14" s="85"/>
      <c r="BW14" s="84" t="str">
        <f>VLOOKUP(BA14,'PGD06'!C:E,3,0)</f>
        <v>DN-25</v>
      </c>
      <c r="BX14" s="86" t="str">
        <f>VLOOKUP(BA14,'PGD06'!C:G,5,0)</f>
        <v>GEMÜ</v>
      </c>
      <c r="BY14" s="83" t="str">
        <f>VLOOKUP(BA14,'PGD07'!C:E,1,0)</f>
        <v>Dreno BV  alimentação carbono</v>
      </c>
      <c r="BZ14" s="85"/>
      <c r="CA14" s="84" t="str">
        <f>VLOOKUP(BA14,'PGD07'!C:E,3,0)</f>
        <v>DN-25</v>
      </c>
      <c r="CB14" s="82" t="str">
        <f>VLOOKUP(BA14,'PGD07'!C:G,5,0)</f>
        <v>GEMÜ</v>
      </c>
      <c r="CC14" s="85" t="str">
        <f>VLOOKUP(BA14,'PGD08'!C:E,1,0)</f>
        <v>Dreno BV  alimentação carbono</v>
      </c>
      <c r="CD14" s="85"/>
      <c r="CE14" s="84" t="str">
        <f>VLOOKUP(BA14,'PGD08'!C:E,3,0)</f>
        <v>DN-25</v>
      </c>
      <c r="CF14" s="86" t="str">
        <f>VLOOKUP(BA14,'PGD08'!C:G,5,0)</f>
        <v>GEMÜ</v>
      </c>
      <c r="CG14" s="83" t="str">
        <f>VLOOKUP(BA14,'PGD09'!C:E,1,0)</f>
        <v>Dreno BV  alimentação carbono</v>
      </c>
      <c r="CH14" s="85"/>
      <c r="CI14" s="84" t="str">
        <f>VLOOKUP(BA14,'PGD09'!C:E,3,0)</f>
        <v>DN-25</v>
      </c>
      <c r="CJ14" s="82" t="str">
        <f>VLOOKUP(BA14,'PGD09'!C:G,5,0)</f>
        <v>GEMÜ</v>
      </c>
      <c r="CK14" s="85" t="str">
        <f>VLOOKUP(BA14,'PGD10'!C:E,1,0)</f>
        <v>Dreno BV  alimentação carbono</v>
      </c>
      <c r="CL14" s="85"/>
      <c r="CM14" s="84" t="str">
        <f>VLOOKUP(BA14,'PGD10'!C:E,3,0)</f>
        <v>DN-25</v>
      </c>
      <c r="CN14" s="86" t="str">
        <f>VLOOKUP(BA14,'PGD10'!C:G,5,0)</f>
        <v>GEMÜ</v>
      </c>
      <c r="CO14" s="83" t="str">
        <f>VLOOKUP(BA14,'PGD11'!C:E,1,0)</f>
        <v>Dreno BV  alimentação carbono</v>
      </c>
      <c r="CP14" s="85"/>
      <c r="CQ14" s="84" t="str">
        <f>VLOOKUP(BA14,'PGD11'!C:E,3,0)</f>
        <v>DN-25</v>
      </c>
      <c r="CR14" s="82" t="str">
        <f>VLOOKUP(BA14,'PGD11'!C:G,5,0)</f>
        <v>GEMÜ</v>
      </c>
      <c r="CS14" s="85" t="str">
        <f>VLOOKUP(BA14,'PGD12'!C:E,1,0)</f>
        <v>Dreno BV  alimentação carbono</v>
      </c>
      <c r="CT14" s="85"/>
      <c r="CU14" s="84" t="str">
        <f>VLOOKUP(BA14,'PGD12'!C:E,3,0)</f>
        <v>DN-25</v>
      </c>
      <c r="CV14" s="84" t="str">
        <f>VLOOKUP(BA14,'PGD12'!C:G,5,0)</f>
        <v>GEMÜ</v>
      </c>
      <c r="CW14" s="82">
        <f t="shared" si="2"/>
        <v>11</v>
      </c>
      <c r="CY14" s="51" t="s">
        <v>88</v>
      </c>
      <c r="CZ14" s="6" t="s">
        <v>80</v>
      </c>
      <c r="DA14" s="80" t="s">
        <v>5</v>
      </c>
      <c r="DB14" s="85" t="str">
        <f>VLOOKUP(CY14,'BLD03'!C:E,1,0)</f>
        <v xml:space="preserve">Entrada blender água quente </v>
      </c>
      <c r="DC14" s="84" t="str">
        <f>VLOOKUP(CY14,'BLD03'!C:E,3,0)</f>
        <v>DN-50</v>
      </c>
      <c r="DD14" s="84" t="str">
        <f>VLOOKUP(CY14,'BLD02'!C:G,5,0)</f>
        <v>GEMÜ</v>
      </c>
      <c r="DE14" s="82">
        <f t="shared" si="3"/>
        <v>2</v>
      </c>
    </row>
    <row r="15" spans="2:109" x14ac:dyDescent="0.25">
      <c r="B15" s="7" t="s">
        <v>89</v>
      </c>
      <c r="C15" s="7" t="s">
        <v>68</v>
      </c>
      <c r="D15" s="7" t="s">
        <v>51</v>
      </c>
      <c r="E15" s="7" t="s">
        <v>5</v>
      </c>
      <c r="F15" s="83" t="str">
        <f>VLOOKUP(B15,'FTD02'!C:E,1,0)</f>
        <v xml:space="preserve">Bloqueio pós gasout válvula proporcional </v>
      </c>
      <c r="G15" s="122" t="str">
        <f>VLOOKUP(C15,'FTD02'!A:E,1,0)</f>
        <v>Superior</v>
      </c>
      <c r="H15" s="84" t="str">
        <f>VLOOKUP(B15,'FTD02'!C:E,3,0)</f>
        <v>DN-40</v>
      </c>
      <c r="I15" s="82" t="str">
        <f>VLOOKUP(B15,'FTD02'!C:G,5,0)</f>
        <v>GEMÜ</v>
      </c>
      <c r="J15" s="83" t="str">
        <f>VLOOKUP(B15,'FTD03'!C:E,1,0)</f>
        <v xml:space="preserve">Bloqueio pós gasout válvula proporcional </v>
      </c>
      <c r="K15" s="85" t="str">
        <f>VLOOKUP(C15,'FTD03'!A:E,1,0)</f>
        <v>Superior</v>
      </c>
      <c r="L15" s="84" t="str">
        <f>VLOOKUP(B15,'FTD03'!C:E,3,0)</f>
        <v>DN-40</v>
      </c>
      <c r="M15" s="82" t="str">
        <f>VLOOKUP(B15,'FTD03'!C:G,5,0)</f>
        <v>GEMÜ</v>
      </c>
      <c r="N15" s="83" t="str">
        <f>VLOOKUP(B15,'FTD04'!C:E,1,0)</f>
        <v xml:space="preserve">Bloqueio pós gasout válvula proporcional </v>
      </c>
      <c r="O15" s="85" t="str">
        <f>VLOOKUP(C15,'FTD04'!A:E,1,0)</f>
        <v>Superior</v>
      </c>
      <c r="P15" s="84" t="str">
        <f>VLOOKUP(B15,'FTD04'!C:E,3,0)</f>
        <v>DN-40</v>
      </c>
      <c r="Q15" s="82" t="str">
        <f>VLOOKUP(B15,'FTD04'!C:G,5,0)</f>
        <v>GEMÜ</v>
      </c>
      <c r="R15" s="83" t="str">
        <f>VLOOKUP(B15,'FTD05'!C:E,1,0)</f>
        <v xml:space="preserve">Bloqueio pós gasout válvula proporcional </v>
      </c>
      <c r="S15" s="85" t="str">
        <f>VLOOKUP(C15,'FTD05'!A:E,1,0)</f>
        <v>Superior</v>
      </c>
      <c r="T15" s="84" t="str">
        <f>VLOOKUP(B15,'FTD05'!C:E,3,0)</f>
        <v>DN-40</v>
      </c>
      <c r="U15" s="82" t="str">
        <f>VLOOKUP(B15,'FTD05'!C:G,5,0)</f>
        <v>GEMÜ</v>
      </c>
      <c r="V15" s="85" t="str">
        <f>VLOOKUP(B15,'FTD06'!C:E,1,0)</f>
        <v xml:space="preserve">Bloqueio pós gasout válvula proporcional </v>
      </c>
      <c r="W15" s="85" t="str">
        <f>VLOOKUP(C15,'FTD06'!A:E,1,0)</f>
        <v>Superior</v>
      </c>
      <c r="X15" s="84" t="str">
        <f>VLOOKUP(B15,'FTD06'!C:E,3,0)</f>
        <v>DN-40</v>
      </c>
      <c r="Y15" s="86" t="str">
        <f>VLOOKUP(B15,'FTD06'!C:G,5,0)</f>
        <v>GEMÜ</v>
      </c>
      <c r="Z15" s="83" t="str">
        <f>VLOOKUP(B15,'FTD07'!C:E,1,0)</f>
        <v xml:space="preserve">Bloqueio pós gasout válvula proporcional </v>
      </c>
      <c r="AA15" s="85" t="str">
        <f>VLOOKUP(C15,'FTD07'!A:E,1,0)</f>
        <v>Superior</v>
      </c>
      <c r="AB15" s="84" t="str">
        <f>VLOOKUP(B15,'FTD07'!C:E,3,0)</f>
        <v>DN-40</v>
      </c>
      <c r="AC15" s="82" t="str">
        <f>VLOOKUP(B15,'FTD07'!C:G,5,0)</f>
        <v>GEMÜ</v>
      </c>
      <c r="AD15" s="85" t="str">
        <f>VLOOKUP(B15,'FTD08'!C:E,1,0)</f>
        <v xml:space="preserve">Bloqueio pós gasout válvula proporcional </v>
      </c>
      <c r="AE15" s="85" t="str">
        <f>VLOOKUP(C15,'FTD08'!A:E,1,0)</f>
        <v>Superior</v>
      </c>
      <c r="AF15" s="84" t="str">
        <f>VLOOKUP(B15,'FTD08'!C:E,3,0)</f>
        <v>DN-40</v>
      </c>
      <c r="AG15" s="86" t="str">
        <f>VLOOKUP(B15,'FTD08'!C:G,5,0)</f>
        <v>GEMÜ</v>
      </c>
      <c r="AH15" s="83" t="str">
        <f>VLOOKUP(B15,'FTD09'!C:E,1,0)</f>
        <v xml:space="preserve">Bloqueio pós gasout válvula proporcional </v>
      </c>
      <c r="AI15" s="85" t="str">
        <f>VLOOKUP(C15,'FTD09'!A:E,1,0)</f>
        <v>Superior</v>
      </c>
      <c r="AJ15" s="84" t="str">
        <f>VLOOKUP(B15,'FTD09'!C:E,3,0)</f>
        <v>DN-40</v>
      </c>
      <c r="AK15" s="82" t="str">
        <f>VLOOKUP(B15,'FTD09'!C:G,5,0)</f>
        <v>GEMÜ</v>
      </c>
      <c r="AL15" s="85" t="str">
        <f>VLOOKUP(B15,'FTD10'!C:E,1,0)</f>
        <v xml:space="preserve">Bloqueio pós gasout válvula proporcional </v>
      </c>
      <c r="AM15" s="85" t="str">
        <f>VLOOKUP(C15,'FTD10'!A:E,1,0)</f>
        <v>Superior</v>
      </c>
      <c r="AN15" s="84" t="str">
        <f>VLOOKUP(B15,'FTD10'!C:E,3,0)</f>
        <v>DN-40</v>
      </c>
      <c r="AO15" s="86" t="str">
        <f>VLOOKUP(B15,'FTD10'!C:G,5,0)</f>
        <v>ZDL</v>
      </c>
      <c r="AP15" s="83" t="str">
        <f>VLOOKUP(B15,'FTD11'!C:E,1,0)</f>
        <v xml:space="preserve">Bloqueio pós gasout válvula proporcional </v>
      </c>
      <c r="AQ15" s="85" t="str">
        <f>VLOOKUP(C15,'FTD11'!A:E,1,0)</f>
        <v>Superior</v>
      </c>
      <c r="AR15" s="84" t="str">
        <f>VLOOKUP(B15,'FTD11'!C:E,3,0)</f>
        <v>DN-40</v>
      </c>
      <c r="AS15" s="82" t="str">
        <f>VLOOKUP(B15,'FTD11'!C:G,5,0)</f>
        <v>GEMÜ</v>
      </c>
      <c r="AT15" s="85" t="str">
        <f>VLOOKUP(B15,'FTD12'!C:E,1,0)</f>
        <v xml:space="preserve">Bloqueio pós gasout válvula proporcional </v>
      </c>
      <c r="AU15" s="85" t="str">
        <f>VLOOKUP(C15,'FTD12'!A:E,1,0)</f>
        <v>Superior</v>
      </c>
      <c r="AV15" s="84" t="str">
        <f>VLOOKUP(B15,'FTD12'!C:E,3,0)</f>
        <v>DN-40</v>
      </c>
      <c r="AW15" s="53" t="str">
        <f>VLOOKUP(B15,'FTD12'!C:G,5,0)</f>
        <v>GEMÜ</v>
      </c>
      <c r="AX15" s="124">
        <f t="shared" si="0"/>
        <v>11</v>
      </c>
      <c r="AY15" s="124">
        <f t="shared" si="1"/>
        <v>11</v>
      </c>
      <c r="BA15" s="16" t="s">
        <v>90</v>
      </c>
      <c r="BB15" s="16" t="s">
        <v>68</v>
      </c>
      <c r="BC15" s="16" t="s">
        <v>86</v>
      </c>
      <c r="BD15" s="78" t="s">
        <v>5</v>
      </c>
      <c r="BE15" s="65" t="str">
        <f>VLOOKUP(BA15,'PGD02'!C:E,1,0)</f>
        <v>Dreno BV  alimentação nitrogênio</v>
      </c>
      <c r="BF15" s="65"/>
      <c r="BG15" s="53" t="str">
        <f>VLOOKUP(BA15,'PGD02'!C:E,3,0)</f>
        <v>DN-25</v>
      </c>
      <c r="BH15" s="74" t="str">
        <f>VLOOKUP(BA15,'PGD02'!C:G,5,0)</f>
        <v>GEMÜ</v>
      </c>
      <c r="BI15" s="57" t="str">
        <f>VLOOKUP(BA15,'PGD03'!C:E,1,0)</f>
        <v>Dreno BV  alimentação nitrogênio</v>
      </c>
      <c r="BJ15" s="65"/>
      <c r="BK15" s="53" t="str">
        <f>VLOOKUP(BA15,'PGD03'!C:E,3,0)</f>
        <v>DN-25</v>
      </c>
      <c r="BL15" s="56" t="str">
        <f>VLOOKUP(BA15,'PGD03'!C:G,5,0)</f>
        <v>GEMÜ</v>
      </c>
      <c r="BM15" s="65" t="str">
        <f>VLOOKUP(BA15,'PGD03'!C:E,1,0)</f>
        <v>Dreno BV  alimentação nitrogênio</v>
      </c>
      <c r="BN15" s="65"/>
      <c r="BO15" s="53" t="str">
        <f>VLOOKUP(BA15,'PGD04'!C:E,3,0)</f>
        <v>DN-25</v>
      </c>
      <c r="BP15" s="74" t="str">
        <f>VLOOKUP(BA15,'PGD04'!C:G,5,0)</f>
        <v>GEMÜ</v>
      </c>
      <c r="BQ15" s="57" t="str">
        <f>VLOOKUP(BA15,'PGD05'!C:E,1,0)</f>
        <v>Dreno BV  alimentação nitrogênio</v>
      </c>
      <c r="BR15" s="65"/>
      <c r="BS15" s="53" t="str">
        <f>VLOOKUP(BA15,'PGD05'!C:E,3,0)</f>
        <v>DN-25</v>
      </c>
      <c r="BT15" s="56" t="str">
        <f>VLOOKUP(BA15,'PGD05'!C:G,5,0)</f>
        <v>GEMÜ</v>
      </c>
      <c r="BU15" s="65" t="str">
        <f>VLOOKUP(BA15,'PGD06'!C:E,1,0)</f>
        <v>Dreno BV  alimentação nitrogênio</v>
      </c>
      <c r="BV15" s="65"/>
      <c r="BW15" s="53" t="str">
        <f>VLOOKUP(BA15,'PGD06'!C:E,3,0)</f>
        <v>DN-25</v>
      </c>
      <c r="BX15" s="74" t="str">
        <f>VLOOKUP(BA15,'PGD06'!C:G,5,0)</f>
        <v>GEMÜ</v>
      </c>
      <c r="BY15" s="57" t="str">
        <f>VLOOKUP(BA15,'PGD07'!C:E,1,0)</f>
        <v>Dreno BV  alimentação nitrogênio</v>
      </c>
      <c r="BZ15" s="65"/>
      <c r="CA15" s="53" t="str">
        <f>VLOOKUP(BA15,'PGD07'!C:E,3,0)</f>
        <v>DN-25</v>
      </c>
      <c r="CB15" s="56" t="str">
        <f>VLOOKUP(BA15,'PGD07'!C:G,5,0)</f>
        <v>GEMÜ</v>
      </c>
      <c r="CC15" s="65" t="str">
        <f>VLOOKUP(BA15,'PGD08'!C:E,1,0)</f>
        <v>Dreno BV  alimentação nitrogênio</v>
      </c>
      <c r="CD15" s="65"/>
      <c r="CE15" s="53" t="str">
        <f>VLOOKUP(BA15,'PGD08'!C:E,3,0)</f>
        <v>DN-25</v>
      </c>
      <c r="CF15" s="74" t="str">
        <f>VLOOKUP(BA15,'PGD08'!C:G,5,0)</f>
        <v>GEMÜ</v>
      </c>
      <c r="CG15" s="57" t="str">
        <f>VLOOKUP(BA15,'PGD09'!C:E,1,0)</f>
        <v>Dreno BV  alimentação nitrogênio</v>
      </c>
      <c r="CH15" s="65"/>
      <c r="CI15" s="53" t="str">
        <f>VLOOKUP(BA15,'PGD09'!C:E,3,0)</f>
        <v>DN-25</v>
      </c>
      <c r="CJ15" s="56" t="str">
        <f>VLOOKUP(BA15,'PGD09'!C:G,5,0)</f>
        <v>GEMÜ</v>
      </c>
      <c r="CK15" s="65" t="str">
        <f>VLOOKUP(BA15,'PGD10'!C:E,1,0)</f>
        <v>Dreno BV  alimentação nitrogênio</v>
      </c>
      <c r="CL15" s="65"/>
      <c r="CM15" s="53" t="str">
        <f>VLOOKUP(BA15,'PGD10'!C:E,3,0)</f>
        <v>DN-25</v>
      </c>
      <c r="CN15" s="74" t="str">
        <f>VLOOKUP(BA15,'PGD10'!C:G,5,0)</f>
        <v>GEMÜ</v>
      </c>
      <c r="CO15" s="57" t="str">
        <f>VLOOKUP(BA15,'PGD11'!C:E,1,0)</f>
        <v>Dreno BV  alimentação nitrogênio</v>
      </c>
      <c r="CP15" s="65"/>
      <c r="CQ15" s="53" t="str">
        <f>VLOOKUP(BA15,'PGD11'!C:E,3,0)</f>
        <v>DN-25</v>
      </c>
      <c r="CR15" s="56" t="str">
        <f>VLOOKUP(BA15,'PGD11'!C:G,5,0)</f>
        <v>GEMÜ</v>
      </c>
      <c r="CS15" s="65" t="str">
        <f>VLOOKUP(BA15,'PGD12'!C:E,1,0)</f>
        <v>Dreno BV  alimentação nitrogênio</v>
      </c>
      <c r="CT15" s="65"/>
      <c r="CU15" s="53" t="str">
        <f>VLOOKUP(BA15,'PGD12'!C:E,3,0)</f>
        <v>DN-25</v>
      </c>
      <c r="CV15" s="53" t="str">
        <f>VLOOKUP(BA15,'PGD12'!C:G,5,0)</f>
        <v>GEMÜ</v>
      </c>
      <c r="CW15" s="56">
        <f t="shared" si="2"/>
        <v>11</v>
      </c>
      <c r="CY15" s="52" t="s">
        <v>92</v>
      </c>
      <c r="CZ15" s="16" t="s">
        <v>80</v>
      </c>
      <c r="DA15" s="81" t="s">
        <v>5</v>
      </c>
      <c r="DB15" s="65" t="str">
        <f>VLOOKUP(CY15,'BLD03'!C:E,1,0)</f>
        <v xml:space="preserve">Dreno BV alimentção água quente </v>
      </c>
      <c r="DC15" s="53" t="str">
        <f>VLOOKUP(CY15,'BLD03'!C:E,3,0)</f>
        <v>DN-50</v>
      </c>
      <c r="DD15" s="53" t="str">
        <f>VLOOKUP(CY15,'BLD02'!C:G,5,0)</f>
        <v>GEMÜ</v>
      </c>
      <c r="DE15" s="56">
        <f t="shared" si="3"/>
        <v>2</v>
      </c>
    </row>
    <row r="16" spans="2:109" x14ac:dyDescent="0.25">
      <c r="B16" s="14" t="s">
        <v>85</v>
      </c>
      <c r="C16" s="14" t="s">
        <v>68</v>
      </c>
      <c r="D16" s="14" t="s">
        <v>51</v>
      </c>
      <c r="E16" s="14" t="s">
        <v>5</v>
      </c>
      <c r="F16" s="57" t="str">
        <f>VLOOKUP(B16,'FTD02'!C:E,1,0)</f>
        <v>Dreno BV  alimentação carbono</v>
      </c>
      <c r="G16" s="84" t="str">
        <f>VLOOKUP(C16,'FTD02'!A:E,1,0)</f>
        <v>Superior</v>
      </c>
      <c r="H16" s="53" t="str">
        <f>VLOOKUP(B16,'FTD02'!C:E,3,0)</f>
        <v>DN-40</v>
      </c>
      <c r="I16" s="56" t="str">
        <f>VLOOKUP(B16,'FTD02'!C:G,5,0)</f>
        <v>GEMÜ</v>
      </c>
      <c r="J16" s="57" t="str">
        <f>VLOOKUP(B16,'FTD03'!C:E,1,0)</f>
        <v>Dreno BV  alimentação carbono</v>
      </c>
      <c r="K16" s="85" t="str">
        <f>VLOOKUP(C16,'FTD03'!A:E,1,0)</f>
        <v>Superior</v>
      </c>
      <c r="L16" s="53" t="str">
        <f>VLOOKUP(B16,'FTD03'!C:E,3,0)</f>
        <v>DN-40</v>
      </c>
      <c r="M16" s="56" t="str">
        <f>VLOOKUP(B16,'FTD03'!C:G,5,0)</f>
        <v>GEMÜ</v>
      </c>
      <c r="N16" s="57" t="str">
        <f>VLOOKUP(B16,'FTD04'!C:E,1,0)</f>
        <v>Dreno BV  alimentação carbono</v>
      </c>
      <c r="O16" s="85" t="str">
        <f>VLOOKUP(C16,'FTD04'!A:E,1,0)</f>
        <v>Superior</v>
      </c>
      <c r="P16" s="53" t="str">
        <f>VLOOKUP(B16,'FTD04'!C:E,3,0)</f>
        <v>DN-40</v>
      </c>
      <c r="Q16" s="56" t="str">
        <f>VLOOKUP(B16,'FTD04'!C:G,5,0)</f>
        <v>GEMÜ</v>
      </c>
      <c r="R16" s="57" t="str">
        <f>VLOOKUP(B16,'FTD05'!C:E,1,0)</f>
        <v>Dreno BV  alimentação carbono</v>
      </c>
      <c r="S16" s="85" t="str">
        <f>VLOOKUP(C16,'FTD05'!A:E,1,0)</f>
        <v>Superior</v>
      </c>
      <c r="T16" s="53" t="str">
        <f>VLOOKUP(B16,'FTD05'!C:E,3,0)</f>
        <v>DN-40</v>
      </c>
      <c r="U16" s="56" t="str">
        <f>VLOOKUP(B16,'FTD05'!C:G,5,0)</f>
        <v>GEMÜ</v>
      </c>
      <c r="V16" s="65" t="str">
        <f>VLOOKUP(B16,'FTD06'!C:E,1,0)</f>
        <v>Dreno BV  alimentação carbono</v>
      </c>
      <c r="W16" s="85" t="str">
        <f>VLOOKUP(C16,'FTD06'!A:E,1,0)</f>
        <v>Superior</v>
      </c>
      <c r="X16" s="53" t="str">
        <f>VLOOKUP(B16,'FTD06'!C:E,3,0)</f>
        <v>DN-40</v>
      </c>
      <c r="Y16" s="74" t="str">
        <f>VLOOKUP(B16,'FTD06'!C:G,5,0)</f>
        <v>GEMÜ</v>
      </c>
      <c r="Z16" s="57" t="str">
        <f>VLOOKUP(B16,'FTD07'!C:E,1,0)</f>
        <v>Dreno BV  alimentação carbono</v>
      </c>
      <c r="AA16" s="85" t="str">
        <f>VLOOKUP(C16,'FTD07'!A:E,1,0)</f>
        <v>Superior</v>
      </c>
      <c r="AB16" s="53" t="str">
        <f>VLOOKUP(B16,'FTD07'!C:E,3,0)</f>
        <v>DN-40</v>
      </c>
      <c r="AC16" s="56" t="str">
        <f>VLOOKUP(B16,'FTD07'!C:G,5,0)</f>
        <v>GEMÜ</v>
      </c>
      <c r="AD16" s="65" t="str">
        <f>VLOOKUP(B16,'FTD08'!C:E,1,0)</f>
        <v>Dreno BV  alimentação carbono</v>
      </c>
      <c r="AE16" s="85" t="str">
        <f>VLOOKUP(C16,'FTD08'!A:E,1,0)</f>
        <v>Superior</v>
      </c>
      <c r="AF16" s="53" t="str">
        <f>VLOOKUP(B16,'FTD08'!C:E,3,0)</f>
        <v>DN-40</v>
      </c>
      <c r="AG16" s="74" t="str">
        <f>VLOOKUP(B16,'FTD08'!C:G,5,0)</f>
        <v>GEMÜ</v>
      </c>
      <c r="AH16" s="57" t="str">
        <f>VLOOKUP(B16,'FTD09'!C:E,1,0)</f>
        <v>Dreno BV  alimentação carbono</v>
      </c>
      <c r="AI16" s="85" t="str">
        <f>VLOOKUP(C16,'FTD09'!A:E,1,0)</f>
        <v>Superior</v>
      </c>
      <c r="AJ16" s="53" t="str">
        <f>VLOOKUP(B16,'FTD09'!C:E,3,0)</f>
        <v>DN-40</v>
      </c>
      <c r="AK16" s="56" t="str">
        <f>VLOOKUP(B16,'FTD09'!C:G,5,0)</f>
        <v>GEMÜ</v>
      </c>
      <c r="AL16" s="65" t="str">
        <f>VLOOKUP(B16,'FTD10'!C:E,1,0)</f>
        <v>Dreno BV  alimentação carbono</v>
      </c>
      <c r="AM16" s="85" t="str">
        <f>VLOOKUP(C16,'FTD10'!A:E,1,0)</f>
        <v>Superior</v>
      </c>
      <c r="AN16" s="53" t="str">
        <f>VLOOKUP(B16,'FTD10'!C:E,3,0)</f>
        <v>DN-40</v>
      </c>
      <c r="AO16" s="74" t="str">
        <f>VLOOKUP(B16,'FTD10'!C:G,5,0)</f>
        <v>GEMÜ</v>
      </c>
      <c r="AP16" s="57" t="str">
        <f>VLOOKUP(B16,'FTD11'!C:E,1,0)</f>
        <v>Dreno BV  alimentação carbono</v>
      </c>
      <c r="AQ16" s="85" t="str">
        <f>VLOOKUP(C16,'FTD11'!A:E,1,0)</f>
        <v>Superior</v>
      </c>
      <c r="AR16" s="53" t="str">
        <f>VLOOKUP(B16,'FTD11'!C:E,3,0)</f>
        <v>DN-40</v>
      </c>
      <c r="AS16" s="56" t="str">
        <f>VLOOKUP(B16,'FTD11'!C:G,5,0)</f>
        <v>GEMÜ</v>
      </c>
      <c r="AT16" s="65" t="str">
        <f>VLOOKUP(B16,'FTD12'!C:E,1,0)</f>
        <v>Dreno BV  alimentação carbono</v>
      </c>
      <c r="AU16" s="85" t="str">
        <f>VLOOKUP(C16,'FTD12'!A:E,1,0)</f>
        <v>Superior</v>
      </c>
      <c r="AV16" s="53" t="str">
        <f>VLOOKUP(B16,'FTD12'!C:E,3,0)</f>
        <v>DN-40</v>
      </c>
      <c r="AW16" s="84" t="str">
        <f>VLOOKUP(B16,'FTD12'!C:G,5,0)</f>
        <v>GEMÜ</v>
      </c>
      <c r="AX16" s="124">
        <f t="shared" si="0"/>
        <v>11</v>
      </c>
      <c r="AY16" s="124">
        <f t="shared" si="1"/>
        <v>11</v>
      </c>
      <c r="BA16" s="6" t="s">
        <v>93</v>
      </c>
      <c r="BB16" s="6" t="s">
        <v>68</v>
      </c>
      <c r="BC16" s="14" t="s">
        <v>86</v>
      </c>
      <c r="BD16" s="68" t="s">
        <v>5</v>
      </c>
      <c r="BE16" s="85" t="str">
        <f>VLOOKUP(BA16,'PGD02'!C:E,1,0)</f>
        <v>Entrada bloco BV transferência do propagador</v>
      </c>
      <c r="BF16" s="85"/>
      <c r="BG16" s="84" t="str">
        <f>VLOOKUP(BA16,'PGD02'!C:E,3,0)</f>
        <v>DN-25</v>
      </c>
      <c r="BH16" s="86" t="str">
        <f>VLOOKUP(BA16,'PGD02'!C:G,5,0)</f>
        <v>GEMÜ</v>
      </c>
      <c r="BI16" s="83" t="str">
        <f>VLOOKUP(BA16,'PGD03'!C:E,1,0)</f>
        <v>Entrada bloco BV transferência do propagador</v>
      </c>
      <c r="BJ16" s="85"/>
      <c r="BK16" s="84" t="str">
        <f>VLOOKUP(BA16,'PGD03'!C:E,3,0)</f>
        <v>DN-25</v>
      </c>
      <c r="BL16" s="82" t="str">
        <f>VLOOKUP(BA16,'PGD03'!C:G,5,0)</f>
        <v>GEMÜ</v>
      </c>
      <c r="BM16" s="85" t="str">
        <f>VLOOKUP(BA16,'PGD03'!C:E,1,0)</f>
        <v>Entrada bloco BV transferência do propagador</v>
      </c>
      <c r="BN16" s="85"/>
      <c r="BO16" s="84" t="str">
        <f>VLOOKUP(BA16,'PGD04'!C:E,3,0)</f>
        <v>DN-25</v>
      </c>
      <c r="BP16" s="86" t="str">
        <f>VLOOKUP(BA16,'PGD04'!C:G,5,0)</f>
        <v>GEMÜ</v>
      </c>
      <c r="BQ16" s="83" t="str">
        <f>VLOOKUP(BA16,'PGD05'!C:E,1,0)</f>
        <v>Entrada bloco BV transferência do propagador</v>
      </c>
      <c r="BR16" s="85"/>
      <c r="BS16" s="84" t="str">
        <f>VLOOKUP(BA16,'PGD05'!C:E,3,0)</f>
        <v>DN-25</v>
      </c>
      <c r="BT16" s="82" t="str">
        <f>VLOOKUP(BA16,'PGD05'!C:G,5,0)</f>
        <v>GEMÜ</v>
      </c>
      <c r="BU16" s="85" t="str">
        <f>VLOOKUP(BA16,'PGD06'!C:E,1,0)</f>
        <v>Entrada bloco BV transferência do propagador</v>
      </c>
      <c r="BV16" s="85"/>
      <c r="BW16" s="84" t="str">
        <f>VLOOKUP(BA16,'PGD06'!C:E,3,0)</f>
        <v>DN-25</v>
      </c>
      <c r="BX16" s="86" t="str">
        <f>VLOOKUP(BA16,'PGD06'!C:G,5,0)</f>
        <v>GEMÜ</v>
      </c>
      <c r="BY16" s="83" t="str">
        <f>VLOOKUP(BA16,'PGD07'!C:E,1,0)</f>
        <v>Entrada bloco BV transferência do propagador</v>
      </c>
      <c r="BZ16" s="85"/>
      <c r="CA16" s="84" t="str">
        <f>VLOOKUP(BA16,'PGD07'!C:E,3,0)</f>
        <v>DN-25</v>
      </c>
      <c r="CB16" s="82" t="str">
        <f>VLOOKUP(BA16,'PGD07'!C:G,5,0)</f>
        <v>GEMÜ</v>
      </c>
      <c r="CC16" s="85" t="str">
        <f>VLOOKUP(BA16,'PGD08'!C:E,1,0)</f>
        <v>Entrada bloco BV transferência do propagador</v>
      </c>
      <c r="CD16" s="85"/>
      <c r="CE16" s="84" t="str">
        <f>VLOOKUP(BA16,'PGD08'!C:E,3,0)</f>
        <v>DN-25</v>
      </c>
      <c r="CF16" s="86" t="str">
        <f>VLOOKUP(BA16,'PGD08'!C:G,5,0)</f>
        <v>GEMÜ</v>
      </c>
      <c r="CG16" s="83" t="str">
        <f>VLOOKUP(BA16,'PGD09'!C:E,1,0)</f>
        <v>Entrada bloco BV transferência do propagador</v>
      </c>
      <c r="CH16" s="85"/>
      <c r="CI16" s="84" t="str">
        <f>VLOOKUP(BA16,'PGD09'!C:E,3,0)</f>
        <v>DN-25</v>
      </c>
      <c r="CJ16" s="82" t="str">
        <f>VLOOKUP(BA16,'PGD09'!C:G,5,0)</f>
        <v>GEMÜ</v>
      </c>
      <c r="CK16" s="85" t="str">
        <f>VLOOKUP(BA16,'PGD10'!C:E,1,0)</f>
        <v>Entrada bloco BV transferência do propagador</v>
      </c>
      <c r="CL16" s="85"/>
      <c r="CM16" s="84" t="str">
        <f>VLOOKUP(BA16,'PGD10'!C:E,3,0)</f>
        <v>DN-25</v>
      </c>
      <c r="CN16" s="86" t="str">
        <f>VLOOKUP(BA16,'PGD10'!C:G,5,0)</f>
        <v>GEMÜ</v>
      </c>
      <c r="CO16" s="83" t="str">
        <f>VLOOKUP(BA16,'PGD11'!C:E,1,0)</f>
        <v>Entrada bloco BV transferência do propagador</v>
      </c>
      <c r="CP16" s="85"/>
      <c r="CQ16" s="84" t="str">
        <f>VLOOKUP(BA16,'PGD11'!C:E,3,0)</f>
        <v>DN-25</v>
      </c>
      <c r="CR16" s="82" t="str">
        <f>VLOOKUP(BA16,'PGD11'!C:G,5,0)</f>
        <v>GEMÜ</v>
      </c>
      <c r="CS16" s="85" t="str">
        <f>VLOOKUP(BA16,'PGD12'!C:E,1,0)</f>
        <v>Entrada bloco BV transferência do propagador</v>
      </c>
      <c r="CT16" s="85"/>
      <c r="CU16" s="84" t="str">
        <f>VLOOKUP(BA16,'PGD12'!C:E,3,0)</f>
        <v>DN-25</v>
      </c>
      <c r="CV16" s="84" t="str">
        <f>VLOOKUP(BA16,'PGD12'!C:G,5,0)</f>
        <v>GEMÜ</v>
      </c>
      <c r="CW16" s="82">
        <f t="shared" si="2"/>
        <v>11</v>
      </c>
      <c r="CY16" s="51" t="s">
        <v>95</v>
      </c>
      <c r="CZ16" s="6" t="s">
        <v>86</v>
      </c>
      <c r="DA16" s="80" t="s">
        <v>5</v>
      </c>
      <c r="DB16" s="85" t="str">
        <f>VLOOKUP(CY16,'BLD03'!C:E,1,0)</f>
        <v xml:space="preserve">Válvula de limpeza na linha de amostra </v>
      </c>
      <c r="DC16" s="84" t="str">
        <f>VLOOKUP(CY16,'BLD03'!C:E,3,0)</f>
        <v>DN-25</v>
      </c>
      <c r="DD16" s="84" t="str">
        <f>VLOOKUP(CY16,'BLD02'!C:G,5,0)</f>
        <v>GEMÜ</v>
      </c>
      <c r="DE16" s="82">
        <f t="shared" si="3"/>
        <v>2</v>
      </c>
    </row>
    <row r="17" spans="2:109" ht="15" customHeight="1" x14ac:dyDescent="0.25">
      <c r="B17" s="7" t="s">
        <v>96</v>
      </c>
      <c r="C17" s="7" t="s">
        <v>68</v>
      </c>
      <c r="D17" s="7" t="s">
        <v>86</v>
      </c>
      <c r="E17" s="7" t="s">
        <v>5</v>
      </c>
      <c r="F17" s="83" t="str">
        <f>VLOOKUP(B17,'FTD02'!C:E,1,0)</f>
        <v>Dreno BV  alimentação CIP</v>
      </c>
      <c r="G17" s="122" t="str">
        <f>VLOOKUP(C17,'FTD02'!A:E,1,0)</f>
        <v>Superior</v>
      </c>
      <c r="H17" s="84" t="str">
        <f>VLOOKUP(B17,'FTD02'!C:E,3,0)</f>
        <v>DN-25</v>
      </c>
      <c r="I17" s="82" t="str">
        <f>VLOOKUP(B17,'FTD02'!C:G,5,0)</f>
        <v>GEMÜ</v>
      </c>
      <c r="J17" s="83" t="str">
        <f>VLOOKUP(B17,'FTD03'!C:E,1,0)</f>
        <v>Dreno BV  alimentação CIP</v>
      </c>
      <c r="K17" s="85" t="str">
        <f>VLOOKUP(C17,'FTD03'!A:E,1,0)</f>
        <v>Superior</v>
      </c>
      <c r="L17" s="84" t="str">
        <f>VLOOKUP(B17,'FTD03'!C:E,3,0)</f>
        <v>DN-25</v>
      </c>
      <c r="M17" s="82" t="str">
        <f>VLOOKUP(B17,'FTD03'!C:G,5,0)</f>
        <v>GEMÜ</v>
      </c>
      <c r="N17" s="83" t="str">
        <f>VLOOKUP(B17,'FTD04'!C:E,1,0)</f>
        <v>Dreno BV  alimentação CIP</v>
      </c>
      <c r="O17" s="85" t="str">
        <f>VLOOKUP(C17,'FTD04'!A:E,1,0)</f>
        <v>Superior</v>
      </c>
      <c r="P17" s="84" t="str">
        <f>VLOOKUP(B17,'FTD04'!C:E,3,0)</f>
        <v>DN-25</v>
      </c>
      <c r="Q17" s="82" t="str">
        <f>VLOOKUP(B17,'FTD04'!C:G,5,0)</f>
        <v>GEMÜ</v>
      </c>
      <c r="R17" s="83" t="str">
        <f>VLOOKUP(B17,'FTD05'!C:E,1,0)</f>
        <v>Dreno BV  alimentação CIP</v>
      </c>
      <c r="S17" s="85" t="str">
        <f>VLOOKUP(C17,'FTD05'!A:E,1,0)</f>
        <v>Superior</v>
      </c>
      <c r="T17" s="84" t="str">
        <f>VLOOKUP(B17,'FTD05'!C:E,3,0)</f>
        <v>DN-25</v>
      </c>
      <c r="U17" s="82" t="str">
        <f>VLOOKUP(B17,'FTD05'!C:G,5,0)</f>
        <v>GEMÜ</v>
      </c>
      <c r="V17" s="85" t="str">
        <f>VLOOKUP(B17,'FTD06'!C:E,1,0)</f>
        <v>Dreno BV  alimentação CIP</v>
      </c>
      <c r="W17" s="85" t="str">
        <f>VLOOKUP(C17,'FTD06'!A:E,1,0)</f>
        <v>Superior</v>
      </c>
      <c r="X17" s="84" t="str">
        <f>VLOOKUP(B17,'FTD06'!C:E,3,0)</f>
        <v>DN-25</v>
      </c>
      <c r="Y17" s="86" t="str">
        <f>VLOOKUP(B17,'FTD06'!C:G,5,0)</f>
        <v>GEMÜ</v>
      </c>
      <c r="Z17" s="83" t="str">
        <f>VLOOKUP(B17,'FTD07'!C:E,1,0)</f>
        <v>Dreno BV  alimentação CIP</v>
      </c>
      <c r="AA17" s="85" t="str">
        <f>VLOOKUP(C17,'FTD07'!A:E,1,0)</f>
        <v>Superior</v>
      </c>
      <c r="AB17" s="84" t="str">
        <f>VLOOKUP(B17,'FTD07'!C:E,3,0)</f>
        <v>DN-25</v>
      </c>
      <c r="AC17" s="82" t="str">
        <f>VLOOKUP(B17,'FTD07'!C:G,5,0)</f>
        <v>GEMÜ</v>
      </c>
      <c r="AD17" s="85" t="str">
        <f>VLOOKUP(B17,'FTD08'!C:E,1,0)</f>
        <v>Dreno BV  alimentação CIP</v>
      </c>
      <c r="AE17" s="85" t="str">
        <f>VLOOKUP(C17,'FTD08'!A:E,1,0)</f>
        <v>Superior</v>
      </c>
      <c r="AF17" s="84" t="str">
        <f>VLOOKUP(B17,'FTD08'!C:E,3,0)</f>
        <v>DN-25</v>
      </c>
      <c r="AG17" s="86" t="str">
        <f>VLOOKUP(B17,'FTD08'!C:G,5,0)</f>
        <v>GEMÜ</v>
      </c>
      <c r="AH17" s="83" t="str">
        <f>VLOOKUP(B17,'FTD09'!C:E,1,0)</f>
        <v>Dreno BV  alimentação CIP</v>
      </c>
      <c r="AI17" s="85" t="str">
        <f>VLOOKUP(C17,'FTD09'!A:E,1,0)</f>
        <v>Superior</v>
      </c>
      <c r="AJ17" s="84" t="str">
        <f>VLOOKUP(B17,'FTD09'!C:E,3,0)</f>
        <v>DN-25</v>
      </c>
      <c r="AK17" s="82" t="str">
        <f>VLOOKUP(B17,'FTD09'!C:G,5,0)</f>
        <v>GEMÜ</v>
      </c>
      <c r="AL17" s="85" t="str">
        <f>VLOOKUP(B17,'FTD10'!C:E,1,0)</f>
        <v>Dreno BV  alimentação CIP</v>
      </c>
      <c r="AM17" s="85" t="str">
        <f>VLOOKUP(C17,'FTD10'!A:E,1,0)</f>
        <v>Superior</v>
      </c>
      <c r="AN17" s="84" t="str">
        <f>VLOOKUP(B17,'FTD10'!C:E,3,0)</f>
        <v>DN-25</v>
      </c>
      <c r="AO17" s="86" t="str">
        <f>VLOOKUP(B17,'FTD10'!C:G,5,0)</f>
        <v>GEMÜ</v>
      </c>
      <c r="AP17" s="83" t="str">
        <f>VLOOKUP(B17,'FTD11'!C:E,1,0)</f>
        <v>Dreno BV  alimentação CIP</v>
      </c>
      <c r="AQ17" s="85" t="str">
        <f>VLOOKUP(C17,'FTD11'!A:E,1,0)</f>
        <v>Superior</v>
      </c>
      <c r="AR17" s="84" t="str">
        <f>VLOOKUP(B17,'FTD11'!C:E,3,0)</f>
        <v>DN-25</v>
      </c>
      <c r="AS17" s="82" t="str">
        <f>VLOOKUP(B17,'FTD11'!C:G,5,0)</f>
        <v>GEMÜ</v>
      </c>
      <c r="AT17" s="85" t="str">
        <f>VLOOKUP(B17,'FTD12'!C:E,1,0)</f>
        <v>Dreno BV  alimentação CIP</v>
      </c>
      <c r="AU17" s="85" t="str">
        <f>VLOOKUP(C17,'FTD12'!A:E,1,0)</f>
        <v>Superior</v>
      </c>
      <c r="AV17" s="84" t="str">
        <f>VLOOKUP(B17,'FTD12'!C:E,3,0)</f>
        <v>DN-25</v>
      </c>
      <c r="AW17" s="53" t="str">
        <f>VLOOKUP(B17,'FTD12'!C:G,5,0)</f>
        <v>GEMÜ</v>
      </c>
      <c r="AX17" s="124">
        <f t="shared" si="0"/>
        <v>11</v>
      </c>
      <c r="AY17" s="124">
        <f t="shared" si="1"/>
        <v>11</v>
      </c>
      <c r="BA17" s="16" t="s">
        <v>97</v>
      </c>
      <c r="BB17" s="16" t="s">
        <v>68</v>
      </c>
      <c r="BC17" s="16" t="s">
        <v>86</v>
      </c>
      <c r="BD17" s="78" t="s">
        <v>5</v>
      </c>
      <c r="BE17" s="65" t="str">
        <f>VLOOKUP(BA17,'PGD02'!C:E,1,0)</f>
        <v>Entrada propagador BV transferência do propagador</v>
      </c>
      <c r="BF17" s="65"/>
      <c r="BG17" s="53" t="str">
        <f>VLOOKUP(BA17,'PGD02'!C:E,3,0)</f>
        <v>DN-25</v>
      </c>
      <c r="BH17" s="74" t="str">
        <f>VLOOKUP(BA17,'PGD02'!C:G,5,0)</f>
        <v>GEMÜ</v>
      </c>
      <c r="BI17" s="57" t="str">
        <f>VLOOKUP(BA17,'PGD03'!C:E,1,0)</f>
        <v>Entrada propagador BV transferência do propagador</v>
      </c>
      <c r="BJ17" s="65"/>
      <c r="BK17" s="53" t="str">
        <f>VLOOKUP(BA17,'PGD03'!C:E,3,0)</f>
        <v>DN-25</v>
      </c>
      <c r="BL17" s="56" t="str">
        <f>VLOOKUP(BA17,'PGD03'!C:G,5,0)</f>
        <v>GEMÜ</v>
      </c>
      <c r="BM17" s="65" t="str">
        <f>VLOOKUP(BA17,'PGD03'!C:E,1,0)</f>
        <v>Entrada propagador BV transferência do propagador</v>
      </c>
      <c r="BN17" s="65"/>
      <c r="BO17" s="53" t="str">
        <f>VLOOKUP(BA17,'PGD04'!C:E,3,0)</f>
        <v>DN-25</v>
      </c>
      <c r="BP17" s="74" t="str">
        <f>VLOOKUP(BA17,'PGD04'!C:G,5,0)</f>
        <v>GEMÜ</v>
      </c>
      <c r="BQ17" s="57" t="str">
        <f>VLOOKUP(BA17,'PGD05'!C:E,1,0)</f>
        <v>Entrada propagador BV transferência do propagador</v>
      </c>
      <c r="BR17" s="65"/>
      <c r="BS17" s="53" t="str">
        <f>VLOOKUP(BA17,'PGD05'!C:E,3,0)</f>
        <v>DN-25</v>
      </c>
      <c r="BT17" s="56" t="str">
        <f>VLOOKUP(BA17,'PGD05'!C:G,5,0)</f>
        <v>GEMÜ</v>
      </c>
      <c r="BU17" s="65" t="str">
        <f>VLOOKUP(BA17,'PGD06'!C:E,1,0)</f>
        <v>Entrada propagador BV transferência do propagador</v>
      </c>
      <c r="BV17" s="65"/>
      <c r="BW17" s="53" t="str">
        <f>VLOOKUP(BA17,'PGD06'!C:E,3,0)</f>
        <v>DN-25</v>
      </c>
      <c r="BX17" s="74" t="str">
        <f>VLOOKUP(BA17,'PGD06'!C:G,5,0)</f>
        <v>GEMÜ</v>
      </c>
      <c r="BY17" s="57" t="str">
        <f>VLOOKUP(BA17,'PGD07'!C:E,1,0)</f>
        <v>Entrada propagador BV transferência do propagador</v>
      </c>
      <c r="BZ17" s="65"/>
      <c r="CA17" s="53" t="str">
        <f>VLOOKUP(BA17,'PGD07'!C:E,3,0)</f>
        <v>DN-25</v>
      </c>
      <c r="CB17" s="56" t="str">
        <f>VLOOKUP(BA17,'PGD07'!C:G,5,0)</f>
        <v>GEMÜ</v>
      </c>
      <c r="CC17" s="65" t="str">
        <f>VLOOKUP(BA17,'PGD08'!C:E,1,0)</f>
        <v>Entrada propagador BV transferência do propagador</v>
      </c>
      <c r="CD17" s="65"/>
      <c r="CE17" s="53" t="str">
        <f>VLOOKUP(BA17,'PGD08'!C:E,3,0)</f>
        <v>DN-25</v>
      </c>
      <c r="CF17" s="74" t="str">
        <f>VLOOKUP(BA17,'PGD08'!C:G,5,0)</f>
        <v>GEMÜ</v>
      </c>
      <c r="CG17" s="57" t="str">
        <f>VLOOKUP(BA17,'PGD09'!C:E,1,0)</f>
        <v>Entrada propagador BV transferência do propagador</v>
      </c>
      <c r="CH17" s="65"/>
      <c r="CI17" s="53" t="str">
        <f>VLOOKUP(BA17,'PGD09'!C:E,3,0)</f>
        <v>DN-25</v>
      </c>
      <c r="CJ17" s="56" t="str">
        <f>VLOOKUP(BA17,'PGD09'!C:G,5,0)</f>
        <v>GEMÜ</v>
      </c>
      <c r="CK17" s="65" t="str">
        <f>VLOOKUP(BA17,'PGD10'!C:E,1,0)</f>
        <v>Entrada propagador BV transferência do propagador</v>
      </c>
      <c r="CL17" s="65"/>
      <c r="CM17" s="53" t="str">
        <f>VLOOKUP(BA17,'PGD10'!C:E,3,0)</f>
        <v>DN-25</v>
      </c>
      <c r="CN17" s="74" t="str">
        <f>VLOOKUP(BA17,'PGD10'!C:G,5,0)</f>
        <v>GEMÜ</v>
      </c>
      <c r="CO17" s="57" t="str">
        <f>VLOOKUP(BA17,'PGD11'!C:E,1,0)</f>
        <v>Entrada propagador BV transferência do propagador</v>
      </c>
      <c r="CP17" s="65"/>
      <c r="CQ17" s="53" t="str">
        <f>VLOOKUP(BA17,'PGD11'!C:E,3,0)</f>
        <v>DN-25</v>
      </c>
      <c r="CR17" s="56" t="str">
        <f>VLOOKUP(BA17,'PGD11'!C:G,5,0)</f>
        <v>GEMÜ</v>
      </c>
      <c r="CS17" s="65" t="str">
        <f>VLOOKUP(BA17,'PGD12'!C:E,1,0)</f>
        <v>Entrada propagador BV transferência do propagador</v>
      </c>
      <c r="CT17" s="65"/>
      <c r="CU17" s="53" t="str">
        <f>VLOOKUP(BA17,'PGD12'!C:E,3,0)</f>
        <v>DN-25</v>
      </c>
      <c r="CV17" s="53" t="str">
        <f>VLOOKUP(BA17,'PGD12'!C:G,5,0)</f>
        <v>GEMÜ</v>
      </c>
      <c r="CW17" s="56">
        <f t="shared" si="2"/>
        <v>11</v>
      </c>
      <c r="CY17" s="52" t="s">
        <v>99</v>
      </c>
      <c r="CZ17" s="16" t="s">
        <v>86</v>
      </c>
      <c r="DA17" s="81" t="s">
        <v>5</v>
      </c>
      <c r="DB17" s="65" t="str">
        <f>VLOOKUP(CY17,'BLD03'!C:E,1,0)</f>
        <v xml:space="preserve">Entrada de ar no tanque </v>
      </c>
      <c r="DC17" s="53" t="str">
        <f>VLOOKUP(CY17,'BLD03'!C:E,3,0)</f>
        <v>DN-25</v>
      </c>
      <c r="DD17" s="53" t="str">
        <f>VLOOKUP(CY17,'BLD02'!C:G,5,0)</f>
        <v>GEMÜ</v>
      </c>
      <c r="DE17" s="56">
        <f t="shared" si="3"/>
        <v>2</v>
      </c>
    </row>
    <row r="18" spans="2:109" x14ac:dyDescent="0.25">
      <c r="B18" s="14" t="s">
        <v>90</v>
      </c>
      <c r="C18" s="14" t="s">
        <v>68</v>
      </c>
      <c r="D18" s="14" t="s">
        <v>51</v>
      </c>
      <c r="E18" s="14" t="s">
        <v>5</v>
      </c>
      <c r="F18" s="57" t="str">
        <f>VLOOKUP(B18,'FTD02'!C:E,1,0)</f>
        <v>Dreno BV  alimentação nitrogênio</v>
      </c>
      <c r="G18" s="84" t="str">
        <f>VLOOKUP(C18,'FTD02'!A:E,1,0)</f>
        <v>Superior</v>
      </c>
      <c r="H18" s="53" t="str">
        <f>VLOOKUP(B18,'FTD02'!C:E,3,0)</f>
        <v>DN-40</v>
      </c>
      <c r="I18" s="56" t="str">
        <f>VLOOKUP(B18,'FTD02'!C:G,5,0)</f>
        <v>GEMÜ</v>
      </c>
      <c r="J18" s="57" t="str">
        <f>VLOOKUP(B18,'FTD03'!C:E,1,0)</f>
        <v>Dreno BV  alimentação nitrogênio</v>
      </c>
      <c r="K18" s="85" t="str">
        <f>VLOOKUP(C18,'FTD03'!A:E,1,0)</f>
        <v>Superior</v>
      </c>
      <c r="L18" s="53" t="str">
        <f>VLOOKUP(B18,'FTD03'!C:E,3,0)</f>
        <v>DN-40</v>
      </c>
      <c r="M18" s="56" t="str">
        <f>VLOOKUP(B18,'FTD03'!C:G,5,0)</f>
        <v>GEMÜ</v>
      </c>
      <c r="N18" s="57" t="str">
        <f>VLOOKUP(B18,'FTD04'!C:E,1,0)</f>
        <v>Dreno BV  alimentação nitrogênio</v>
      </c>
      <c r="O18" s="85" t="str">
        <f>VLOOKUP(C18,'FTD04'!A:E,1,0)</f>
        <v>Superior</v>
      </c>
      <c r="P18" s="53" t="str">
        <f>VLOOKUP(B18,'FTD04'!C:E,3,0)</f>
        <v>DN-40</v>
      </c>
      <c r="Q18" s="56" t="str">
        <f>VLOOKUP(B18,'FTD04'!C:G,5,0)</f>
        <v>GEMÜ</v>
      </c>
      <c r="R18" s="57" t="str">
        <f>VLOOKUP(B18,'FTD05'!C:E,1,0)</f>
        <v>Dreno BV  alimentação nitrogênio</v>
      </c>
      <c r="S18" s="85" t="str">
        <f>VLOOKUP(C18,'FTD05'!A:E,1,0)</f>
        <v>Superior</v>
      </c>
      <c r="T18" s="53" t="str">
        <f>VLOOKUP(B18,'FTD05'!C:E,3,0)</f>
        <v>DN-40</v>
      </c>
      <c r="U18" s="56" t="str">
        <f>VLOOKUP(B18,'FTD05'!C:G,5,0)</f>
        <v>GEMÜ</v>
      </c>
      <c r="V18" s="65" t="str">
        <f>VLOOKUP(B18,'FTD06'!C:E,1,0)</f>
        <v>Dreno BV  alimentação nitrogênio</v>
      </c>
      <c r="W18" s="85" t="str">
        <f>VLOOKUP(C18,'FTD06'!A:E,1,0)</f>
        <v>Superior</v>
      </c>
      <c r="X18" s="53" t="str">
        <f>VLOOKUP(B18,'FTD06'!C:E,3,0)</f>
        <v>DN-40</v>
      </c>
      <c r="Y18" s="74" t="str">
        <f>VLOOKUP(B18,'FTD06'!C:G,5,0)</f>
        <v>GEMÜ</v>
      </c>
      <c r="Z18" s="57" t="str">
        <f>VLOOKUP(B18,'FTD07'!C:E,1,0)</f>
        <v>Dreno BV  alimentação nitrogênio</v>
      </c>
      <c r="AA18" s="85" t="str">
        <f>VLOOKUP(C18,'FTD07'!A:E,1,0)</f>
        <v>Superior</v>
      </c>
      <c r="AB18" s="53" t="str">
        <f>VLOOKUP(B18,'FTD07'!C:E,3,0)</f>
        <v>DN-40</v>
      </c>
      <c r="AC18" s="56" t="str">
        <f>VLOOKUP(B18,'FTD07'!C:G,5,0)</f>
        <v>GEMÜ</v>
      </c>
      <c r="AD18" s="65" t="str">
        <f>VLOOKUP(B18,'FTD08'!C:E,1,0)</f>
        <v>Dreno BV  alimentação nitrogênio</v>
      </c>
      <c r="AE18" s="85" t="str">
        <f>VLOOKUP(C18,'FTD08'!A:E,1,0)</f>
        <v>Superior</v>
      </c>
      <c r="AF18" s="53" t="str">
        <f>VLOOKUP(B18,'FTD08'!C:E,3,0)</f>
        <v>DN-40</v>
      </c>
      <c r="AG18" s="74" t="str">
        <f>VLOOKUP(B18,'FTD08'!C:G,5,0)</f>
        <v>GEMÜ</v>
      </c>
      <c r="AH18" s="57" t="str">
        <f>VLOOKUP(B18,'FTD09'!C:E,1,0)</f>
        <v>Dreno BV  alimentação nitrogênio</v>
      </c>
      <c r="AI18" s="85" t="str">
        <f>VLOOKUP(C18,'FTD09'!A:E,1,0)</f>
        <v>Superior</v>
      </c>
      <c r="AJ18" s="53" t="str">
        <f>VLOOKUP(B18,'FTD09'!C:E,3,0)</f>
        <v>DN-40</v>
      </c>
      <c r="AK18" s="56" t="str">
        <f>VLOOKUP(B18,'FTD09'!C:G,5,0)</f>
        <v>GEMÜ</v>
      </c>
      <c r="AL18" s="65" t="str">
        <f>VLOOKUP(B18,'FTD10'!C:E,1,0)</f>
        <v>Dreno BV  alimentação nitrogênio</v>
      </c>
      <c r="AM18" s="85" t="str">
        <f>VLOOKUP(C18,'FTD10'!A:E,1,0)</f>
        <v>Superior</v>
      </c>
      <c r="AN18" s="53" t="str">
        <f>VLOOKUP(B18,'FTD10'!C:E,3,0)</f>
        <v>DN-40</v>
      </c>
      <c r="AO18" s="74" t="str">
        <f>VLOOKUP(B18,'FTD10'!C:G,5,0)</f>
        <v>GEMÜ</v>
      </c>
      <c r="AP18" s="57" t="str">
        <f>VLOOKUP(B18,'FTD11'!C:E,1,0)</f>
        <v>Dreno BV  alimentação nitrogênio</v>
      </c>
      <c r="AQ18" s="85" t="str">
        <f>VLOOKUP(C18,'FTD11'!A:E,1,0)</f>
        <v>Superior</v>
      </c>
      <c r="AR18" s="53" t="str">
        <f>VLOOKUP(B18,'FTD11'!C:E,3,0)</f>
        <v>DN-40</v>
      </c>
      <c r="AS18" s="56" t="str">
        <f>VLOOKUP(B18,'FTD11'!C:G,5,0)</f>
        <v>GEMÜ</v>
      </c>
      <c r="AT18" s="65" t="str">
        <f>VLOOKUP(B18,'FTD12'!C:E,1,0)</f>
        <v>Dreno BV  alimentação nitrogênio</v>
      </c>
      <c r="AU18" s="85" t="str">
        <f>VLOOKUP(C18,'FTD12'!A:E,1,0)</f>
        <v>Superior</v>
      </c>
      <c r="AV18" s="53" t="str">
        <f>VLOOKUP(B18,'FTD12'!C:E,3,0)</f>
        <v>DN-40</v>
      </c>
      <c r="AW18" s="84" t="str">
        <f>VLOOKUP(B18,'FTD12'!C:G,5,0)</f>
        <v>GEMÜ</v>
      </c>
      <c r="AX18" s="124">
        <f t="shared" si="0"/>
        <v>11</v>
      </c>
      <c r="AY18" s="124">
        <f t="shared" si="1"/>
        <v>11</v>
      </c>
      <c r="BA18" s="14" t="s">
        <v>100</v>
      </c>
      <c r="BB18" s="14" t="s">
        <v>68</v>
      </c>
      <c r="BC18" s="14" t="s">
        <v>86</v>
      </c>
      <c r="BD18" s="68" t="s">
        <v>5</v>
      </c>
      <c r="BE18" s="85" t="str">
        <f>VLOOKUP(BA18,'PGD02'!C:E,1,0)</f>
        <v>Dreno BV  transferência do propagador</v>
      </c>
      <c r="BF18" s="85"/>
      <c r="BG18" s="84" t="str">
        <f>VLOOKUP(BA18,'PGD02'!C:E,3,0)</f>
        <v>DN-25</v>
      </c>
      <c r="BH18" s="86" t="str">
        <f>VLOOKUP(BA18,'PGD02'!C:G,5,0)</f>
        <v>GEMÜ</v>
      </c>
      <c r="BI18" s="83" t="str">
        <f>VLOOKUP(BA18,'PGD03'!C:E,1,0)</f>
        <v>Dreno BV  transferência do propagador</v>
      </c>
      <c r="BJ18" s="85"/>
      <c r="BK18" s="84" t="str">
        <f>VLOOKUP(BA18,'PGD03'!C:E,3,0)</f>
        <v>DN-25</v>
      </c>
      <c r="BL18" s="82" t="str">
        <f>VLOOKUP(BA18,'PGD03'!C:G,5,0)</f>
        <v>GEMÜ</v>
      </c>
      <c r="BM18" s="85" t="str">
        <f>VLOOKUP(BA18,'PGD03'!C:E,1,0)</f>
        <v>Dreno BV  transferência do propagador</v>
      </c>
      <c r="BN18" s="85"/>
      <c r="BO18" s="84" t="str">
        <f>VLOOKUP(BA18,'PGD04'!C:E,3,0)</f>
        <v>DN-25</v>
      </c>
      <c r="BP18" s="86" t="str">
        <f>VLOOKUP(BA18,'PGD04'!C:G,5,0)</f>
        <v>GEMÜ</v>
      </c>
      <c r="BQ18" s="83" t="str">
        <f>VLOOKUP(BA18,'PGD05'!C:E,1,0)</f>
        <v>Dreno BV  transferência do propagador</v>
      </c>
      <c r="BR18" s="85"/>
      <c r="BS18" s="84" t="str">
        <f>VLOOKUP(BA18,'PGD05'!C:E,3,0)</f>
        <v>DN-25</v>
      </c>
      <c r="BT18" s="82" t="str">
        <f>VLOOKUP(BA18,'PGD05'!C:G,5,0)</f>
        <v>GEMÜ</v>
      </c>
      <c r="BU18" s="85" t="str">
        <f>VLOOKUP(BA18,'PGD06'!C:E,1,0)</f>
        <v>Dreno BV  transferência do propagador</v>
      </c>
      <c r="BV18" s="85"/>
      <c r="BW18" s="84" t="str">
        <f>VLOOKUP(BA18,'PGD06'!C:E,3,0)</f>
        <v>DN-25</v>
      </c>
      <c r="BX18" s="86" t="str">
        <f>VLOOKUP(BA18,'PGD06'!C:G,5,0)</f>
        <v>GEMÜ</v>
      </c>
      <c r="BY18" s="83" t="str">
        <f>VLOOKUP(BA18,'PGD07'!C:E,1,0)</f>
        <v>Dreno BV  transferência do propagador</v>
      </c>
      <c r="BZ18" s="85"/>
      <c r="CA18" s="84" t="str">
        <f>VLOOKUP(BA18,'PGD07'!C:E,3,0)</f>
        <v>DN-25</v>
      </c>
      <c r="CB18" s="82" t="str">
        <f>VLOOKUP(BA18,'PGD07'!C:G,5,0)</f>
        <v>GEMÜ</v>
      </c>
      <c r="CC18" s="85" t="str">
        <f>VLOOKUP(BA18,'PGD08'!C:E,1,0)</f>
        <v>Dreno BV  transferência do propagador</v>
      </c>
      <c r="CD18" s="85"/>
      <c r="CE18" s="84" t="str">
        <f>VLOOKUP(BA18,'PGD08'!C:E,3,0)</f>
        <v>DN-25</v>
      </c>
      <c r="CF18" s="86" t="str">
        <f>VLOOKUP(BA18,'PGD08'!C:G,5,0)</f>
        <v>GEMÜ</v>
      </c>
      <c r="CG18" s="83" t="str">
        <f>VLOOKUP(BA18,'PGD09'!C:E,1,0)</f>
        <v>Dreno BV  transferência do propagador</v>
      </c>
      <c r="CH18" s="85"/>
      <c r="CI18" s="84" t="str">
        <f>VLOOKUP(BA18,'PGD09'!C:E,3,0)</f>
        <v>DN-25</v>
      </c>
      <c r="CJ18" s="82" t="str">
        <f>VLOOKUP(BA18,'PGD09'!C:G,5,0)</f>
        <v>GEMÜ</v>
      </c>
      <c r="CK18" s="85" t="str">
        <f>VLOOKUP(BA18,'PGD10'!C:E,1,0)</f>
        <v>Dreno BV  transferência do propagador</v>
      </c>
      <c r="CL18" s="85"/>
      <c r="CM18" s="84" t="str">
        <f>VLOOKUP(BA18,'PGD10'!C:E,3,0)</f>
        <v>DN-25</v>
      </c>
      <c r="CN18" s="86" t="str">
        <f>VLOOKUP(BA18,'PGD10'!C:G,5,0)</f>
        <v>GEMÜ</v>
      </c>
      <c r="CO18" s="83" t="str">
        <f>VLOOKUP(BA18,'PGD11'!C:E,1,0)</f>
        <v>Dreno BV  transferência do propagador</v>
      </c>
      <c r="CP18" s="85"/>
      <c r="CQ18" s="84" t="str">
        <f>VLOOKUP(BA18,'PGD11'!C:E,3,0)</f>
        <v>DN-25</v>
      </c>
      <c r="CR18" s="82" t="str">
        <f>VLOOKUP(BA18,'PGD11'!C:G,5,0)</f>
        <v>GEMÜ</v>
      </c>
      <c r="CS18" s="85" t="str">
        <f>VLOOKUP(BA18,'PGD12'!C:E,1,0)</f>
        <v>Dreno BV  transferência do propagador</v>
      </c>
      <c r="CT18" s="85"/>
      <c r="CU18" s="84" t="str">
        <f>VLOOKUP(BA18,'PGD12'!C:E,3,0)</f>
        <v>DN-25</v>
      </c>
      <c r="CV18" s="84" t="str">
        <f>VLOOKUP(BA18,'PGD12'!C:G,5,0)</f>
        <v>GEMÜ</v>
      </c>
      <c r="CW18" s="82">
        <f t="shared" si="2"/>
        <v>11</v>
      </c>
      <c r="CY18" s="51" t="s">
        <v>102</v>
      </c>
      <c r="CZ18" s="6" t="s">
        <v>48</v>
      </c>
      <c r="DA18" s="80" t="s">
        <v>6</v>
      </c>
      <c r="DB18" s="85" t="str">
        <f>VLOOKUP(CY18,'BLD03'!C:E,1,0)</f>
        <v xml:space="preserve">Dreno da linha de vapor antes do filtro absoluto </v>
      </c>
      <c r="DC18" s="84" t="str">
        <f>VLOOKUP(CY18,'BLD03'!C:E,3,0)</f>
        <v>DN-8</v>
      </c>
      <c r="DD18" s="84" t="str">
        <f>VLOOKUP(CY18,'BLD02'!C:G,5,0)</f>
        <v>ZDL</v>
      </c>
      <c r="DE18" s="82">
        <f t="shared" si="3"/>
        <v>2</v>
      </c>
    </row>
    <row r="19" spans="2:109" x14ac:dyDescent="0.25">
      <c r="B19" s="7" t="s">
        <v>100</v>
      </c>
      <c r="C19" s="7" t="s">
        <v>68</v>
      </c>
      <c r="D19" s="7" t="s">
        <v>51</v>
      </c>
      <c r="E19" s="7" t="s">
        <v>5</v>
      </c>
      <c r="F19" s="83" t="str">
        <f>VLOOKUP(B19,'FTD02'!C:E,1,0)</f>
        <v>Dreno BV  transferência do propagador</v>
      </c>
      <c r="G19" s="122" t="str">
        <f>VLOOKUP(C19,'FTD02'!A:E,1,0)</f>
        <v>Superior</v>
      </c>
      <c r="H19" s="84" t="str">
        <f>VLOOKUP(B19,'FTD02'!C:E,3,0)</f>
        <v>DN-40</v>
      </c>
      <c r="I19" s="82" t="str">
        <f>VLOOKUP(B19,'FTD02'!C:G,5,0)</f>
        <v>GEMÜ</v>
      </c>
      <c r="J19" s="83" t="str">
        <f>VLOOKUP(B19,'FTD03'!C:E,1,0)</f>
        <v>Dreno BV  transferência do propagador</v>
      </c>
      <c r="K19" s="85" t="str">
        <f>VLOOKUP(C19,'FTD03'!A:E,1,0)</f>
        <v>Superior</v>
      </c>
      <c r="L19" s="84" t="str">
        <f>VLOOKUP(B19,'FTD03'!C:E,3,0)</f>
        <v>DN-40</v>
      </c>
      <c r="M19" s="82" t="str">
        <f>VLOOKUP(B19,'FTD03'!C:G,5,0)</f>
        <v>GEMÜ</v>
      </c>
      <c r="N19" s="83" t="str">
        <f>VLOOKUP(B19,'FTD04'!C:E,1,0)</f>
        <v>Dreno BV  transferência do propagador</v>
      </c>
      <c r="O19" s="85" t="str">
        <f>VLOOKUP(C19,'FTD04'!A:E,1,0)</f>
        <v>Superior</v>
      </c>
      <c r="P19" s="84" t="str">
        <f>VLOOKUP(B19,'FTD04'!C:E,3,0)</f>
        <v>DN-40</v>
      </c>
      <c r="Q19" s="82" t="str">
        <f>VLOOKUP(B19,'FTD04'!C:G,5,0)</f>
        <v>GEMÜ</v>
      </c>
      <c r="R19" s="83" t="str">
        <f>VLOOKUP(B19,'FTD05'!C:E,1,0)</f>
        <v>Dreno BV  transferência do propagador</v>
      </c>
      <c r="S19" s="85" t="str">
        <f>VLOOKUP(C19,'FTD05'!A:E,1,0)</f>
        <v>Superior</v>
      </c>
      <c r="T19" s="84" t="str">
        <f>VLOOKUP(B19,'FTD05'!C:E,3,0)</f>
        <v>DN-40</v>
      </c>
      <c r="U19" s="82" t="str">
        <f>VLOOKUP(B19,'FTD05'!C:G,5,0)</f>
        <v>GEMÜ</v>
      </c>
      <c r="V19" s="85" t="str">
        <f>VLOOKUP(B19,'FTD06'!C:E,1,0)</f>
        <v>Dreno BV  transferência do propagador</v>
      </c>
      <c r="W19" s="85" t="str">
        <f>VLOOKUP(C19,'FTD06'!A:E,1,0)</f>
        <v>Superior</v>
      </c>
      <c r="X19" s="84" t="str">
        <f>VLOOKUP(B19,'FTD06'!C:E,3,0)</f>
        <v>DN-40</v>
      </c>
      <c r="Y19" s="86" t="str">
        <f>VLOOKUP(B19,'FTD06'!C:G,5,0)</f>
        <v>GEMÜ</v>
      </c>
      <c r="Z19" s="83" t="str">
        <f>VLOOKUP(B19,'FTD07'!C:E,1,0)</f>
        <v>Dreno BV  transferência do propagador</v>
      </c>
      <c r="AA19" s="85" t="str">
        <f>VLOOKUP(C19,'FTD07'!A:E,1,0)</f>
        <v>Superior</v>
      </c>
      <c r="AB19" s="84" t="str">
        <f>VLOOKUP(B19,'FTD07'!C:E,3,0)</f>
        <v>DN-40</v>
      </c>
      <c r="AC19" s="82" t="str">
        <f>VLOOKUP(B19,'FTD07'!C:G,5,0)</f>
        <v>GEMÜ</v>
      </c>
      <c r="AD19" s="85" t="str">
        <f>VLOOKUP(B19,'FTD08'!C:E,1,0)</f>
        <v>Dreno BV  transferência do propagador</v>
      </c>
      <c r="AE19" s="85" t="str">
        <f>VLOOKUP(C19,'FTD08'!A:E,1,0)</f>
        <v>Superior</v>
      </c>
      <c r="AF19" s="84" t="str">
        <f>VLOOKUP(B19,'FTD08'!C:E,3,0)</f>
        <v>DN-40</v>
      </c>
      <c r="AG19" s="86" t="str">
        <f>VLOOKUP(B19,'FTD08'!C:G,5,0)</f>
        <v>GEMÜ</v>
      </c>
      <c r="AH19" s="83" t="str">
        <f>VLOOKUP(B19,'FTD09'!C:E,1,0)</f>
        <v>Dreno BV  transferência do propagador</v>
      </c>
      <c r="AI19" s="85" t="str">
        <f>VLOOKUP(C19,'FTD09'!A:E,1,0)</f>
        <v>Superior</v>
      </c>
      <c r="AJ19" s="84" t="str">
        <f>VLOOKUP(B19,'FTD09'!C:E,3,0)</f>
        <v>DN-40</v>
      </c>
      <c r="AK19" s="82" t="str">
        <f>VLOOKUP(B19,'FTD09'!C:G,5,0)</f>
        <v>GEMÜ</v>
      </c>
      <c r="AL19" s="85" t="str">
        <f>VLOOKUP(B19,'FTD10'!C:E,1,0)</f>
        <v>Dreno BV  transferência do propagador</v>
      </c>
      <c r="AM19" s="85" t="str">
        <f>VLOOKUP(C19,'FTD10'!A:E,1,0)</f>
        <v>Superior</v>
      </c>
      <c r="AN19" s="84" t="str">
        <f>VLOOKUP(B19,'FTD10'!C:E,3,0)</f>
        <v>DN-40</v>
      </c>
      <c r="AO19" s="86" t="str">
        <f>VLOOKUP(B19,'FTD10'!C:G,5,0)</f>
        <v>GEMÜ</v>
      </c>
      <c r="AP19" s="83" t="str">
        <f>VLOOKUP(B19,'FTD11'!C:E,1,0)</f>
        <v>Dreno BV  transferência do propagador</v>
      </c>
      <c r="AQ19" s="85" t="str">
        <f>VLOOKUP(C19,'FTD11'!A:E,1,0)</f>
        <v>Superior</v>
      </c>
      <c r="AR19" s="84" t="str">
        <f>VLOOKUP(B19,'FTD11'!C:E,3,0)</f>
        <v>DN-40</v>
      </c>
      <c r="AS19" s="82" t="str">
        <f>VLOOKUP(B19,'FTD11'!C:G,5,0)</f>
        <v>GEMÜ</v>
      </c>
      <c r="AT19" s="85" t="str">
        <f>VLOOKUP(B19,'FTD12'!C:E,1,0)</f>
        <v>Dreno BV  transferência do propagador</v>
      </c>
      <c r="AU19" s="85" t="str">
        <f>VLOOKUP(C19,'FTD12'!A:E,1,0)</f>
        <v>Superior</v>
      </c>
      <c r="AV19" s="84" t="str">
        <f>VLOOKUP(B19,'FTD12'!C:E,3,0)</f>
        <v>DN-40</v>
      </c>
      <c r="AW19" s="53" t="str">
        <f>VLOOKUP(B19,'FTD12'!C:G,5,0)</f>
        <v>GEMÜ</v>
      </c>
      <c r="AX19" s="124">
        <f t="shared" si="0"/>
        <v>11</v>
      </c>
      <c r="AY19" s="124">
        <f t="shared" si="1"/>
        <v>11</v>
      </c>
      <c r="BA19" s="16" t="s">
        <v>103</v>
      </c>
      <c r="BB19" s="16" t="s">
        <v>68</v>
      </c>
      <c r="BC19" s="16" t="s">
        <v>51</v>
      </c>
      <c r="BD19" s="78" t="s">
        <v>5</v>
      </c>
      <c r="BE19" s="65" t="str">
        <f>VLOOKUP(BA19,'PGD02'!C:E,1,0)</f>
        <v>Dreno BV alimentação água quente</v>
      </c>
      <c r="BF19" s="65"/>
      <c r="BG19" s="53" t="str">
        <f>VLOOKUP(BA19,'PGD02'!C:E,3,0)</f>
        <v>DN-40</v>
      </c>
      <c r="BH19" s="74" t="str">
        <f>VLOOKUP(BA19,'PGD02'!C:G,5,0)</f>
        <v>GEMÜ</v>
      </c>
      <c r="BI19" s="57" t="str">
        <f>VLOOKUP(BA19,'PGD03'!C:E,1,0)</f>
        <v>Dreno BV alimentação água quente</v>
      </c>
      <c r="BJ19" s="65"/>
      <c r="BK19" s="53" t="str">
        <f>VLOOKUP(BA19,'PGD03'!C:E,3,0)</f>
        <v>DN-40</v>
      </c>
      <c r="BL19" s="56" t="str">
        <f>VLOOKUP(BA19,'PGD03'!C:G,5,0)</f>
        <v>GEMÜ</v>
      </c>
      <c r="BM19" s="65" t="str">
        <f>VLOOKUP(BA19,'PGD03'!C:E,1,0)</f>
        <v>Dreno BV alimentação água quente</v>
      </c>
      <c r="BN19" s="65"/>
      <c r="BO19" s="53" t="str">
        <f>VLOOKUP(BA19,'PGD04'!C:E,3,0)</f>
        <v>DN-40</v>
      </c>
      <c r="BP19" s="74" t="str">
        <f>VLOOKUP(BA19,'PGD04'!C:G,5,0)</f>
        <v>GEMÜ</v>
      </c>
      <c r="BQ19" s="57" t="str">
        <f>VLOOKUP(BA19,'PGD05'!C:E,1,0)</f>
        <v>Dreno BV alimentação água quente</v>
      </c>
      <c r="BR19" s="65"/>
      <c r="BS19" s="53" t="str">
        <f>VLOOKUP(BA19,'PGD05'!C:E,3,0)</f>
        <v>DN-40</v>
      </c>
      <c r="BT19" s="56" t="str">
        <f>VLOOKUP(BA19,'PGD05'!C:G,5,0)</f>
        <v>GEMÜ</v>
      </c>
      <c r="BU19" s="65" t="str">
        <f>VLOOKUP(BA19,'PGD06'!C:E,1,0)</f>
        <v>Dreno BV alimentação água quente</v>
      </c>
      <c r="BV19" s="65"/>
      <c r="BW19" s="53" t="str">
        <f>VLOOKUP(BA19,'PGD06'!C:E,3,0)</f>
        <v>DN-40</v>
      </c>
      <c r="BX19" s="74" t="str">
        <f>VLOOKUP(BA19,'PGD06'!C:G,5,0)</f>
        <v>GEMÜ</v>
      </c>
      <c r="BY19" s="57" t="str">
        <f>VLOOKUP(BA19,'PGD07'!C:E,1,0)</f>
        <v>Dreno BV alimentação água quente</v>
      </c>
      <c r="BZ19" s="65"/>
      <c r="CA19" s="53" t="str">
        <f>VLOOKUP(BA19,'PGD07'!C:E,3,0)</f>
        <v>DN-40</v>
      </c>
      <c r="CB19" s="56" t="str">
        <f>VLOOKUP(BA19,'PGD07'!C:G,5,0)</f>
        <v>GEMÜ</v>
      </c>
      <c r="CC19" s="65" t="str">
        <f>VLOOKUP(BA19,'PGD08'!C:E,1,0)</f>
        <v>Dreno BV alimentação água quente</v>
      </c>
      <c r="CD19" s="65"/>
      <c r="CE19" s="53" t="str">
        <f>VLOOKUP(BA19,'PGD08'!C:E,3,0)</f>
        <v>DN-40</v>
      </c>
      <c r="CF19" s="74" t="str">
        <f>VLOOKUP(BA19,'PGD08'!C:G,5,0)</f>
        <v>GEMÜ</v>
      </c>
      <c r="CG19" s="57" t="str">
        <f>VLOOKUP(BA19,'PGD09'!C:E,1,0)</f>
        <v>Dreno BV alimentação água quente</v>
      </c>
      <c r="CH19" s="65"/>
      <c r="CI19" s="53" t="str">
        <f>VLOOKUP(BA19,'PGD09'!C:E,3,0)</f>
        <v>DN-40</v>
      </c>
      <c r="CJ19" s="56" t="str">
        <f>VLOOKUP(BA19,'PGD09'!C:G,5,0)</f>
        <v>GEMÜ</v>
      </c>
      <c r="CK19" s="65" t="str">
        <f>VLOOKUP(BA19,'PGD10'!C:E,1,0)</f>
        <v>Dreno BV alimentação água quente</v>
      </c>
      <c r="CL19" s="65"/>
      <c r="CM19" s="53" t="str">
        <f>VLOOKUP(BA19,'PGD10'!C:E,3,0)</f>
        <v>DN-40</v>
      </c>
      <c r="CN19" s="74" t="str">
        <f>VLOOKUP(BA19,'PGD10'!C:G,5,0)</f>
        <v>GEMÜ</v>
      </c>
      <c r="CO19" s="57" t="str">
        <f>VLOOKUP(BA19,'PGD11'!C:E,1,0)</f>
        <v>Dreno BV alimentação água quente</v>
      </c>
      <c r="CP19" s="65"/>
      <c r="CQ19" s="53" t="str">
        <f>VLOOKUP(BA19,'PGD11'!C:E,3,0)</f>
        <v>DN-40</v>
      </c>
      <c r="CR19" s="56" t="str">
        <f>VLOOKUP(BA19,'PGD11'!C:G,5,0)</f>
        <v>GEMÜ</v>
      </c>
      <c r="CS19" s="65" t="str">
        <f>VLOOKUP(BA19,'PGD12'!C:E,1,0)</f>
        <v>Dreno BV alimentação água quente</v>
      </c>
      <c r="CT19" s="65"/>
      <c r="CU19" s="53" t="str">
        <f>VLOOKUP(BA19,'PGD12'!C:E,3,0)</f>
        <v>DN-40</v>
      </c>
      <c r="CV19" s="53" t="str">
        <f>VLOOKUP(BA19,'PGD12'!C:G,5,0)</f>
        <v>GEMÜ</v>
      </c>
      <c r="CW19" s="56">
        <f t="shared" si="2"/>
        <v>11</v>
      </c>
      <c r="CY19" s="52" t="s">
        <v>105</v>
      </c>
      <c r="CZ19" s="16" t="s">
        <v>48</v>
      </c>
      <c r="DA19" s="81" t="s">
        <v>6</v>
      </c>
      <c r="DB19" s="65" t="str">
        <f>VLOOKUP(CY19,'BLD03'!C:E,1,0)</f>
        <v xml:space="preserve">Válvula de bloqueio vapor linha de ar pré filtro absoluto </v>
      </c>
      <c r="DC19" s="53" t="str">
        <f>VLOOKUP(CY19,'BLD03'!C:E,3,0)</f>
        <v>DN-8</v>
      </c>
      <c r="DD19" s="53" t="str">
        <f>VLOOKUP(CY19,'BLD02'!C:G,5,0)</f>
        <v>ZDL</v>
      </c>
      <c r="DE19" s="56">
        <f t="shared" si="3"/>
        <v>2</v>
      </c>
    </row>
    <row r="20" spans="2:109" x14ac:dyDescent="0.25">
      <c r="B20" s="14" t="s">
        <v>103</v>
      </c>
      <c r="C20" s="14" t="s">
        <v>68</v>
      </c>
      <c r="D20" s="14" t="s">
        <v>80</v>
      </c>
      <c r="E20" s="14" t="s">
        <v>5</v>
      </c>
      <c r="F20" s="57" t="str">
        <f>VLOOKUP(B20,'FTD02'!C:E,1,0)</f>
        <v>Dreno BV alimentação água quente</v>
      </c>
      <c r="G20" s="84" t="str">
        <f>VLOOKUP(C20,'FTD02'!A:E,1,0)</f>
        <v>Superior</v>
      </c>
      <c r="H20" s="53" t="str">
        <f>VLOOKUP(B20,'FTD02'!C:E,3,0)</f>
        <v>DN-50</v>
      </c>
      <c r="I20" s="56" t="str">
        <f>VLOOKUP(B20,'FTD02'!C:G,5,0)</f>
        <v>GEMÜ</v>
      </c>
      <c r="J20" s="57" t="str">
        <f>VLOOKUP(B20,'FTD03'!C:E,1,0)</f>
        <v>Dreno BV alimentação água quente</v>
      </c>
      <c r="K20" s="85" t="str">
        <f>VLOOKUP(C20,'FTD03'!A:E,1,0)</f>
        <v>Superior</v>
      </c>
      <c r="L20" s="53" t="str">
        <f>VLOOKUP(B20,'FTD03'!C:E,3,0)</f>
        <v>DN-50</v>
      </c>
      <c r="M20" s="56" t="str">
        <f>VLOOKUP(B20,'FTD03'!C:G,5,0)</f>
        <v>GEMÜ</v>
      </c>
      <c r="N20" s="57" t="str">
        <f>VLOOKUP(B20,'FTD04'!C:E,1,0)</f>
        <v>Dreno BV alimentação água quente</v>
      </c>
      <c r="O20" s="85" t="str">
        <f>VLOOKUP(C20,'FTD04'!A:E,1,0)</f>
        <v>Superior</v>
      </c>
      <c r="P20" s="53" t="str">
        <f>VLOOKUP(B20,'FTD04'!C:E,3,0)</f>
        <v>DN-50</v>
      </c>
      <c r="Q20" s="56" t="str">
        <f>VLOOKUP(B20,'FTD04'!C:G,5,0)</f>
        <v>GEMÜ</v>
      </c>
      <c r="R20" s="57" t="str">
        <f>VLOOKUP(B20,'FTD05'!C:E,1,0)</f>
        <v>Dreno BV alimentação água quente</v>
      </c>
      <c r="S20" s="85" t="str">
        <f>VLOOKUP(C20,'FTD05'!A:E,1,0)</f>
        <v>Superior</v>
      </c>
      <c r="T20" s="53" t="str">
        <f>VLOOKUP(B20,'FTD05'!C:E,3,0)</f>
        <v>DN-50</v>
      </c>
      <c r="U20" s="56" t="str">
        <f>VLOOKUP(B20,'FTD05'!C:G,5,0)</f>
        <v>GEMÜ</v>
      </c>
      <c r="V20" s="65" t="str">
        <f>VLOOKUP(B20,'FTD06'!C:E,1,0)</f>
        <v>Dreno BV alimentação água quente</v>
      </c>
      <c r="W20" s="85" t="str">
        <f>VLOOKUP(C20,'FTD06'!A:E,1,0)</f>
        <v>Superior</v>
      </c>
      <c r="X20" s="53" t="str">
        <f>VLOOKUP(B20,'FTD06'!C:E,3,0)</f>
        <v>DN-50</v>
      </c>
      <c r="Y20" s="74" t="str">
        <f>VLOOKUP(B20,'FTD06'!C:G,5,0)</f>
        <v>GEMÜ</v>
      </c>
      <c r="Z20" s="57" t="str">
        <f>VLOOKUP(B20,'FTD07'!C:E,1,0)</f>
        <v>Dreno BV alimentação água quente</v>
      </c>
      <c r="AA20" s="85" t="str">
        <f>VLOOKUP(C20,'FTD07'!A:E,1,0)</f>
        <v>Superior</v>
      </c>
      <c r="AB20" s="53" t="str">
        <f>VLOOKUP(B20,'FTD07'!C:E,3,0)</f>
        <v>DN-50</v>
      </c>
      <c r="AC20" s="56" t="str">
        <f>VLOOKUP(B20,'FTD07'!C:G,5,0)</f>
        <v>GEMÜ</v>
      </c>
      <c r="AD20" s="65" t="str">
        <f>VLOOKUP(B20,'FTD08'!C:E,1,0)</f>
        <v>Dreno BV alimentação água quente</v>
      </c>
      <c r="AE20" s="85" t="str">
        <f>VLOOKUP(C20,'FTD08'!A:E,1,0)</f>
        <v>Superior</v>
      </c>
      <c r="AF20" s="53" t="str">
        <f>VLOOKUP(B20,'FTD08'!C:E,3,0)</f>
        <v>DN-50</v>
      </c>
      <c r="AG20" s="74" t="str">
        <f>VLOOKUP(B20,'FTD08'!C:G,5,0)</f>
        <v>GEMÜ</v>
      </c>
      <c r="AH20" s="57" t="str">
        <f>VLOOKUP(B20,'FTD09'!C:E,1,0)</f>
        <v>Dreno BV alimentação água quente</v>
      </c>
      <c r="AI20" s="85" t="str">
        <f>VLOOKUP(C20,'FTD09'!A:E,1,0)</f>
        <v>Superior</v>
      </c>
      <c r="AJ20" s="53" t="str">
        <f>VLOOKUP(B20,'FTD09'!C:E,3,0)</f>
        <v>DN-40</v>
      </c>
      <c r="AK20" s="56" t="str">
        <f>VLOOKUP(B20,'FTD09'!C:G,5,0)</f>
        <v>GEMÜ</v>
      </c>
      <c r="AL20" s="65" t="str">
        <f>VLOOKUP(B20,'FTD10'!C:E,1,0)</f>
        <v>Dreno BV alimentação água quente</v>
      </c>
      <c r="AM20" s="85" t="str">
        <f>VLOOKUP(C20,'FTD10'!A:E,1,0)</f>
        <v>Superior</v>
      </c>
      <c r="AN20" s="53" t="str">
        <f>VLOOKUP(B20,'FTD10'!C:E,3,0)</f>
        <v>DN-50</v>
      </c>
      <c r="AO20" s="74" t="str">
        <f>VLOOKUP(B20,'FTD10'!C:G,5,0)</f>
        <v>GEMÜ</v>
      </c>
      <c r="AP20" s="57" t="str">
        <f>VLOOKUP(B20,'FTD11'!C:E,1,0)</f>
        <v>Dreno BV alimentação água quente</v>
      </c>
      <c r="AQ20" s="85" t="str">
        <f>VLOOKUP(C20,'FTD11'!A:E,1,0)</f>
        <v>Superior</v>
      </c>
      <c r="AR20" s="53" t="str">
        <f>VLOOKUP(B20,'FTD11'!C:E,3,0)</f>
        <v>DN-50</v>
      </c>
      <c r="AS20" s="56" t="str">
        <f>VLOOKUP(B20,'FTD11'!C:G,5,0)</f>
        <v>GEMÜ</v>
      </c>
      <c r="AT20" s="65" t="str">
        <f>VLOOKUP(B20,'FTD12'!C:E,1,0)</f>
        <v>Dreno BV alimentação água quente</v>
      </c>
      <c r="AU20" s="85" t="str">
        <f>VLOOKUP(C20,'FTD12'!A:E,1,0)</f>
        <v>Superior</v>
      </c>
      <c r="AV20" s="53" t="str">
        <f>VLOOKUP(B20,'FTD12'!C:E,3,0)</f>
        <v>DN-50</v>
      </c>
      <c r="AW20" s="84" t="str">
        <f>VLOOKUP(B20,'FTD12'!C:G,5,0)</f>
        <v>GEMÜ</v>
      </c>
      <c r="AX20" s="124">
        <f t="shared" si="0"/>
        <v>11</v>
      </c>
      <c r="AY20" s="124">
        <f t="shared" si="1"/>
        <v>10</v>
      </c>
      <c r="BA20" s="14" t="s">
        <v>106</v>
      </c>
      <c r="BB20" s="14" t="s">
        <v>68</v>
      </c>
      <c r="BC20" s="14" t="s">
        <v>86</v>
      </c>
      <c r="BD20" s="68" t="s">
        <v>5</v>
      </c>
      <c r="BE20" s="85" t="str">
        <f>VLOOKUP(BA20,'PGD02'!C:E,1,0)</f>
        <v>Dreno BV alimentação sais</v>
      </c>
      <c r="BF20" s="85"/>
      <c r="BG20" s="84" t="str">
        <f>VLOOKUP(BA20,'PGD02'!C:E,3,0)</f>
        <v>DN-25</v>
      </c>
      <c r="BH20" s="86" t="str">
        <f>VLOOKUP(BA20,'PGD02'!C:G,5,0)</f>
        <v>GEMÜ</v>
      </c>
      <c r="BI20" s="83" t="str">
        <f>VLOOKUP(BA20,'PGD03'!C:E,1,0)</f>
        <v>Dreno BV alimentação sais</v>
      </c>
      <c r="BJ20" s="85"/>
      <c r="BK20" s="84" t="str">
        <f>VLOOKUP(BA20,'PGD03'!C:E,3,0)</f>
        <v>DN-25</v>
      </c>
      <c r="BL20" s="82" t="str">
        <f>VLOOKUP(BA20,'PGD03'!C:G,5,0)</f>
        <v>GEMÜ</v>
      </c>
      <c r="BM20" s="85" t="str">
        <f>VLOOKUP(BA20,'PGD03'!C:E,1,0)</f>
        <v>Dreno BV alimentação sais</v>
      </c>
      <c r="BN20" s="85"/>
      <c r="BO20" s="84" t="str">
        <f>VLOOKUP(BA20,'PGD04'!C:E,3,0)</f>
        <v>DN-25</v>
      </c>
      <c r="BP20" s="86" t="str">
        <f>VLOOKUP(BA20,'PGD04'!C:G,5,0)</f>
        <v>GEMÜ</v>
      </c>
      <c r="BQ20" s="83" t="str">
        <f>VLOOKUP(BA20,'PGD05'!C:E,1,0)</f>
        <v>Dreno BV alimentação sais</v>
      </c>
      <c r="BR20" s="85"/>
      <c r="BS20" s="84" t="str">
        <f>VLOOKUP(BA20,'PGD05'!C:E,3,0)</f>
        <v>DN-25</v>
      </c>
      <c r="BT20" s="82" t="str">
        <f>VLOOKUP(BA20,'PGD05'!C:G,5,0)</f>
        <v>GEMÜ</v>
      </c>
      <c r="BU20" s="85" t="str">
        <f>VLOOKUP(BA20,'PGD06'!C:E,1,0)</f>
        <v>Dreno BV alimentação sais</v>
      </c>
      <c r="BV20" s="85"/>
      <c r="BW20" s="84" t="str">
        <f>VLOOKUP(BA20,'PGD06'!C:E,3,0)</f>
        <v>DN-25</v>
      </c>
      <c r="BX20" s="86" t="str">
        <f>VLOOKUP(BA20,'PGD06'!C:G,5,0)</f>
        <v>GEMÜ</v>
      </c>
      <c r="BY20" s="83" t="str">
        <f>VLOOKUP(BA20,'PGD07'!C:E,1,0)</f>
        <v>Dreno BV alimentação sais</v>
      </c>
      <c r="BZ20" s="85"/>
      <c r="CA20" s="84" t="str">
        <f>VLOOKUP(BA20,'PGD07'!C:E,3,0)</f>
        <v>DN-25</v>
      </c>
      <c r="CB20" s="82" t="str">
        <f>VLOOKUP(BA20,'PGD07'!C:G,5,0)</f>
        <v>GEMÜ</v>
      </c>
      <c r="CC20" s="85" t="str">
        <f>VLOOKUP(BA20,'PGD08'!C:E,1,0)</f>
        <v>Dreno BV alimentação sais</v>
      </c>
      <c r="CD20" s="85"/>
      <c r="CE20" s="84" t="str">
        <f>VLOOKUP(BA20,'PGD08'!C:E,3,0)</f>
        <v>DN-25</v>
      </c>
      <c r="CF20" s="86" t="str">
        <f>VLOOKUP(BA20,'PGD08'!C:G,5,0)</f>
        <v>GEMÜ</v>
      </c>
      <c r="CG20" s="83" t="str">
        <f>VLOOKUP(BA20,'PGD09'!C:E,1,0)</f>
        <v>Dreno BV alimentação sais</v>
      </c>
      <c r="CH20" s="85"/>
      <c r="CI20" s="84" t="str">
        <f>VLOOKUP(BA20,'PGD09'!C:E,3,0)</f>
        <v>DN-25</v>
      </c>
      <c r="CJ20" s="82" t="str">
        <f>VLOOKUP(BA20,'PGD09'!C:G,5,0)</f>
        <v>GEMÜ</v>
      </c>
      <c r="CK20" s="85" t="str">
        <f>VLOOKUP(BA20,'PGD10'!C:E,1,0)</f>
        <v>Dreno BV alimentação sais</v>
      </c>
      <c r="CL20" s="85"/>
      <c r="CM20" s="84" t="str">
        <f>VLOOKUP(BA20,'PGD10'!C:E,3,0)</f>
        <v>DN-25</v>
      </c>
      <c r="CN20" s="86" t="str">
        <f>VLOOKUP(BA20,'PGD10'!C:G,5,0)</f>
        <v>GEMÜ</v>
      </c>
      <c r="CO20" s="83" t="str">
        <f>VLOOKUP(BA20,'PGD11'!C:E,1,0)</f>
        <v>Dreno BV alimentação sais</v>
      </c>
      <c r="CP20" s="85"/>
      <c r="CQ20" s="84" t="str">
        <f>VLOOKUP(BA20,'PGD11'!C:E,3,0)</f>
        <v>DN-25</v>
      </c>
      <c r="CR20" s="82" t="str">
        <f>VLOOKUP(BA20,'PGD11'!C:G,5,0)</f>
        <v>GEMÜ</v>
      </c>
      <c r="CS20" s="85" t="str">
        <f>VLOOKUP(BA20,'PGD12'!C:E,1,0)</f>
        <v>Dreno BV alimentação sais</v>
      </c>
      <c r="CT20" s="85"/>
      <c r="CU20" s="84" t="str">
        <f>VLOOKUP(BA20,'PGD12'!C:E,3,0)</f>
        <v>DN-25</v>
      </c>
      <c r="CV20" s="84" t="str">
        <f>VLOOKUP(BA20,'PGD12'!C:G,5,0)</f>
        <v>GEMÜ</v>
      </c>
      <c r="CW20" s="82">
        <f t="shared" si="2"/>
        <v>11</v>
      </c>
      <c r="CY20" s="51" t="s">
        <v>108</v>
      </c>
      <c r="CZ20" s="6" t="s">
        <v>86</v>
      </c>
      <c r="DA20" s="80" t="s">
        <v>6</v>
      </c>
      <c r="DB20" s="85" t="str">
        <f>VLOOKUP(CY20,'BLD03'!C:E,1,0)</f>
        <v xml:space="preserve">Válvula linha de ar após filtro absoluto </v>
      </c>
      <c r="DC20" s="84" t="str">
        <f>VLOOKUP(CY20,'BLD03'!C:E,3,0)</f>
        <v>DN-25</v>
      </c>
      <c r="DD20" s="84" t="str">
        <f>VLOOKUP(CY20,'BLD02'!C:G,5,0)</f>
        <v>GEMÜ</v>
      </c>
      <c r="DE20" s="82">
        <f t="shared" si="3"/>
        <v>2</v>
      </c>
    </row>
    <row r="21" spans="2:109" x14ac:dyDescent="0.25">
      <c r="B21" s="7" t="s">
        <v>106</v>
      </c>
      <c r="C21" s="7" t="s">
        <v>68</v>
      </c>
      <c r="D21" s="7" t="s">
        <v>51</v>
      </c>
      <c r="E21" s="7" t="s">
        <v>5</v>
      </c>
      <c r="F21" s="83" t="str">
        <f>VLOOKUP(B21,'FTD02'!C:E,1,0)</f>
        <v>Dreno BV alimentação sais</v>
      </c>
      <c r="G21" s="122" t="str">
        <f>VLOOKUP(C21,'FTD02'!A:E,1,0)</f>
        <v>Superior</v>
      </c>
      <c r="H21" s="84" t="str">
        <f>VLOOKUP(B21,'FTD02'!C:E,3,0)</f>
        <v>DN-40</v>
      </c>
      <c r="I21" s="82" t="str">
        <f>VLOOKUP(B21,'FTD02'!C:G,5,0)</f>
        <v>GEMÜ</v>
      </c>
      <c r="J21" s="83" t="str">
        <f>VLOOKUP(B21,'FTD03'!C:E,1,0)</f>
        <v>Dreno BV alimentação sais</v>
      </c>
      <c r="K21" s="85" t="str">
        <f>VLOOKUP(C21,'FTD03'!A:E,1,0)</f>
        <v>Superior</v>
      </c>
      <c r="L21" s="84" t="str">
        <f>VLOOKUP(B21,'FTD03'!C:E,3,0)</f>
        <v>DN-40</v>
      </c>
      <c r="M21" s="82" t="str">
        <f>VLOOKUP(B21,'FTD03'!C:G,5,0)</f>
        <v>GEMÜ</v>
      </c>
      <c r="N21" s="83" t="str">
        <f>VLOOKUP(B21,'FTD04'!C:E,1,0)</f>
        <v>Dreno BV alimentação sais</v>
      </c>
      <c r="O21" s="85" t="str">
        <f>VLOOKUP(C21,'FTD04'!A:E,1,0)</f>
        <v>Superior</v>
      </c>
      <c r="P21" s="84" t="str">
        <f>VLOOKUP(B21,'FTD04'!C:E,3,0)</f>
        <v>DN-40</v>
      </c>
      <c r="Q21" s="82" t="str">
        <f>VLOOKUP(B21,'FTD04'!C:G,5,0)</f>
        <v>GEMÜ</v>
      </c>
      <c r="R21" s="83" t="str">
        <f>VLOOKUP(B21,'FTD05'!C:E,1,0)</f>
        <v>Dreno BV alimentação sais</v>
      </c>
      <c r="S21" s="85" t="str">
        <f>VLOOKUP(C21,'FTD05'!A:E,1,0)</f>
        <v>Superior</v>
      </c>
      <c r="T21" s="84" t="str">
        <f>VLOOKUP(B21,'FTD05'!C:E,3,0)</f>
        <v>DN-40</v>
      </c>
      <c r="U21" s="82" t="str">
        <f>VLOOKUP(B21,'FTD05'!C:G,5,0)</f>
        <v>GEMÜ</v>
      </c>
      <c r="V21" s="85" t="str">
        <f>VLOOKUP(B21,'FTD06'!C:E,1,0)</f>
        <v>Dreno BV alimentação sais</v>
      </c>
      <c r="W21" s="85" t="str">
        <f>VLOOKUP(C21,'FTD06'!A:E,1,0)</f>
        <v>Superior</v>
      </c>
      <c r="X21" s="84" t="str">
        <f>VLOOKUP(B21,'FTD06'!C:E,3,0)</f>
        <v>DN-40</v>
      </c>
      <c r="Y21" s="86" t="str">
        <f>VLOOKUP(B21,'FTD06'!C:G,5,0)</f>
        <v>GEMÜ</v>
      </c>
      <c r="Z21" s="83" t="str">
        <f>VLOOKUP(B21,'FTD07'!C:E,1,0)</f>
        <v>Dreno BV alimentação sais</v>
      </c>
      <c r="AA21" s="85" t="str">
        <f>VLOOKUP(C21,'FTD07'!A:E,1,0)</f>
        <v>Superior</v>
      </c>
      <c r="AB21" s="84" t="str">
        <f>VLOOKUP(B21,'FTD07'!C:E,3,0)</f>
        <v>DN-40</v>
      </c>
      <c r="AC21" s="82" t="str">
        <f>VLOOKUP(B21,'FTD07'!C:G,5,0)</f>
        <v>GEMÜ</v>
      </c>
      <c r="AD21" s="85" t="str">
        <f>VLOOKUP(B21,'FTD08'!C:E,1,0)</f>
        <v>Dreno BV alimentação sais</v>
      </c>
      <c r="AE21" s="85" t="str">
        <f>VLOOKUP(C21,'FTD08'!A:E,1,0)</f>
        <v>Superior</v>
      </c>
      <c r="AF21" s="84" t="str">
        <f>VLOOKUP(B21,'FTD08'!C:E,3,0)</f>
        <v>DN-40</v>
      </c>
      <c r="AG21" s="86" t="str">
        <f>VLOOKUP(B21,'FTD08'!C:G,5,0)</f>
        <v>GEMÜ</v>
      </c>
      <c r="AH21" s="83" t="str">
        <f>VLOOKUP(B21,'FTD09'!C:E,1,0)</f>
        <v>Dreno BV alimentação sais</v>
      </c>
      <c r="AI21" s="85" t="str">
        <f>VLOOKUP(C21,'FTD09'!A:E,1,0)</f>
        <v>Superior</v>
      </c>
      <c r="AJ21" s="84" t="str">
        <f>VLOOKUP(B21,'FTD09'!C:E,3,0)</f>
        <v>DN-40</v>
      </c>
      <c r="AK21" s="82" t="str">
        <f>VLOOKUP(B21,'FTD09'!C:G,5,0)</f>
        <v>GEMÜ</v>
      </c>
      <c r="AL21" s="85" t="str">
        <f>VLOOKUP(B21,'FTD10'!C:E,1,0)</f>
        <v>Dreno BV alimentação sais</v>
      </c>
      <c r="AM21" s="85" t="str">
        <f>VLOOKUP(C21,'FTD10'!A:E,1,0)</f>
        <v>Superior</v>
      </c>
      <c r="AN21" s="84" t="str">
        <f>VLOOKUP(B21,'FTD10'!C:E,3,0)</f>
        <v>DN-40</v>
      </c>
      <c r="AO21" s="86" t="str">
        <f>VLOOKUP(B21,'FTD10'!C:G,5,0)</f>
        <v>GEMÜ</v>
      </c>
      <c r="AP21" s="83" t="str">
        <f>VLOOKUP(B21,'FTD11'!C:E,1,0)</f>
        <v>Dreno BV alimentação sais</v>
      </c>
      <c r="AQ21" s="85" t="str">
        <f>VLOOKUP(C21,'FTD11'!A:E,1,0)</f>
        <v>Superior</v>
      </c>
      <c r="AR21" s="84" t="str">
        <f>VLOOKUP(B21,'FTD11'!C:E,3,0)</f>
        <v>DN-40</v>
      </c>
      <c r="AS21" s="82" t="str">
        <f>VLOOKUP(B21,'FTD11'!C:G,5,0)</f>
        <v>GEMÜ</v>
      </c>
      <c r="AT21" s="85" t="str">
        <f>VLOOKUP(B21,'FTD12'!C:E,1,0)</f>
        <v>Dreno BV alimentação sais</v>
      </c>
      <c r="AU21" s="85" t="str">
        <f>VLOOKUP(C21,'FTD12'!A:E,1,0)</f>
        <v>Superior</v>
      </c>
      <c r="AV21" s="84" t="str">
        <f>VLOOKUP(B21,'FTD12'!C:E,3,0)</f>
        <v>DN-40</v>
      </c>
      <c r="AW21" s="53" t="str">
        <f>VLOOKUP(B21,'FTD12'!C:G,5,0)</f>
        <v>GEMÜ</v>
      </c>
      <c r="AX21" s="124">
        <f t="shared" si="0"/>
        <v>11</v>
      </c>
      <c r="AY21" s="124">
        <f t="shared" si="1"/>
        <v>11</v>
      </c>
      <c r="BA21" s="16" t="s">
        <v>109</v>
      </c>
      <c r="BB21" s="16" t="s">
        <v>68</v>
      </c>
      <c r="BC21" s="16" t="s">
        <v>48</v>
      </c>
      <c r="BD21" s="78" t="s">
        <v>5</v>
      </c>
      <c r="BE21" s="65" t="str">
        <f>VLOOKUP(BA21,'PGD02'!C:E,1,0)</f>
        <v xml:space="preserve">Dreno de vapor da linha de ar pré filtro absoluto </v>
      </c>
      <c r="BF21" s="65"/>
      <c r="BG21" s="53" t="str">
        <f>VLOOKUP(BA21,'PGD02'!C:E,3,0)</f>
        <v>DN-8</v>
      </c>
      <c r="BH21" s="74" t="str">
        <f>VLOOKUP(BA21,'PGD02'!C:G,5,0)</f>
        <v>GEMÜ</v>
      </c>
      <c r="BI21" s="57" t="str">
        <f>VLOOKUP(BA21,'PGD03'!C:E,1,0)</f>
        <v xml:space="preserve">Dreno de vapor da linha de ar pré filtro absoluto </v>
      </c>
      <c r="BJ21" s="65"/>
      <c r="BK21" s="53" t="str">
        <f>VLOOKUP(BA21,'PGD03'!C:E,3,0)</f>
        <v>DN-8</v>
      </c>
      <c r="BL21" s="56" t="str">
        <f>VLOOKUP(BA21,'PGD03'!C:G,5,0)</f>
        <v>GEMÜ</v>
      </c>
      <c r="BM21" s="65" t="str">
        <f>VLOOKUP(BA21,'PGD03'!C:E,1,0)</f>
        <v xml:space="preserve">Dreno de vapor da linha de ar pré filtro absoluto </v>
      </c>
      <c r="BN21" s="65"/>
      <c r="BO21" s="53" t="str">
        <f>VLOOKUP(BA21,'PGD04'!C:E,3,0)</f>
        <v>DN-8</v>
      </c>
      <c r="BP21" s="74" t="str">
        <f>VLOOKUP(BA21,'PGD04'!C:G,5,0)</f>
        <v>GEMÜ</v>
      </c>
      <c r="BQ21" s="57" t="str">
        <f>VLOOKUP(BA21,'PGD05'!C:E,1,0)</f>
        <v xml:space="preserve">Dreno de vapor da linha de ar pré filtro absoluto </v>
      </c>
      <c r="BR21" s="65"/>
      <c r="BS21" s="53" t="str">
        <f>VLOOKUP(BA21,'PGD05'!C:E,3,0)</f>
        <v>DN-8</v>
      </c>
      <c r="BT21" s="56" t="str">
        <f>VLOOKUP(BA21,'PGD05'!C:G,5,0)</f>
        <v>GEMÜ</v>
      </c>
      <c r="BU21" s="65" t="str">
        <f>VLOOKUP(BA21,'PGD06'!C:E,1,0)</f>
        <v xml:space="preserve">Dreno de vapor da linha de ar pré filtro absoluto </v>
      </c>
      <c r="BV21" s="65"/>
      <c r="BW21" s="53" t="str">
        <f>VLOOKUP(BA21,'PGD06'!C:E,3,0)</f>
        <v>DN-8</v>
      </c>
      <c r="BX21" s="74" t="str">
        <f>VLOOKUP(BA21,'PGD06'!C:G,5,0)</f>
        <v>GEMÜ</v>
      </c>
      <c r="BY21" s="57" t="str">
        <f>VLOOKUP(BA21,'PGD07'!C:E,1,0)</f>
        <v xml:space="preserve">Dreno de vapor da linha de ar pré filtro absoluto </v>
      </c>
      <c r="BZ21" s="65"/>
      <c r="CA21" s="53" t="str">
        <f>VLOOKUP(BA21,'PGD07'!C:E,3,0)</f>
        <v>DN-8</v>
      </c>
      <c r="CB21" s="56" t="str">
        <f>VLOOKUP(BA21,'PGD07'!C:G,5,0)</f>
        <v>GEMÜ</v>
      </c>
      <c r="CC21" s="65" t="str">
        <f>VLOOKUP(BA21,'PGD08'!C:E,1,0)</f>
        <v xml:space="preserve">Dreno de vapor da linha de ar pré filtro absoluto </v>
      </c>
      <c r="CD21" s="65"/>
      <c r="CE21" s="53" t="str">
        <f>VLOOKUP(BA21,'PGD08'!C:E,3,0)</f>
        <v>DN-8</v>
      </c>
      <c r="CF21" s="74" t="str">
        <f>VLOOKUP(BA21,'PGD08'!C:G,5,0)</f>
        <v>GEMÜ</v>
      </c>
      <c r="CG21" s="57" t="str">
        <f>VLOOKUP(BA21,'PGD09'!C:E,1,0)</f>
        <v xml:space="preserve">Dreno de vapor da linha de ar pré filtro absoluto </v>
      </c>
      <c r="CH21" s="65"/>
      <c r="CI21" s="53" t="str">
        <f>VLOOKUP(BA21,'PGD09'!C:E,3,0)</f>
        <v>DN-8</v>
      </c>
      <c r="CJ21" s="56" t="str">
        <f>VLOOKUP(BA21,'PGD09'!C:G,5,0)</f>
        <v>GEMÜ</v>
      </c>
      <c r="CK21" s="65" t="str">
        <f>VLOOKUP(BA21,'PGD10'!C:E,1,0)</f>
        <v xml:space="preserve">Dreno de vapor da linha de ar pré filtro absoluto </v>
      </c>
      <c r="CL21" s="65"/>
      <c r="CM21" s="53" t="str">
        <f>VLOOKUP(BA21,'PGD10'!C:E,3,0)</f>
        <v>DN-8</v>
      </c>
      <c r="CN21" s="74" t="str">
        <f>VLOOKUP(BA21,'PGD10'!C:G,5,0)</f>
        <v>GEMÜ</v>
      </c>
      <c r="CO21" s="57" t="str">
        <f>VLOOKUP(BA21,'PGD11'!C:E,1,0)</f>
        <v xml:space="preserve">Dreno de vapor da linha de ar pré filtro absoluto </v>
      </c>
      <c r="CP21" s="65"/>
      <c r="CQ21" s="53" t="str">
        <f>VLOOKUP(BA21,'PGD11'!C:E,3,0)</f>
        <v>DN-8</v>
      </c>
      <c r="CR21" s="56" t="str">
        <f>VLOOKUP(BA21,'PGD11'!C:G,5,0)</f>
        <v>GEMÜ</v>
      </c>
      <c r="CS21" s="65" t="str">
        <f>VLOOKUP(BA21,'PGD12'!C:E,1,0)</f>
        <v xml:space="preserve">Dreno de vapor da linha de ar pré filtro absoluto </v>
      </c>
      <c r="CT21" s="65"/>
      <c r="CU21" s="53" t="str">
        <f>VLOOKUP(BA21,'PGD12'!C:E,3,0)</f>
        <v>DN-8</v>
      </c>
      <c r="CV21" s="53" t="str">
        <f>VLOOKUP(BA21,'PGD12'!C:G,5,0)</f>
        <v>GEMÜ</v>
      </c>
      <c r="CW21" s="56">
        <f t="shared" si="2"/>
        <v>11</v>
      </c>
      <c r="CY21" s="52" t="s">
        <v>110</v>
      </c>
      <c r="CZ21" s="16" t="s">
        <v>86</v>
      </c>
      <c r="DA21" s="81" t="s">
        <v>5</v>
      </c>
      <c r="DB21" s="65" t="str">
        <f>VLOOKUP(CY21,'BLD03'!C:E,1,0)</f>
        <v xml:space="preserve">Válvula linha de ar antes do filtro absoluto </v>
      </c>
      <c r="DC21" s="53" t="str">
        <f>VLOOKUP(CY21,'BLD03'!C:E,3,0)</f>
        <v>DN-25</v>
      </c>
      <c r="DD21" s="53" t="str">
        <f>VLOOKUP(CY21,'BLD02'!C:G,5,0)</f>
        <v>GEMÜ</v>
      </c>
      <c r="DE21" s="56">
        <f t="shared" si="3"/>
        <v>2</v>
      </c>
    </row>
    <row r="22" spans="2:109" x14ac:dyDescent="0.25">
      <c r="B22" s="14" t="s">
        <v>111</v>
      </c>
      <c r="C22" s="14" t="s">
        <v>68</v>
      </c>
      <c r="D22" s="14" t="s">
        <v>48</v>
      </c>
      <c r="E22" s="14" t="s">
        <v>5</v>
      </c>
      <c r="F22" s="57" t="str">
        <f>VLOOKUP(B22,'FTD02'!C:E,1,0)</f>
        <v xml:space="preserve">Dreno da linha de vapor pré filtro absoluto </v>
      </c>
      <c r="G22" s="84" t="str">
        <f>VLOOKUP(C22,'FTD02'!A:E,1,0)</f>
        <v>Superior</v>
      </c>
      <c r="H22" s="53" t="str">
        <f>VLOOKUP(B22,'FTD02'!C:E,3,0)</f>
        <v>DN-8</v>
      </c>
      <c r="I22" s="56" t="str">
        <f>VLOOKUP(B22,'FTD02'!C:G,5,0)</f>
        <v>GEMÜ</v>
      </c>
      <c r="J22" s="57" t="str">
        <f>VLOOKUP(B22,'FTD03'!C:E,1,0)</f>
        <v xml:space="preserve">Dreno da linha de vapor pré filtro absoluto </v>
      </c>
      <c r="K22" s="85" t="str">
        <f>VLOOKUP(C22,'FTD03'!A:E,1,0)</f>
        <v>Superior</v>
      </c>
      <c r="L22" s="53" t="str">
        <f>VLOOKUP(B22,'FTD03'!C:E,3,0)</f>
        <v>DN-8</v>
      </c>
      <c r="M22" s="56" t="str">
        <f>VLOOKUP(B22,'FTD03'!C:G,5,0)</f>
        <v>GEMÜ</v>
      </c>
      <c r="N22" s="57" t="str">
        <f>VLOOKUP(B22,'FTD04'!C:E,1,0)</f>
        <v xml:space="preserve">Dreno da linha de vapor pré filtro absoluto </v>
      </c>
      <c r="O22" s="85" t="str">
        <f>VLOOKUP(C22,'FTD04'!A:E,1,0)</f>
        <v>Superior</v>
      </c>
      <c r="P22" s="53" t="str">
        <f>VLOOKUP(B22,'FTD04'!C:E,3,0)</f>
        <v>DN-8</v>
      </c>
      <c r="Q22" s="56" t="str">
        <f>VLOOKUP(B22,'FTD04'!C:G,5,0)</f>
        <v>ZDL</v>
      </c>
      <c r="R22" s="57" t="str">
        <f>VLOOKUP(B22,'FTD05'!C:E,1,0)</f>
        <v xml:space="preserve">Dreno da linha de vapor pré filtro absoluto </v>
      </c>
      <c r="S22" s="85" t="str">
        <f>VLOOKUP(C22,'FTD05'!A:E,1,0)</f>
        <v>Superior</v>
      </c>
      <c r="T22" s="53" t="str">
        <f>VLOOKUP(B22,'FTD05'!C:E,3,0)</f>
        <v>DN-8</v>
      </c>
      <c r="U22" s="56" t="str">
        <f>VLOOKUP(B22,'FTD05'!C:G,5,0)</f>
        <v>ZDL</v>
      </c>
      <c r="V22" s="65" t="str">
        <f>VLOOKUP(B22,'FTD06'!C:E,1,0)</f>
        <v xml:space="preserve">Dreno da linha de vapor pré filtro absoluto </v>
      </c>
      <c r="W22" s="85" t="str">
        <f>VLOOKUP(C22,'FTD06'!A:E,1,0)</f>
        <v>Superior</v>
      </c>
      <c r="X22" s="53" t="str">
        <f>VLOOKUP(B22,'FTD06'!C:E,3,0)</f>
        <v>DN-8</v>
      </c>
      <c r="Y22" s="74" t="str">
        <f>VLOOKUP(B22,'FTD06'!C:G,5,0)</f>
        <v>ZDL</v>
      </c>
      <c r="Z22" s="57" t="str">
        <f>VLOOKUP(B22,'FTD07'!C:E,1,0)</f>
        <v xml:space="preserve">Dreno da linha de vapor pré filtro absoluto </v>
      </c>
      <c r="AA22" s="85" t="str">
        <f>VLOOKUP(C22,'FTD07'!A:E,1,0)</f>
        <v>Superior</v>
      </c>
      <c r="AB22" s="53" t="str">
        <f>VLOOKUP(B22,'FTD07'!C:E,3,0)</f>
        <v>DN-8</v>
      </c>
      <c r="AC22" s="56" t="str">
        <f>VLOOKUP(B22,'FTD07'!C:G,5,0)</f>
        <v>GEMÜ</v>
      </c>
      <c r="AD22" s="65" t="str">
        <f>VLOOKUP(B22,'FTD08'!C:E,1,0)</f>
        <v xml:space="preserve">Dreno da linha de vapor pré filtro absoluto </v>
      </c>
      <c r="AE22" s="85" t="str">
        <f>VLOOKUP(C22,'FTD08'!A:E,1,0)</f>
        <v>Superior</v>
      </c>
      <c r="AF22" s="53" t="str">
        <f>VLOOKUP(B22,'FTD08'!C:E,3,0)</f>
        <v>DN-8</v>
      </c>
      <c r="AG22" s="74" t="str">
        <f>VLOOKUP(B22,'FTD08'!C:G,5,0)</f>
        <v>GEMÜ</v>
      </c>
      <c r="AH22" s="57" t="str">
        <f>VLOOKUP(B22,'FTD09'!C:E,1,0)</f>
        <v xml:space="preserve">Dreno da linha de vapor pré filtro absoluto </v>
      </c>
      <c r="AI22" s="85" t="str">
        <f>VLOOKUP(C22,'FTD09'!A:E,1,0)</f>
        <v>Superior</v>
      </c>
      <c r="AJ22" s="53" t="str">
        <f>VLOOKUP(B22,'FTD09'!C:E,3,0)</f>
        <v>DN-8</v>
      </c>
      <c r="AK22" s="56" t="str">
        <f>VLOOKUP(B22,'FTD09'!C:G,5,0)</f>
        <v>ZDL</v>
      </c>
      <c r="AL22" s="65" t="str">
        <f>VLOOKUP(B22,'FTD10'!C:E,1,0)</f>
        <v xml:space="preserve">Dreno da linha de vapor pré filtro absoluto </v>
      </c>
      <c r="AM22" s="85" t="str">
        <f>VLOOKUP(C22,'FTD10'!A:E,1,0)</f>
        <v>Superior</v>
      </c>
      <c r="AN22" s="53" t="str">
        <f>VLOOKUP(B22,'FTD10'!C:E,3,0)</f>
        <v>DN-8</v>
      </c>
      <c r="AO22" s="74" t="str">
        <f>VLOOKUP(B22,'FTD10'!C:G,5,0)</f>
        <v>GEMÜ</v>
      </c>
      <c r="AP22" s="57" t="str">
        <f>VLOOKUP(B22,'FTD11'!C:E,1,0)</f>
        <v xml:space="preserve">Dreno da linha de vapor pré filtro absoluto </v>
      </c>
      <c r="AQ22" s="85" t="str">
        <f>VLOOKUP(C22,'FTD11'!A:E,1,0)</f>
        <v>Superior</v>
      </c>
      <c r="AR22" s="53" t="str">
        <f>VLOOKUP(B22,'FTD11'!C:E,3,0)</f>
        <v>DN-8</v>
      </c>
      <c r="AS22" s="56" t="str">
        <f>VLOOKUP(B22,'FTD11'!C:G,5,0)</f>
        <v>ZDL</v>
      </c>
      <c r="AT22" s="65" t="str">
        <f>VLOOKUP(B22,'FTD12'!C:E,1,0)</f>
        <v xml:space="preserve">Dreno da linha de vapor pré filtro absoluto </v>
      </c>
      <c r="AU22" s="85" t="str">
        <f>VLOOKUP(C22,'FTD12'!A:E,1,0)</f>
        <v>Superior</v>
      </c>
      <c r="AV22" s="53" t="str">
        <f>VLOOKUP(B22,'FTD12'!C:E,3,0)</f>
        <v>DN-8</v>
      </c>
      <c r="AW22" s="84" t="str">
        <f>VLOOKUP(B22,'FTD12'!C:G,5,0)</f>
        <v xml:space="preserve">ZDL </v>
      </c>
      <c r="AX22" s="124">
        <f t="shared" si="0"/>
        <v>11</v>
      </c>
      <c r="AY22" s="124">
        <f t="shared" si="1"/>
        <v>11</v>
      </c>
      <c r="BA22" s="14" t="s">
        <v>112</v>
      </c>
      <c r="BB22" s="14" t="s">
        <v>68</v>
      </c>
      <c r="BC22" s="14" t="s">
        <v>51</v>
      </c>
      <c r="BD22" s="68" t="s">
        <v>5</v>
      </c>
      <c r="BE22" s="85" t="str">
        <f>VLOOKUP(BA22,'PGD02'!C:E,1,0)</f>
        <v xml:space="preserve">Dreno linha de ar após o filtro absoluto </v>
      </c>
      <c r="BF22" s="85"/>
      <c r="BG22" s="84" t="str">
        <f>VLOOKUP(BA22,'PGD02'!C:E,3,0)</f>
        <v>DN-8</v>
      </c>
      <c r="BH22" s="86" t="str">
        <f>VLOOKUP(BA22,'PGD02'!C:G,5,0)</f>
        <v>GEMÜ</v>
      </c>
      <c r="BI22" s="83" t="str">
        <f>VLOOKUP(BA22,'PGD03'!C:E,1,0)</f>
        <v xml:space="preserve">Dreno linha de ar após o filtro absoluto </v>
      </c>
      <c r="BJ22" s="85"/>
      <c r="BK22" s="84" t="str">
        <f>VLOOKUP(BA22,'PGD03'!C:E,3,0)</f>
        <v>DN-8</v>
      </c>
      <c r="BL22" s="82" t="str">
        <f>VLOOKUP(BA22,'PGD03'!C:G,5,0)</f>
        <v>GEMÜ</v>
      </c>
      <c r="BM22" s="85" t="str">
        <f>VLOOKUP(BA22,'PGD03'!C:E,1,0)</f>
        <v xml:space="preserve">Dreno linha de ar após o filtro absoluto </v>
      </c>
      <c r="BN22" s="85"/>
      <c r="BO22" s="84" t="str">
        <f>VLOOKUP(BA22,'PGD04'!C:E,3,0)</f>
        <v>DN-8</v>
      </c>
      <c r="BP22" s="86" t="str">
        <f>VLOOKUP(BA22,'PGD04'!C:G,5,0)</f>
        <v>GEMÜ</v>
      </c>
      <c r="BQ22" s="83" t="str">
        <f>VLOOKUP(BA22,'PGD05'!C:E,1,0)</f>
        <v xml:space="preserve">Dreno linha de ar após o filtro absoluto </v>
      </c>
      <c r="BR22" s="85"/>
      <c r="BS22" s="84" t="str">
        <f>VLOOKUP(BA22,'PGD05'!C:E,3,0)</f>
        <v>DN-8</v>
      </c>
      <c r="BT22" s="82" t="str">
        <f>VLOOKUP(BA22,'PGD05'!C:G,5,0)</f>
        <v>GEMÜ</v>
      </c>
      <c r="BU22" s="85" t="str">
        <f>VLOOKUP(BA22,'PGD06'!C:E,1,0)</f>
        <v xml:space="preserve">Dreno linha de ar após o filtro absoluto </v>
      </c>
      <c r="BV22" s="85"/>
      <c r="BW22" s="84" t="str">
        <f>VLOOKUP(BA22,'PGD06'!C:E,3,0)</f>
        <v>DN-8</v>
      </c>
      <c r="BX22" s="86" t="str">
        <f>VLOOKUP(BA22,'PGD06'!C:G,5,0)</f>
        <v>GEMÜ</v>
      </c>
      <c r="BY22" s="83" t="str">
        <f>VLOOKUP(BA22,'PGD07'!C:E,1,0)</f>
        <v xml:space="preserve">Dreno linha de ar após o filtro absoluto </v>
      </c>
      <c r="BZ22" s="85"/>
      <c r="CA22" s="84" t="str">
        <f>VLOOKUP(BA22,'PGD07'!C:E,3,0)</f>
        <v>DN-8</v>
      </c>
      <c r="CB22" s="82" t="str">
        <f>VLOOKUP(BA22,'PGD07'!C:G,5,0)</f>
        <v>GEMÜ</v>
      </c>
      <c r="CC22" s="85" t="str">
        <f>VLOOKUP(BA22,'PGD08'!C:E,1,0)</f>
        <v xml:space="preserve">Dreno linha de ar após o filtro absoluto </v>
      </c>
      <c r="CD22" s="85"/>
      <c r="CE22" s="84" t="str">
        <f>VLOOKUP(BA22,'PGD08'!C:E,3,0)</f>
        <v>DN-8</v>
      </c>
      <c r="CF22" s="86" t="str">
        <f>VLOOKUP(BA22,'PGD08'!C:G,5,0)</f>
        <v>GEMÜ</v>
      </c>
      <c r="CG22" s="83" t="str">
        <f>VLOOKUP(BA22,'PGD09'!C:E,1,0)</f>
        <v xml:space="preserve">Dreno linha de ar após o filtro absoluto </v>
      </c>
      <c r="CH22" s="85"/>
      <c r="CI22" s="84" t="str">
        <f>VLOOKUP(BA22,'PGD09'!C:E,3,0)</f>
        <v>DN-8</v>
      </c>
      <c r="CJ22" s="82" t="str">
        <f>VLOOKUP(BA22,'PGD09'!C:G,5,0)</f>
        <v>GEMÜ</v>
      </c>
      <c r="CK22" s="85" t="str">
        <f>VLOOKUP(BA22,'PGD10'!C:E,1,0)</f>
        <v xml:space="preserve">Dreno linha de ar após o filtro absoluto </v>
      </c>
      <c r="CL22" s="85"/>
      <c r="CM22" s="84" t="str">
        <f>VLOOKUP(BA22,'PGD10'!C:E,3,0)</f>
        <v>DN-8</v>
      </c>
      <c r="CN22" s="86" t="str">
        <f>VLOOKUP(BA22,'PGD10'!C:G,5,0)</f>
        <v>GEMÜ</v>
      </c>
      <c r="CO22" s="83" t="str">
        <f>VLOOKUP(BA22,'PGD11'!C:E,1,0)</f>
        <v xml:space="preserve">Dreno linha de ar após o filtro absoluto </v>
      </c>
      <c r="CP22" s="85"/>
      <c r="CQ22" s="84" t="str">
        <f>VLOOKUP(BA22,'PGD11'!C:E,3,0)</f>
        <v>DN-8</v>
      </c>
      <c r="CR22" s="82" t="str">
        <f>VLOOKUP(BA22,'PGD11'!C:G,5,0)</f>
        <v>GEMÜ</v>
      </c>
      <c r="CS22" s="85" t="str">
        <f>VLOOKUP(BA22,'PGD12'!C:E,1,0)</f>
        <v xml:space="preserve">Dreno linha de ar após o filtro absoluto </v>
      </c>
      <c r="CT22" s="85"/>
      <c r="CU22" s="84" t="str">
        <f>VLOOKUP(BA22,'PGD12'!C:E,3,0)</f>
        <v>DN-8</v>
      </c>
      <c r="CV22" s="84" t="str">
        <f>VLOOKUP(BA22,'PGD12'!C:G,5,0)</f>
        <v>GEMÜ</v>
      </c>
      <c r="CW22" s="82">
        <f t="shared" si="2"/>
        <v>11</v>
      </c>
      <c r="CY22" s="51" t="s">
        <v>113</v>
      </c>
      <c r="CZ22" s="6" t="s">
        <v>48</v>
      </c>
      <c r="DA22" s="80" t="s">
        <v>6</v>
      </c>
      <c r="DB22" s="85" t="str">
        <f>VLOOKUP(CY22,'BLD03'!C:E,1,0)</f>
        <v xml:space="preserve">Dreno da linha de ar após do filtro absoluto </v>
      </c>
      <c r="DC22" s="84" t="str">
        <f>VLOOKUP(CY22,'BLD03'!C:E,3,0)</f>
        <v>DN-8</v>
      </c>
      <c r="DD22" s="84" t="str">
        <f>VLOOKUP(CY22,'BLD02'!C:G,5,0)</f>
        <v>ZDL</v>
      </c>
      <c r="DE22" s="82">
        <f t="shared" si="3"/>
        <v>2</v>
      </c>
    </row>
    <row r="23" spans="2:109" x14ac:dyDescent="0.25">
      <c r="B23" s="7" t="s">
        <v>114</v>
      </c>
      <c r="C23" s="7" t="s">
        <v>68</v>
      </c>
      <c r="D23" s="7" t="s">
        <v>51</v>
      </c>
      <c r="E23" s="7" t="s">
        <v>5</v>
      </c>
      <c r="F23" s="83" t="str">
        <f>VLOOKUP(B23,'FTD02'!C:E,1,0)</f>
        <v>Dreno de ar gasout</v>
      </c>
      <c r="G23" s="122" t="str">
        <f>VLOOKUP(C23,'FTD02'!A:E,1,0)</f>
        <v>Superior</v>
      </c>
      <c r="H23" s="84" t="str">
        <f>VLOOKUP(B23,'FTD02'!C:E,3,0)</f>
        <v>DN-40</v>
      </c>
      <c r="I23" s="82" t="str">
        <f>VLOOKUP(B23,'FTD02'!C:G,5,0)</f>
        <v>GEMÜ</v>
      </c>
      <c r="J23" s="83" t="str">
        <f>VLOOKUP(B23,'FTD03'!C:E,1,0)</f>
        <v>Dreno de ar gasout</v>
      </c>
      <c r="K23" s="85" t="str">
        <f>VLOOKUP(C23,'FTD03'!A:E,1,0)</f>
        <v>Superior</v>
      </c>
      <c r="L23" s="84" t="str">
        <f>VLOOKUP(B23,'FTD03'!C:E,3,0)</f>
        <v>DN-40</v>
      </c>
      <c r="M23" s="82" t="str">
        <f>VLOOKUP(B23,'FTD03'!C:G,5,0)</f>
        <v>GEMÜ</v>
      </c>
      <c r="N23" s="83" t="str">
        <f>VLOOKUP(B23,'FTD04'!C:E,1,0)</f>
        <v>Dreno de ar gasout</v>
      </c>
      <c r="O23" s="85" t="str">
        <f>VLOOKUP(C23,'FTD04'!A:E,1,0)</f>
        <v>Superior</v>
      </c>
      <c r="P23" s="84" t="str">
        <f>VLOOKUP(B23,'FTD04'!C:E,3,0)</f>
        <v>DN-40</v>
      </c>
      <c r="Q23" s="82" t="str">
        <f>VLOOKUP(B23,'FTD04'!C:G,5,0)</f>
        <v>GEMÜ</v>
      </c>
      <c r="R23" s="83" t="str">
        <f>VLOOKUP(B23,'FTD05'!C:E,1,0)</f>
        <v>Dreno de ar gasout</v>
      </c>
      <c r="S23" s="85" t="str">
        <f>VLOOKUP(C23,'FTD05'!A:E,1,0)</f>
        <v>Superior</v>
      </c>
      <c r="T23" s="84" t="str">
        <f>VLOOKUP(B23,'FTD05'!C:E,3,0)</f>
        <v>DN-40</v>
      </c>
      <c r="U23" s="82" t="str">
        <f>VLOOKUP(B23,'FTD05'!C:G,5,0)</f>
        <v>GEMÜ</v>
      </c>
      <c r="V23" s="85" t="str">
        <f>VLOOKUP(B23,'FTD06'!C:E,1,0)</f>
        <v>Dreno de ar gasout</v>
      </c>
      <c r="W23" s="85" t="str">
        <f>VLOOKUP(C23,'FTD06'!A:E,1,0)</f>
        <v>Superior</v>
      </c>
      <c r="X23" s="84" t="str">
        <f>VLOOKUP(B23,'FTD06'!C:E,3,0)</f>
        <v>DN-40</v>
      </c>
      <c r="Y23" s="86" t="str">
        <f>VLOOKUP(B23,'FTD06'!C:G,5,0)</f>
        <v>GEMÜ</v>
      </c>
      <c r="Z23" s="83" t="str">
        <f>VLOOKUP(B23,'FTD07'!C:E,1,0)</f>
        <v>Dreno de ar gasout</v>
      </c>
      <c r="AA23" s="85" t="str">
        <f>VLOOKUP(C23,'FTD07'!A:E,1,0)</f>
        <v>Superior</v>
      </c>
      <c r="AB23" s="84" t="str">
        <f>VLOOKUP(B23,'FTD07'!C:E,3,0)</f>
        <v>DN-40</v>
      </c>
      <c r="AC23" s="82" t="str">
        <f>VLOOKUP(B23,'FTD07'!C:G,5,0)</f>
        <v>GEMÜ</v>
      </c>
      <c r="AD23" s="85" t="str">
        <f>VLOOKUP(B23,'FTD08'!C:E,1,0)</f>
        <v>Dreno de ar gasout</v>
      </c>
      <c r="AE23" s="85" t="str">
        <f>VLOOKUP(C23,'FTD08'!A:E,1,0)</f>
        <v>Superior</v>
      </c>
      <c r="AF23" s="84" t="str">
        <f>VLOOKUP(B23,'FTD08'!C:E,3,0)</f>
        <v>DN-40</v>
      </c>
      <c r="AG23" s="86" t="str">
        <f>VLOOKUP(B23,'FTD08'!C:G,5,0)</f>
        <v>GEMÜ</v>
      </c>
      <c r="AH23" s="83" t="str">
        <f>VLOOKUP(B23,'FTD09'!C:E,1,0)</f>
        <v>Dreno de ar gasout</v>
      </c>
      <c r="AI23" s="85" t="str">
        <f>VLOOKUP(C23,'FTD09'!A:E,1,0)</f>
        <v>Superior</v>
      </c>
      <c r="AJ23" s="84" t="str">
        <f>VLOOKUP(B23,'FTD09'!C:E,3,0)</f>
        <v>DN-40</v>
      </c>
      <c r="AK23" s="82" t="str">
        <f>VLOOKUP(B23,'FTD09'!C:G,5,0)</f>
        <v>GEMÜ</v>
      </c>
      <c r="AL23" s="85" t="str">
        <f>VLOOKUP(B23,'FTD10'!C:E,1,0)</f>
        <v>Dreno de ar gasout</v>
      </c>
      <c r="AM23" s="85" t="str">
        <f>VLOOKUP(C23,'FTD10'!A:E,1,0)</f>
        <v>Superior</v>
      </c>
      <c r="AN23" s="84" t="str">
        <f>VLOOKUP(B23,'FTD10'!C:E,3,0)</f>
        <v>DN-40</v>
      </c>
      <c r="AO23" s="86" t="str">
        <f>VLOOKUP(B23,'FTD10'!C:G,5,0)</f>
        <v>ZDL</v>
      </c>
      <c r="AP23" s="83" t="str">
        <f>VLOOKUP(B23,'FTD11'!C:E,1,0)</f>
        <v>Dreno de ar gasout</v>
      </c>
      <c r="AQ23" s="85" t="str">
        <f>VLOOKUP(C23,'FTD11'!A:E,1,0)</f>
        <v>Superior</v>
      </c>
      <c r="AR23" s="84" t="str">
        <f>VLOOKUP(B23,'FTD11'!C:E,3,0)</f>
        <v>DN-40</v>
      </c>
      <c r="AS23" s="82" t="str">
        <f>VLOOKUP(B23,'FTD11'!C:G,5,0)</f>
        <v>GEMÜ</v>
      </c>
      <c r="AT23" s="85" t="str">
        <f>VLOOKUP(B23,'FTD12'!C:E,1,0)</f>
        <v>Dreno de ar gasout</v>
      </c>
      <c r="AU23" s="85" t="str">
        <f>VLOOKUP(C23,'FTD12'!A:E,1,0)</f>
        <v>Superior</v>
      </c>
      <c r="AV23" s="84" t="str">
        <f>VLOOKUP(B23,'FTD12'!C:E,3,0)</f>
        <v>DN-40</v>
      </c>
      <c r="AW23" s="53" t="str">
        <f>VLOOKUP(B23,'FTD12'!C:G,5,0)</f>
        <v>GEMÜ</v>
      </c>
      <c r="AX23" s="124">
        <f t="shared" si="0"/>
        <v>11</v>
      </c>
      <c r="AY23" s="124">
        <f t="shared" si="1"/>
        <v>11</v>
      </c>
      <c r="BA23" s="16" t="s">
        <v>115</v>
      </c>
      <c r="BB23" s="16" t="s">
        <v>68</v>
      </c>
      <c r="BC23" s="16" t="s">
        <v>51</v>
      </c>
      <c r="BD23" s="78" t="s">
        <v>5</v>
      </c>
      <c r="BE23" s="65" t="str">
        <f>VLOOKUP(BA23,'PGD02'!C:E,1,0)</f>
        <v>Entrada bloco BV alimentação água quente</v>
      </c>
      <c r="BF23" s="65"/>
      <c r="BG23" s="53" t="str">
        <f>VLOOKUP(BA23,'PGD02'!C:E,3,0)</f>
        <v>DN-40</v>
      </c>
      <c r="BH23" s="74" t="str">
        <f>VLOOKUP(BA23,'PGD02'!C:G,5,0)</f>
        <v>GEMÜ</v>
      </c>
      <c r="BI23" s="57" t="str">
        <f>VLOOKUP(BA23,'PGD03'!C:E,1,0)</f>
        <v>Entrada bloco BV alimentação água quente</v>
      </c>
      <c r="BJ23" s="65"/>
      <c r="BK23" s="53" t="str">
        <f>VLOOKUP(BA23,'PGD03'!C:E,3,0)</f>
        <v>DN-40</v>
      </c>
      <c r="BL23" s="56" t="str">
        <f>VLOOKUP(BA23,'PGD03'!C:G,5,0)</f>
        <v>GEMÜ</v>
      </c>
      <c r="BM23" s="65" t="str">
        <f>VLOOKUP(BA23,'PGD03'!C:E,1,0)</f>
        <v>Entrada bloco BV alimentação água quente</v>
      </c>
      <c r="BN23" s="65"/>
      <c r="BO23" s="53" t="str">
        <f>VLOOKUP(BA23,'PGD04'!C:E,3,0)</f>
        <v>DN-40</v>
      </c>
      <c r="BP23" s="74" t="str">
        <f>VLOOKUP(BA23,'PGD04'!C:G,5,0)</f>
        <v>GEMÜ</v>
      </c>
      <c r="BQ23" s="57" t="str">
        <f>VLOOKUP(BA23,'PGD05'!C:E,1,0)</f>
        <v>Entrada bloco BV alimentação água quente</v>
      </c>
      <c r="BR23" s="65"/>
      <c r="BS23" s="53" t="str">
        <f>VLOOKUP(BA23,'PGD05'!C:E,3,0)</f>
        <v>DN-40</v>
      </c>
      <c r="BT23" s="56" t="str">
        <f>VLOOKUP(BA23,'PGD05'!C:G,5,0)</f>
        <v>GEMÜ</v>
      </c>
      <c r="BU23" s="65" t="str">
        <f>VLOOKUP(BA23,'PGD06'!C:E,1,0)</f>
        <v>Entrada bloco BV alimentação água quente</v>
      </c>
      <c r="BV23" s="65"/>
      <c r="BW23" s="53" t="str">
        <f>VLOOKUP(BA23,'PGD06'!C:E,3,0)</f>
        <v>DN-40</v>
      </c>
      <c r="BX23" s="74" t="str">
        <f>VLOOKUP(BA23,'PGD06'!C:G,5,0)</f>
        <v>GEMÜ</v>
      </c>
      <c r="BY23" s="57" t="str">
        <f>VLOOKUP(BA23,'PGD07'!C:E,1,0)</f>
        <v>Entrada bloco BV alimentação água quente</v>
      </c>
      <c r="BZ23" s="65"/>
      <c r="CA23" s="53" t="str">
        <f>VLOOKUP(BA23,'PGD07'!C:E,3,0)</f>
        <v>DN-40</v>
      </c>
      <c r="CB23" s="56" t="str">
        <f>VLOOKUP(BA23,'PGD07'!C:G,5,0)</f>
        <v>GEMÜ</v>
      </c>
      <c r="CC23" s="65" t="str">
        <f>VLOOKUP(BA23,'PGD08'!C:E,1,0)</f>
        <v>Entrada bloco BV alimentação água quente</v>
      </c>
      <c r="CD23" s="65"/>
      <c r="CE23" s="53" t="str">
        <f>VLOOKUP(BA23,'PGD08'!C:E,3,0)</f>
        <v>DN-40</v>
      </c>
      <c r="CF23" s="74" t="str">
        <f>VLOOKUP(BA23,'PGD08'!C:G,5,0)</f>
        <v>GEMÜ</v>
      </c>
      <c r="CG23" s="57" t="str">
        <f>VLOOKUP(BA23,'PGD09'!C:E,1,0)</f>
        <v>Entrada bloco BV alimentação água quente</v>
      </c>
      <c r="CH23" s="65"/>
      <c r="CI23" s="53" t="str">
        <f>VLOOKUP(BA23,'PGD09'!C:E,3,0)</f>
        <v>DN-40</v>
      </c>
      <c r="CJ23" s="56" t="str">
        <f>VLOOKUP(BA23,'PGD09'!C:G,5,0)</f>
        <v>GEMÜ</v>
      </c>
      <c r="CK23" s="65" t="str">
        <f>VLOOKUP(BA23,'PGD10'!C:E,1,0)</f>
        <v>Entrada bloco BV alimentação água quente</v>
      </c>
      <c r="CL23" s="65"/>
      <c r="CM23" s="53" t="str">
        <f>VLOOKUP(BA23,'PGD10'!C:E,3,0)</f>
        <v>DN-40</v>
      </c>
      <c r="CN23" s="74" t="str">
        <f>VLOOKUP(BA23,'PGD10'!C:G,5,0)</f>
        <v>GEMÜ</v>
      </c>
      <c r="CO23" s="57" t="str">
        <f>VLOOKUP(BA23,'PGD11'!C:E,1,0)</f>
        <v>Entrada bloco BV alimentação água quente</v>
      </c>
      <c r="CP23" s="65"/>
      <c r="CQ23" s="53" t="str">
        <f>VLOOKUP(BA23,'PGD11'!C:E,3,0)</f>
        <v>DN-40</v>
      </c>
      <c r="CR23" s="56" t="str">
        <f>VLOOKUP(BA23,'PGD11'!C:G,5,0)</f>
        <v>GEMÜ</v>
      </c>
      <c r="CS23" s="65" t="str">
        <f>VLOOKUP(BA23,'PGD12'!C:E,1,0)</f>
        <v>Entrada bloco BV alimentação água quente</v>
      </c>
      <c r="CT23" s="65"/>
      <c r="CU23" s="53" t="str">
        <f>VLOOKUP(BA23,'PGD12'!C:E,3,0)</f>
        <v>DN-40</v>
      </c>
      <c r="CV23" s="53" t="str">
        <f>VLOOKUP(BA23,'PGD12'!C:G,5,0)</f>
        <v>GEMÜ</v>
      </c>
      <c r="CW23" s="56">
        <f t="shared" si="2"/>
        <v>11</v>
      </c>
      <c r="CY23" s="52" t="s">
        <v>117</v>
      </c>
      <c r="CZ23" s="16" t="s">
        <v>80</v>
      </c>
      <c r="DA23" s="81" t="s">
        <v>5</v>
      </c>
      <c r="DB23" s="65" t="str">
        <f>VLOOKUP(CY23,'BLD03'!C:E,1,0)</f>
        <v>Linha de recebimento e transferência de produto</v>
      </c>
      <c r="DC23" s="53" t="str">
        <f>VLOOKUP(CY23,'BLD03'!C:E,3,0)</f>
        <v>DN-50</v>
      </c>
      <c r="DD23" s="53" t="str">
        <f>VLOOKUP(CY23,'BLD02'!C:G,5,0)</f>
        <v>GEMÜ</v>
      </c>
      <c r="DE23" s="56">
        <f t="shared" si="3"/>
        <v>2</v>
      </c>
    </row>
    <row r="24" spans="2:109" x14ac:dyDescent="0.25">
      <c r="B24" s="14" t="s">
        <v>118</v>
      </c>
      <c r="C24" s="14" t="s">
        <v>68</v>
      </c>
      <c r="D24" s="14" t="s">
        <v>48</v>
      </c>
      <c r="E24" s="14" t="s">
        <v>6</v>
      </c>
      <c r="F24" s="57" t="str">
        <f>VLOOKUP(B24,'FTD02'!C:E,1,0)</f>
        <v>Dreno de vapor da linha de ar após filtro absoluto</v>
      </c>
      <c r="G24" s="84" t="str">
        <f>VLOOKUP(C24,'FTD02'!A:E,1,0)</f>
        <v>Superior</v>
      </c>
      <c r="H24" s="53" t="str">
        <f>VLOOKUP(B24,'FTD02'!C:E,3,0)</f>
        <v>DN-8</v>
      </c>
      <c r="I24" s="56" t="str">
        <f>VLOOKUP(B24,'FTD02'!C:G,5,0)</f>
        <v>ZDL</v>
      </c>
      <c r="J24" s="57" t="str">
        <f>VLOOKUP(B24,'FTD03'!C:E,1,0)</f>
        <v>Dreno de vapor da linha de ar após filtro absoluto</v>
      </c>
      <c r="K24" s="85" t="str">
        <f>VLOOKUP(C24,'FTD03'!A:E,1,0)</f>
        <v>Superior</v>
      </c>
      <c r="L24" s="53" t="str">
        <f>VLOOKUP(B24,'FTD03'!C:E,3,0)</f>
        <v>DN-8</v>
      </c>
      <c r="M24" s="56" t="str">
        <f>VLOOKUP(B24,'FTD03'!C:G,5,0)</f>
        <v>ZDL</v>
      </c>
      <c r="N24" s="57" t="str">
        <f>VLOOKUP(B24,'FTD04'!C:E,1,0)</f>
        <v>Dreno de vapor da linha de ar após filtro absoluto</v>
      </c>
      <c r="O24" s="85" t="str">
        <f>VLOOKUP(C24,'FTD04'!A:E,1,0)</f>
        <v>Superior</v>
      </c>
      <c r="P24" s="53" t="str">
        <f>VLOOKUP(B24,'FTD04'!C:E,3,0)</f>
        <v>DN-8</v>
      </c>
      <c r="Q24" s="56" t="str">
        <f>VLOOKUP(B24,'FTD04'!C:G,5,0)</f>
        <v>ZDL</v>
      </c>
      <c r="R24" s="57" t="str">
        <f>VLOOKUP(B24,'FTD05'!C:E,1,0)</f>
        <v>Dreno de vapor da linha de ar após filtro absoluto</v>
      </c>
      <c r="S24" s="85" t="str">
        <f>VLOOKUP(C24,'FTD05'!A:E,1,0)</f>
        <v>Superior</v>
      </c>
      <c r="T24" s="53" t="str">
        <f>VLOOKUP(B24,'FTD05'!C:E,3,0)</f>
        <v>DN-8</v>
      </c>
      <c r="U24" s="56" t="str">
        <f>VLOOKUP(B24,'FTD05'!C:G,5,0)</f>
        <v>ZDL</v>
      </c>
      <c r="V24" s="65" t="str">
        <f>VLOOKUP(B24,'FTD06'!C:E,1,0)</f>
        <v>Dreno de vapor da linha de ar após filtro absoluto</v>
      </c>
      <c r="W24" s="85" t="str">
        <f>VLOOKUP(C24,'FTD06'!A:E,1,0)</f>
        <v>Superior</v>
      </c>
      <c r="X24" s="53" t="str">
        <f>VLOOKUP(B24,'FTD06'!C:E,3,0)</f>
        <v>DN-8</v>
      </c>
      <c r="Y24" s="74" t="str">
        <f>VLOOKUP(B24,'FTD06'!C:G,5,0)</f>
        <v>ZDL</v>
      </c>
      <c r="Z24" s="57" t="str">
        <f>VLOOKUP(B24,'FTD07'!C:E,1,0)</f>
        <v>Dreno de vapor da linha de ar após filtro absoluto</v>
      </c>
      <c r="AA24" s="85" t="str">
        <f>VLOOKUP(C24,'FTD07'!A:E,1,0)</f>
        <v>Superior</v>
      </c>
      <c r="AB24" s="53" t="str">
        <f>VLOOKUP(B24,'FTD07'!C:E,3,0)</f>
        <v>DN-8</v>
      </c>
      <c r="AC24" s="56" t="str">
        <f>VLOOKUP(B24,'FTD07'!C:G,5,0)</f>
        <v>ZDL</v>
      </c>
      <c r="AD24" s="65" t="str">
        <f>VLOOKUP(B24,'FTD08'!C:E,1,0)</f>
        <v>Dreno de vapor da linha de ar após filtro absoluto</v>
      </c>
      <c r="AE24" s="85" t="str">
        <f>VLOOKUP(C24,'FTD08'!A:E,1,0)</f>
        <v>Superior</v>
      </c>
      <c r="AF24" s="53" t="str">
        <f>VLOOKUP(B24,'FTD08'!C:E,3,0)</f>
        <v>DN-8</v>
      </c>
      <c r="AG24" s="74" t="str">
        <f>VLOOKUP(B24,'FTD08'!C:G,5,0)</f>
        <v>ZDL</v>
      </c>
      <c r="AH24" s="57" t="str">
        <f>VLOOKUP(B24,'FTD09'!C:E,1,0)</f>
        <v>Dreno de vapor da linha de ar após filtro absoluto</v>
      </c>
      <c r="AI24" s="85" t="str">
        <f>VLOOKUP(C24,'FTD09'!A:E,1,0)</f>
        <v>Superior</v>
      </c>
      <c r="AJ24" s="53" t="str">
        <f>VLOOKUP(B24,'FTD09'!C:E,3,0)</f>
        <v>DN-8</v>
      </c>
      <c r="AK24" s="56" t="str">
        <f>VLOOKUP(B24,'FTD09'!C:G,5,0)</f>
        <v>ZDL</v>
      </c>
      <c r="AL24" s="65" t="str">
        <f>VLOOKUP(B24,'FTD10'!C:E,1,0)</f>
        <v>Dreno de vapor da linha de ar após filtro absoluto</v>
      </c>
      <c r="AM24" s="85" t="str">
        <f>VLOOKUP(C24,'FTD10'!A:E,1,0)</f>
        <v>Superior</v>
      </c>
      <c r="AN24" s="53" t="str">
        <f>VLOOKUP(B24,'FTD10'!C:E,3,0)</f>
        <v>DN-8</v>
      </c>
      <c r="AO24" s="74" t="str">
        <f>VLOOKUP(B24,'FTD10'!C:G,5,0)</f>
        <v>ZDL</v>
      </c>
      <c r="AP24" s="57" t="str">
        <f>VLOOKUP(B24,'FTD11'!C:E,1,0)</f>
        <v>Dreno de vapor da linha de ar após filtro absoluto</v>
      </c>
      <c r="AQ24" s="85" t="str">
        <f>VLOOKUP(C24,'FTD11'!A:E,1,0)</f>
        <v>Superior</v>
      </c>
      <c r="AR24" s="53" t="str">
        <f>VLOOKUP(B24,'FTD11'!C:E,3,0)</f>
        <v>DN-8</v>
      </c>
      <c r="AS24" s="56" t="str">
        <f>VLOOKUP(B24,'FTD11'!C:G,5,0)</f>
        <v>ZDL</v>
      </c>
      <c r="AT24" s="65" t="str">
        <f>VLOOKUP(B24,'FTD12'!C:E,1,0)</f>
        <v>Dreno de vapor da linha de ar após filtro absoluto</v>
      </c>
      <c r="AU24" s="85" t="str">
        <f>VLOOKUP(C24,'FTD12'!A:E,1,0)</f>
        <v>Superior</v>
      </c>
      <c r="AV24" s="53" t="str">
        <f>VLOOKUP(B24,'FTD12'!C:E,3,0)</f>
        <v>DN-8</v>
      </c>
      <c r="AW24" s="84" t="str">
        <f>VLOOKUP(B24,'FTD12'!C:G,5,0)</f>
        <v xml:space="preserve">ZDL </v>
      </c>
      <c r="AX24" s="124">
        <f t="shared" si="0"/>
        <v>11</v>
      </c>
      <c r="AY24" s="124">
        <f t="shared" si="1"/>
        <v>11</v>
      </c>
      <c r="BA24" s="14" t="s">
        <v>119</v>
      </c>
      <c r="BB24" s="14" t="s">
        <v>68</v>
      </c>
      <c r="BC24" s="14" t="s">
        <v>86</v>
      </c>
      <c r="BD24" s="68" t="s">
        <v>5</v>
      </c>
      <c r="BE24" s="85" t="str">
        <f>VLOOKUP(BA24,'PGD02'!C:E,1,0)</f>
        <v>Entrada bloco BV alimentação carbono</v>
      </c>
      <c r="BF24" s="85"/>
      <c r="BG24" s="84" t="str">
        <f>VLOOKUP(BA24,'PGD02'!C:E,3,0)</f>
        <v>DN-25</v>
      </c>
      <c r="BH24" s="86" t="str">
        <f>VLOOKUP(BA24,'PGD02'!C:G,5,0)</f>
        <v>GEMÜ</v>
      </c>
      <c r="BI24" s="83" t="str">
        <f>VLOOKUP(BA24,'PGD03'!C:E,1,0)</f>
        <v>Entrada bloco BV alimentação carbono</v>
      </c>
      <c r="BJ24" s="85"/>
      <c r="BK24" s="84" t="str">
        <f>VLOOKUP(BA24,'PGD03'!C:E,3,0)</f>
        <v>DN-25</v>
      </c>
      <c r="BL24" s="82" t="str">
        <f>VLOOKUP(BA24,'PGD03'!C:G,5,0)</f>
        <v>GEMÜ</v>
      </c>
      <c r="BM24" s="85" t="str">
        <f>VLOOKUP(BA24,'PGD03'!C:E,1,0)</f>
        <v>Entrada bloco BV alimentação carbono</v>
      </c>
      <c r="BN24" s="85"/>
      <c r="BO24" s="84" t="str">
        <f>VLOOKUP(BA24,'PGD04'!C:E,3,0)</f>
        <v>DN-25</v>
      </c>
      <c r="BP24" s="86" t="str">
        <f>VLOOKUP(BA24,'PGD04'!C:G,5,0)</f>
        <v>GEMÜ</v>
      </c>
      <c r="BQ24" s="83" t="str">
        <f>VLOOKUP(BA24,'PGD05'!C:E,1,0)</f>
        <v>Entrada bloco BV alimentação carbono</v>
      </c>
      <c r="BR24" s="85"/>
      <c r="BS24" s="84" t="str">
        <f>VLOOKUP(BA24,'PGD05'!C:E,3,0)</f>
        <v>DN-25</v>
      </c>
      <c r="BT24" s="82" t="str">
        <f>VLOOKUP(BA24,'PGD05'!C:G,5,0)</f>
        <v>GEMÜ</v>
      </c>
      <c r="BU24" s="85" t="str">
        <f>VLOOKUP(BA24,'PGD06'!C:E,1,0)</f>
        <v>Entrada bloco BV alimentação carbono</v>
      </c>
      <c r="BV24" s="85"/>
      <c r="BW24" s="84" t="str">
        <f>VLOOKUP(BA24,'PGD06'!C:E,3,0)</f>
        <v>DN-25</v>
      </c>
      <c r="BX24" s="86" t="str">
        <f>VLOOKUP(BA24,'PGD06'!C:G,5,0)</f>
        <v>GEMÜ</v>
      </c>
      <c r="BY24" s="83" t="str">
        <f>VLOOKUP(BA24,'PGD07'!C:E,1,0)</f>
        <v>Entrada bloco BV alimentação carbono</v>
      </c>
      <c r="BZ24" s="85"/>
      <c r="CA24" s="84" t="str">
        <f>VLOOKUP(BA24,'PGD07'!C:E,3,0)</f>
        <v>DN-25</v>
      </c>
      <c r="CB24" s="82" t="str">
        <f>VLOOKUP(BA24,'PGD07'!C:G,5,0)</f>
        <v>GEMÜ</v>
      </c>
      <c r="CC24" s="85" t="str">
        <f>VLOOKUP(BA24,'PGD08'!C:E,1,0)</f>
        <v>Entrada bloco BV alimentação carbono</v>
      </c>
      <c r="CD24" s="85"/>
      <c r="CE24" s="84" t="str">
        <f>VLOOKUP(BA24,'PGD08'!C:E,3,0)</f>
        <v>DN-25</v>
      </c>
      <c r="CF24" s="86" t="str">
        <f>VLOOKUP(BA24,'PGD08'!C:G,5,0)</f>
        <v>GEMÜ</v>
      </c>
      <c r="CG24" s="83" t="str">
        <f>VLOOKUP(BA24,'PGD09'!C:E,1,0)</f>
        <v>Entrada bloco BV alimentação carbono</v>
      </c>
      <c r="CH24" s="85"/>
      <c r="CI24" s="84" t="str">
        <f>VLOOKUP(BA24,'PGD09'!C:E,3,0)</f>
        <v>DN-25</v>
      </c>
      <c r="CJ24" s="82" t="str">
        <f>VLOOKUP(BA24,'PGD09'!C:G,5,0)</f>
        <v>GEMÜ</v>
      </c>
      <c r="CK24" s="85" t="str">
        <f>VLOOKUP(BA24,'PGD10'!C:E,1,0)</f>
        <v>Entrada bloco BV alimentação carbono</v>
      </c>
      <c r="CL24" s="85"/>
      <c r="CM24" s="84" t="str">
        <f>VLOOKUP(BA24,'PGD10'!C:E,3,0)</f>
        <v>DN-25</v>
      </c>
      <c r="CN24" s="86" t="str">
        <f>VLOOKUP(BA24,'PGD10'!C:G,5,0)</f>
        <v>GEMÜ</v>
      </c>
      <c r="CO24" s="83" t="str">
        <f>VLOOKUP(BA24,'PGD11'!C:E,1,0)</f>
        <v>Entrada bloco BV alimentação carbono</v>
      </c>
      <c r="CP24" s="85"/>
      <c r="CQ24" s="84" t="str">
        <f>VLOOKUP(BA24,'PGD11'!C:E,3,0)</f>
        <v>DN-25</v>
      </c>
      <c r="CR24" s="82" t="str">
        <f>VLOOKUP(BA24,'PGD11'!C:G,5,0)</f>
        <v>GEMÜ</v>
      </c>
      <c r="CS24" s="85" t="str">
        <f>VLOOKUP(BA24,'PGD12'!C:E,1,0)</f>
        <v>Entrada bloco BV alimentação carbono</v>
      </c>
      <c r="CT24" s="85"/>
      <c r="CU24" s="84" t="str">
        <f>VLOOKUP(BA24,'PGD12'!C:E,3,0)</f>
        <v>DN-25</v>
      </c>
      <c r="CV24" s="84" t="str">
        <f>VLOOKUP(BA24,'PGD12'!C:G,5,0)</f>
        <v>GEMÜ</v>
      </c>
      <c r="CW24" s="82">
        <f t="shared" si="2"/>
        <v>11</v>
      </c>
      <c r="CY24" s="51" t="s">
        <v>121</v>
      </c>
      <c r="CZ24" s="6" t="s">
        <v>51</v>
      </c>
      <c r="DA24" s="80" t="s">
        <v>5</v>
      </c>
      <c r="DB24" s="85" t="str">
        <f>VLOOKUP(CY24,'BLD03'!C:E,1,0)</f>
        <v xml:space="preserve">Entrada bloco BV trasferencia do fermentador </v>
      </c>
      <c r="DC24" s="84" t="str">
        <f>VLOOKUP(CY24,'BLD03'!C:E,3,0)</f>
        <v>DN-40</v>
      </c>
      <c r="DD24" s="84" t="str">
        <f>VLOOKUP(CY24,'BLD02'!C:G,5,0)</f>
        <v>GEMÜ</v>
      </c>
      <c r="DE24" s="82">
        <f t="shared" si="3"/>
        <v>2</v>
      </c>
    </row>
    <row r="25" spans="2:109" x14ac:dyDescent="0.25">
      <c r="B25" s="7" t="s">
        <v>115</v>
      </c>
      <c r="C25" s="7" t="s">
        <v>68</v>
      </c>
      <c r="D25" s="7" t="s">
        <v>80</v>
      </c>
      <c r="E25" s="7" t="s">
        <v>5</v>
      </c>
      <c r="F25" s="83" t="str">
        <f>VLOOKUP(B25,'FTD02'!C:E,1,0)</f>
        <v>Entrada bloco BV alimentação água quente</v>
      </c>
      <c r="G25" s="122" t="str">
        <f>VLOOKUP(C25,'FTD02'!A:E,1,0)</f>
        <v>Superior</v>
      </c>
      <c r="H25" s="84" t="str">
        <f>VLOOKUP(B25,'FTD02'!C:E,3,0)</f>
        <v>DN-50</v>
      </c>
      <c r="I25" s="82" t="str">
        <f>VLOOKUP(B25,'FTD02'!C:G,5,0)</f>
        <v>GEMÜ</v>
      </c>
      <c r="J25" s="83" t="str">
        <f>VLOOKUP(B25,'FTD03'!C:E,1,0)</f>
        <v>Entrada bloco BV alimentação água quente</v>
      </c>
      <c r="K25" s="85" t="str">
        <f>VLOOKUP(C25,'FTD03'!A:E,1,0)</f>
        <v>Superior</v>
      </c>
      <c r="L25" s="84" t="str">
        <f>VLOOKUP(B25,'FTD03'!C:E,3,0)</f>
        <v>DN-50</v>
      </c>
      <c r="M25" s="82" t="str">
        <f>VLOOKUP(B25,'FTD03'!C:G,5,0)</f>
        <v>GEMÜ</v>
      </c>
      <c r="N25" s="83" t="str">
        <f>VLOOKUP(B25,'FTD04'!C:E,1,0)</f>
        <v>Entrada bloco BV alimentação água quente</v>
      </c>
      <c r="O25" s="85" t="str">
        <f>VLOOKUP(C25,'FTD04'!A:E,1,0)</f>
        <v>Superior</v>
      </c>
      <c r="P25" s="84" t="str">
        <f>VLOOKUP(B25,'FTD04'!C:E,3,0)</f>
        <v>DN-50</v>
      </c>
      <c r="Q25" s="82" t="str">
        <f>VLOOKUP(B25,'FTD04'!C:G,5,0)</f>
        <v>GEMÜ</v>
      </c>
      <c r="R25" s="83" t="str">
        <f>VLOOKUP(B25,'FTD05'!C:E,1,0)</f>
        <v>Entrada bloco BV alimentação água quente</v>
      </c>
      <c r="S25" s="85" t="str">
        <f>VLOOKUP(C25,'FTD05'!A:E,1,0)</f>
        <v>Superior</v>
      </c>
      <c r="T25" s="84" t="str">
        <f>VLOOKUP(B25,'FTD05'!C:E,3,0)</f>
        <v>DN-50</v>
      </c>
      <c r="U25" s="82" t="str">
        <f>VLOOKUP(B25,'FTD05'!C:G,5,0)</f>
        <v>GEMÜ</v>
      </c>
      <c r="V25" s="85" t="str">
        <f>VLOOKUP(B25,'FTD06'!C:E,1,0)</f>
        <v>Entrada bloco BV alimentação água quente</v>
      </c>
      <c r="W25" s="85" t="str">
        <f>VLOOKUP(C25,'FTD06'!A:E,1,0)</f>
        <v>Superior</v>
      </c>
      <c r="X25" s="84" t="str">
        <f>VLOOKUP(B25,'FTD06'!C:E,3,0)</f>
        <v>DN-50</v>
      </c>
      <c r="Y25" s="86" t="str">
        <f>VLOOKUP(B25,'FTD06'!C:G,5,0)</f>
        <v>GEMÜ</v>
      </c>
      <c r="Z25" s="83" t="str">
        <f>VLOOKUP(B25,'FTD07'!C:E,1,0)</f>
        <v>Entrada bloco BV alimentação água quente</v>
      </c>
      <c r="AA25" s="85" t="str">
        <f>VLOOKUP(C25,'FTD07'!A:E,1,0)</f>
        <v>Superior</v>
      </c>
      <c r="AB25" s="84" t="str">
        <f>VLOOKUP(B25,'FTD07'!C:E,3,0)</f>
        <v>DN-50</v>
      </c>
      <c r="AC25" s="82" t="str">
        <f>VLOOKUP(B25,'FTD07'!C:G,5,0)</f>
        <v>GEMÜ</v>
      </c>
      <c r="AD25" s="85" t="str">
        <f>VLOOKUP(B25,'FTD08'!C:E,1,0)</f>
        <v>Entrada bloco BV alimentação água quente</v>
      </c>
      <c r="AE25" s="85" t="str">
        <f>VLOOKUP(C25,'FTD08'!A:E,1,0)</f>
        <v>Superior</v>
      </c>
      <c r="AF25" s="84" t="str">
        <f>VLOOKUP(B25,'FTD08'!C:E,3,0)</f>
        <v>DN-50</v>
      </c>
      <c r="AG25" s="86" t="str">
        <f>VLOOKUP(B25,'FTD08'!C:G,5,0)</f>
        <v>GEMÜ</v>
      </c>
      <c r="AH25" s="83" t="str">
        <f>VLOOKUP(B25,'FTD09'!C:E,1,0)</f>
        <v>Entrada bloco BV alimentação água quente</v>
      </c>
      <c r="AI25" s="85" t="str">
        <f>VLOOKUP(C25,'FTD09'!A:E,1,0)</f>
        <v>Superior</v>
      </c>
      <c r="AJ25" s="84" t="str">
        <f>VLOOKUP(B25,'FTD09'!C:E,3,0)</f>
        <v>DN-40</v>
      </c>
      <c r="AK25" s="82" t="str">
        <f>VLOOKUP(B25,'FTD09'!C:G,5,0)</f>
        <v>GEMÜ</v>
      </c>
      <c r="AL25" s="85" t="str">
        <f>VLOOKUP(B25,'FTD10'!C:E,1,0)</f>
        <v>Entrada bloco BV alimentação água quente</v>
      </c>
      <c r="AM25" s="85" t="str">
        <f>VLOOKUP(C25,'FTD10'!A:E,1,0)</f>
        <v>Superior</v>
      </c>
      <c r="AN25" s="84" t="str">
        <f>VLOOKUP(B25,'FTD10'!C:E,3,0)</f>
        <v>DN-50</v>
      </c>
      <c r="AO25" s="86" t="str">
        <f>VLOOKUP(B25,'FTD10'!C:G,5,0)</f>
        <v>GEMÜ</v>
      </c>
      <c r="AP25" s="83" t="str">
        <f>VLOOKUP(B25,'FTD11'!C:E,1,0)</f>
        <v>Entrada bloco BV alimentação água quente</v>
      </c>
      <c r="AQ25" s="85" t="str">
        <f>VLOOKUP(C25,'FTD11'!A:E,1,0)</f>
        <v>Superior</v>
      </c>
      <c r="AR25" s="84" t="str">
        <f>VLOOKUP(B25,'FTD11'!C:E,3,0)</f>
        <v>DN-50</v>
      </c>
      <c r="AS25" s="82" t="str">
        <f>VLOOKUP(B25,'FTD11'!C:G,5,0)</f>
        <v>GEMÜ</v>
      </c>
      <c r="AT25" s="85" t="str">
        <f>VLOOKUP(B25,'FTD12'!C:E,1,0)</f>
        <v>Entrada bloco BV alimentação água quente</v>
      </c>
      <c r="AU25" s="85" t="str">
        <f>VLOOKUP(C25,'FTD12'!A:E,1,0)</f>
        <v>Superior</v>
      </c>
      <c r="AV25" s="84" t="str">
        <f>VLOOKUP(B25,'FTD12'!C:E,3,0)</f>
        <v>DN-50</v>
      </c>
      <c r="AW25" s="53" t="str">
        <f>VLOOKUP(B25,'FTD12'!C:G,5,0)</f>
        <v>GEMÜ</v>
      </c>
      <c r="AX25" s="124">
        <f t="shared" si="0"/>
        <v>11</v>
      </c>
      <c r="AY25" s="124">
        <f t="shared" si="1"/>
        <v>10</v>
      </c>
      <c r="BA25" s="16" t="s">
        <v>122</v>
      </c>
      <c r="BB25" s="16" t="s">
        <v>68</v>
      </c>
      <c r="BC25" s="16" t="s">
        <v>86</v>
      </c>
      <c r="BD25" s="78" t="s">
        <v>5</v>
      </c>
      <c r="BE25" s="65" t="str">
        <f>VLOOKUP(BA25,'PGD02'!C:E,1,0)</f>
        <v>Entrada bloco BV alimentação nitrogênio</v>
      </c>
      <c r="BF25" s="65"/>
      <c r="BG25" s="53" t="str">
        <f>VLOOKUP(BA25,'PGD02'!C:E,3,0)</f>
        <v>DN-25</v>
      </c>
      <c r="BH25" s="74" t="str">
        <f>VLOOKUP(BA25,'PGD02'!C:G,5,0)</f>
        <v>GEMÜ</v>
      </c>
      <c r="BI25" s="57" t="str">
        <f>VLOOKUP(BA25,'PGD03'!C:E,1,0)</f>
        <v>Entrada bloco BV alimentação nitrogênio</v>
      </c>
      <c r="BJ25" s="65"/>
      <c r="BK25" s="53" t="str">
        <f>VLOOKUP(BA25,'PGD03'!C:E,3,0)</f>
        <v>DN-25</v>
      </c>
      <c r="BL25" s="56" t="str">
        <f>VLOOKUP(BA25,'PGD03'!C:G,5,0)</f>
        <v>GEMÜ</v>
      </c>
      <c r="BM25" s="65" t="str">
        <f>VLOOKUP(BA25,'PGD03'!C:E,1,0)</f>
        <v>Entrada bloco BV alimentação nitrogênio</v>
      </c>
      <c r="BN25" s="65"/>
      <c r="BO25" s="53" t="str">
        <f>VLOOKUP(BA25,'PGD04'!C:E,3,0)</f>
        <v>DN-25</v>
      </c>
      <c r="BP25" s="74" t="str">
        <f>VLOOKUP(BA25,'PGD04'!C:G,5,0)</f>
        <v>GEMÜ</v>
      </c>
      <c r="BQ25" s="57" t="str">
        <f>VLOOKUP(BA25,'PGD05'!C:E,1,0)</f>
        <v>Entrada bloco BV alimentação nitrogênio</v>
      </c>
      <c r="BR25" s="65"/>
      <c r="BS25" s="53" t="str">
        <f>VLOOKUP(BA25,'PGD05'!C:E,3,0)</f>
        <v>DN-25</v>
      </c>
      <c r="BT25" s="56" t="str">
        <f>VLOOKUP(BA25,'PGD05'!C:G,5,0)</f>
        <v>GEMÜ</v>
      </c>
      <c r="BU25" s="65" t="str">
        <f>VLOOKUP(BA25,'PGD06'!C:E,1,0)</f>
        <v>Entrada bloco BV alimentação nitrogênio</v>
      </c>
      <c r="BV25" s="65"/>
      <c r="BW25" s="53" t="str">
        <f>VLOOKUP(BA25,'PGD06'!C:E,3,0)</f>
        <v>DN-25</v>
      </c>
      <c r="BX25" s="74" t="str">
        <f>VLOOKUP(BA25,'PGD06'!C:G,5,0)</f>
        <v>GEMÜ</v>
      </c>
      <c r="BY25" s="57" t="str">
        <f>VLOOKUP(BA25,'PGD07'!C:E,1,0)</f>
        <v>Entrada bloco BV alimentação nitrogênio</v>
      </c>
      <c r="BZ25" s="65"/>
      <c r="CA25" s="53" t="str">
        <f>VLOOKUP(BA25,'PGD07'!C:E,3,0)</f>
        <v>DN-25</v>
      </c>
      <c r="CB25" s="56" t="str">
        <f>VLOOKUP(BA25,'PGD07'!C:G,5,0)</f>
        <v>GEMÜ</v>
      </c>
      <c r="CC25" s="65" t="str">
        <f>VLOOKUP(BA25,'PGD08'!C:E,1,0)</f>
        <v>Entrada bloco BV alimentação nitrogênio</v>
      </c>
      <c r="CD25" s="65"/>
      <c r="CE25" s="53" t="str">
        <f>VLOOKUP(BA25,'PGD08'!C:E,3,0)</f>
        <v>DN-25</v>
      </c>
      <c r="CF25" s="74" t="str">
        <f>VLOOKUP(BA25,'PGD08'!C:G,5,0)</f>
        <v>GEMÜ</v>
      </c>
      <c r="CG25" s="57" t="str">
        <f>VLOOKUP(BA25,'PGD09'!C:E,1,0)</f>
        <v>Entrada bloco BV alimentação nitrogênio</v>
      </c>
      <c r="CH25" s="65"/>
      <c r="CI25" s="53" t="str">
        <f>VLOOKUP(BA25,'PGD09'!C:E,3,0)</f>
        <v>DN-25</v>
      </c>
      <c r="CJ25" s="56" t="str">
        <f>VLOOKUP(BA25,'PGD09'!C:G,5,0)</f>
        <v>GEMÜ</v>
      </c>
      <c r="CK25" s="65" t="str">
        <f>VLOOKUP(BA25,'PGD10'!C:E,1,0)</f>
        <v>Entrada bloco BV alimentação nitrogênio</v>
      </c>
      <c r="CL25" s="65"/>
      <c r="CM25" s="53" t="str">
        <f>VLOOKUP(BA25,'PGD10'!C:E,3,0)</f>
        <v>DN-25</v>
      </c>
      <c r="CN25" s="74" t="str">
        <f>VLOOKUP(BA25,'PGD10'!C:G,5,0)</f>
        <v>GEMÜ</v>
      </c>
      <c r="CO25" s="57" t="str">
        <f>VLOOKUP(BA25,'PGD11'!C:E,1,0)</f>
        <v>Entrada bloco BV alimentação nitrogênio</v>
      </c>
      <c r="CP25" s="65"/>
      <c r="CQ25" s="53" t="str">
        <f>VLOOKUP(BA25,'PGD11'!C:E,3,0)</f>
        <v>DN-25</v>
      </c>
      <c r="CR25" s="56" t="str">
        <f>VLOOKUP(BA25,'PGD11'!C:G,5,0)</f>
        <v>GEMÜ</v>
      </c>
      <c r="CS25" s="65" t="str">
        <f>VLOOKUP(BA25,'PGD12'!C:E,1,0)</f>
        <v>Entrada bloco BV alimentação nitrogênio</v>
      </c>
      <c r="CT25" s="65"/>
      <c r="CU25" s="53" t="str">
        <f>VLOOKUP(BA25,'PGD12'!C:E,3,0)</f>
        <v>DN-25</v>
      </c>
      <c r="CV25" s="53" t="str">
        <f>VLOOKUP(BA25,'PGD12'!C:G,5,0)</f>
        <v>GEMÜ</v>
      </c>
      <c r="CW25" s="56">
        <f t="shared" si="2"/>
        <v>11</v>
      </c>
      <c r="CY25" s="52" t="s">
        <v>124</v>
      </c>
      <c r="CZ25" s="16" t="s">
        <v>51</v>
      </c>
      <c r="DA25" s="81" t="s">
        <v>5</v>
      </c>
      <c r="DB25" s="65" t="str">
        <f>VLOOKUP(CY25,'BLD03'!C:E,1,0)</f>
        <v xml:space="preserve">Entrada blender  BV trasferencia do fermentador </v>
      </c>
      <c r="DC25" s="53" t="str">
        <f>VLOOKUP(CY25,'BLD03'!C:E,3,0)</f>
        <v>DN-40</v>
      </c>
      <c r="DD25" s="53" t="str">
        <f>VLOOKUP(CY25,'BLD02'!C:G,5,0)</f>
        <v>GEMÜ</v>
      </c>
      <c r="DE25" s="56">
        <f t="shared" si="3"/>
        <v>2</v>
      </c>
    </row>
    <row r="26" spans="2:109" x14ac:dyDescent="0.25">
      <c r="B26" s="14" t="s">
        <v>119</v>
      </c>
      <c r="C26" s="14" t="s">
        <v>68</v>
      </c>
      <c r="D26" s="14" t="s">
        <v>51</v>
      </c>
      <c r="E26" s="14" t="s">
        <v>5</v>
      </c>
      <c r="F26" s="57" t="str">
        <f>VLOOKUP(B26,'FTD02'!C:E,1,0)</f>
        <v>Entrada bloco BV alimentação carbono</v>
      </c>
      <c r="G26" s="84" t="str">
        <f>VLOOKUP(C26,'FTD02'!A:E,1,0)</f>
        <v>Superior</v>
      </c>
      <c r="H26" s="53" t="str">
        <f>VLOOKUP(B26,'FTD02'!C:E,3,0)</f>
        <v>DN-40</v>
      </c>
      <c r="I26" s="56" t="str">
        <f>VLOOKUP(B26,'FTD02'!C:G,5,0)</f>
        <v>GEMÜ</v>
      </c>
      <c r="J26" s="57" t="str">
        <f>VLOOKUP(B26,'FTD03'!C:E,1,0)</f>
        <v>Entrada bloco BV alimentação carbono</v>
      </c>
      <c r="K26" s="85" t="str">
        <f>VLOOKUP(C26,'FTD03'!A:E,1,0)</f>
        <v>Superior</v>
      </c>
      <c r="L26" s="53" t="str">
        <f>VLOOKUP(B26,'FTD03'!C:E,3,0)</f>
        <v>DN-40</v>
      </c>
      <c r="M26" s="56" t="str">
        <f>VLOOKUP(B26,'FTD03'!C:G,5,0)</f>
        <v>GEMÜ</v>
      </c>
      <c r="N26" s="57" t="str">
        <f>VLOOKUP(B26,'FTD04'!C:E,1,0)</f>
        <v>Entrada bloco BV alimentação carbono</v>
      </c>
      <c r="O26" s="85" t="str">
        <f>VLOOKUP(C26,'FTD04'!A:E,1,0)</f>
        <v>Superior</v>
      </c>
      <c r="P26" s="53" t="str">
        <f>VLOOKUP(B26,'FTD04'!C:E,3,0)</f>
        <v>DN-40</v>
      </c>
      <c r="Q26" s="56" t="str">
        <f>VLOOKUP(B26,'FTD04'!C:G,5,0)</f>
        <v>GEMÜ</v>
      </c>
      <c r="R26" s="57" t="str">
        <f>VLOOKUP(B26,'FTD05'!C:E,1,0)</f>
        <v>Entrada bloco BV alimentação carbono</v>
      </c>
      <c r="S26" s="85" t="str">
        <f>VLOOKUP(C26,'FTD05'!A:E,1,0)</f>
        <v>Superior</v>
      </c>
      <c r="T26" s="53" t="str">
        <f>VLOOKUP(B26,'FTD05'!C:E,3,0)</f>
        <v>DN-40</v>
      </c>
      <c r="U26" s="56" t="str">
        <f>VLOOKUP(B26,'FTD05'!C:G,5,0)</f>
        <v>GEMÜ</v>
      </c>
      <c r="V26" s="65" t="str">
        <f>VLOOKUP(B26,'FTD06'!C:E,1,0)</f>
        <v>Entrada bloco BV alimentação carbono</v>
      </c>
      <c r="W26" s="85" t="str">
        <f>VLOOKUP(C26,'FTD06'!A:E,1,0)</f>
        <v>Superior</v>
      </c>
      <c r="X26" s="53" t="str">
        <f>VLOOKUP(B26,'FTD06'!C:E,3,0)</f>
        <v>DN-40</v>
      </c>
      <c r="Y26" s="74" t="str">
        <f>VLOOKUP(B26,'FTD06'!C:G,5,0)</f>
        <v>GEMÜ</v>
      </c>
      <c r="Z26" s="57" t="str">
        <f>VLOOKUP(B26,'FTD07'!C:E,1,0)</f>
        <v>Entrada bloco BV alimentação carbono</v>
      </c>
      <c r="AA26" s="85" t="str">
        <f>VLOOKUP(C26,'FTD07'!A:E,1,0)</f>
        <v>Superior</v>
      </c>
      <c r="AB26" s="53" t="str">
        <f>VLOOKUP(B26,'FTD07'!C:E,3,0)</f>
        <v>DN-40</v>
      </c>
      <c r="AC26" s="56" t="str">
        <f>VLOOKUP(B26,'FTD07'!C:G,5,0)</f>
        <v>GEMÜ</v>
      </c>
      <c r="AD26" s="65" t="str">
        <f>VLOOKUP(B26,'FTD08'!C:E,1,0)</f>
        <v>Entrada bloco BV alimentação carbono</v>
      </c>
      <c r="AE26" s="85" t="str">
        <f>VLOOKUP(C26,'FTD08'!A:E,1,0)</f>
        <v>Superior</v>
      </c>
      <c r="AF26" s="53" t="str">
        <f>VLOOKUP(B26,'FTD08'!C:E,3,0)</f>
        <v>DN-40</v>
      </c>
      <c r="AG26" s="74" t="str">
        <f>VLOOKUP(B26,'FTD08'!C:G,5,0)</f>
        <v>GEMÜ</v>
      </c>
      <c r="AH26" s="57" t="str">
        <f>VLOOKUP(B26,'FTD09'!C:E,1,0)</f>
        <v>Entrada bloco BV alimentação carbono</v>
      </c>
      <c r="AI26" s="85" t="str">
        <f>VLOOKUP(C26,'FTD09'!A:E,1,0)</f>
        <v>Superior</v>
      </c>
      <c r="AJ26" s="53" t="str">
        <f>VLOOKUP(B26,'FTD09'!C:E,3,0)</f>
        <v>DN-40</v>
      </c>
      <c r="AK26" s="56" t="str">
        <f>VLOOKUP(B26,'FTD09'!C:G,5,0)</f>
        <v>GEMÜ</v>
      </c>
      <c r="AL26" s="65" t="str">
        <f>VLOOKUP(B26,'FTD10'!C:E,1,0)</f>
        <v>Entrada bloco BV alimentação carbono</v>
      </c>
      <c r="AM26" s="85" t="str">
        <f>VLOOKUP(C26,'FTD10'!A:E,1,0)</f>
        <v>Superior</v>
      </c>
      <c r="AN26" s="53" t="str">
        <f>VLOOKUP(B26,'FTD10'!C:E,3,0)</f>
        <v>DN-40</v>
      </c>
      <c r="AO26" s="74" t="str">
        <f>VLOOKUP(B26,'FTD10'!C:G,5,0)</f>
        <v>GEMÜ</v>
      </c>
      <c r="AP26" s="57" t="str">
        <f>VLOOKUP(B26,'FTD11'!C:E,1,0)</f>
        <v>Entrada bloco BV alimentação carbono</v>
      </c>
      <c r="AQ26" s="85" t="str">
        <f>VLOOKUP(C26,'FTD11'!A:E,1,0)</f>
        <v>Superior</v>
      </c>
      <c r="AR26" s="53" t="str">
        <f>VLOOKUP(B26,'FTD11'!C:E,3,0)</f>
        <v>DN-40</v>
      </c>
      <c r="AS26" s="56" t="str">
        <f>VLOOKUP(B26,'FTD11'!C:G,5,0)</f>
        <v>GEMÜ</v>
      </c>
      <c r="AT26" s="65" t="str">
        <f>VLOOKUP(B26,'FTD12'!C:E,1,0)</f>
        <v>Entrada bloco BV alimentação carbono</v>
      </c>
      <c r="AU26" s="85" t="str">
        <f>VLOOKUP(C26,'FTD12'!A:E,1,0)</f>
        <v>Superior</v>
      </c>
      <c r="AV26" s="53" t="str">
        <f>VLOOKUP(B26,'FTD12'!C:E,3,0)</f>
        <v>DN-40</v>
      </c>
      <c r="AW26" s="84" t="str">
        <f>VLOOKUP(B26,'FTD12'!C:G,5,0)</f>
        <v>GEMÜ</v>
      </c>
      <c r="AX26" s="124">
        <f t="shared" si="0"/>
        <v>11</v>
      </c>
      <c r="AY26" s="124">
        <f t="shared" si="1"/>
        <v>11</v>
      </c>
      <c r="BA26" s="14" t="s">
        <v>125</v>
      </c>
      <c r="BB26" s="14" t="s">
        <v>68</v>
      </c>
      <c r="BC26" s="14" t="s">
        <v>86</v>
      </c>
      <c r="BD26" s="68" t="s">
        <v>5</v>
      </c>
      <c r="BE26" s="85" t="str">
        <f>VLOOKUP(BA26,'PGD02'!C:E,1,0)</f>
        <v>Entrada bloco BV alimentação sais</v>
      </c>
      <c r="BF26" s="85"/>
      <c r="BG26" s="84" t="str">
        <f>VLOOKUP(BA26,'PGD02'!C:E,3,0)</f>
        <v>DN-25</v>
      </c>
      <c r="BH26" s="86" t="str">
        <f>VLOOKUP(BA26,'PGD02'!C:G,5,0)</f>
        <v>GEMÜ</v>
      </c>
      <c r="BI26" s="83" t="str">
        <f>VLOOKUP(BA26,'PGD03'!C:E,1,0)</f>
        <v>Entrada bloco BV alimentação sais</v>
      </c>
      <c r="BJ26" s="85"/>
      <c r="BK26" s="84" t="str">
        <f>VLOOKUP(BA26,'PGD03'!C:E,3,0)</f>
        <v>DN-25</v>
      </c>
      <c r="BL26" s="82" t="str">
        <f>VLOOKUP(BA26,'PGD03'!C:G,5,0)</f>
        <v>GEMÜ</v>
      </c>
      <c r="BM26" s="85" t="str">
        <f>VLOOKUP(BA26,'PGD03'!C:E,1,0)</f>
        <v>Entrada bloco BV alimentação sais</v>
      </c>
      <c r="BN26" s="85"/>
      <c r="BO26" s="84" t="str">
        <f>VLOOKUP(BA26,'PGD04'!C:E,3,0)</f>
        <v>DN-25</v>
      </c>
      <c r="BP26" s="86" t="str">
        <f>VLOOKUP(BA26,'PGD04'!C:G,5,0)</f>
        <v>GEMÜ</v>
      </c>
      <c r="BQ26" s="83" t="str">
        <f>VLOOKUP(BA26,'PGD05'!C:E,1,0)</f>
        <v>Entrada bloco BV alimentação sais</v>
      </c>
      <c r="BR26" s="85"/>
      <c r="BS26" s="84" t="str">
        <f>VLOOKUP(BA26,'PGD05'!C:E,3,0)</f>
        <v>DN-25</v>
      </c>
      <c r="BT26" s="82" t="str">
        <f>VLOOKUP(BA26,'PGD05'!C:G,5,0)</f>
        <v>GEMÜ</v>
      </c>
      <c r="BU26" s="85" t="str">
        <f>VLOOKUP(BA26,'PGD06'!C:E,1,0)</f>
        <v>Entrada bloco BV alimentação sais</v>
      </c>
      <c r="BV26" s="85"/>
      <c r="BW26" s="84" t="str">
        <f>VLOOKUP(BA26,'PGD06'!C:E,3,0)</f>
        <v>DN-25</v>
      </c>
      <c r="BX26" s="86" t="str">
        <f>VLOOKUP(BA26,'PGD06'!C:G,5,0)</f>
        <v>GEMÜ</v>
      </c>
      <c r="BY26" s="83" t="str">
        <f>VLOOKUP(BA26,'PGD07'!C:E,1,0)</f>
        <v>Entrada bloco BV alimentação sais</v>
      </c>
      <c r="BZ26" s="85"/>
      <c r="CA26" s="84" t="str">
        <f>VLOOKUP(BA26,'PGD07'!C:E,3,0)</f>
        <v>DN-25</v>
      </c>
      <c r="CB26" s="82" t="str">
        <f>VLOOKUP(BA26,'PGD07'!C:G,5,0)</f>
        <v>GEMÜ</v>
      </c>
      <c r="CC26" s="85" t="str">
        <f>VLOOKUP(BA26,'PGD08'!C:E,1,0)</f>
        <v>Entrada bloco BV alimentação sais</v>
      </c>
      <c r="CD26" s="85"/>
      <c r="CE26" s="84" t="str">
        <f>VLOOKUP(BA26,'PGD08'!C:E,3,0)</f>
        <v>DN-25</v>
      </c>
      <c r="CF26" s="86" t="str">
        <f>VLOOKUP(BA26,'PGD08'!C:G,5,0)</f>
        <v>GEMÜ</v>
      </c>
      <c r="CG26" s="83" t="str">
        <f>VLOOKUP(BA26,'PGD09'!C:E,1,0)</f>
        <v>Entrada bloco BV alimentação sais</v>
      </c>
      <c r="CH26" s="85"/>
      <c r="CI26" s="84" t="str">
        <f>VLOOKUP(BA26,'PGD09'!C:E,3,0)</f>
        <v>DN-25</v>
      </c>
      <c r="CJ26" s="82" t="str">
        <f>VLOOKUP(BA26,'PGD09'!C:G,5,0)</f>
        <v>GEMÜ</v>
      </c>
      <c r="CK26" s="85" t="str">
        <f>VLOOKUP(BA26,'PGD10'!C:E,1,0)</f>
        <v>Entrada bloco BV alimentação sais</v>
      </c>
      <c r="CL26" s="85"/>
      <c r="CM26" s="84" t="str">
        <f>VLOOKUP(BA26,'PGD10'!C:E,3,0)</f>
        <v>DN-25</v>
      </c>
      <c r="CN26" s="86" t="str">
        <f>VLOOKUP(BA26,'PGD10'!C:G,5,0)</f>
        <v>GEMÜ</v>
      </c>
      <c r="CO26" s="83" t="str">
        <f>VLOOKUP(BA26,'PGD11'!C:E,1,0)</f>
        <v>Entrada bloco BV alimentação sais</v>
      </c>
      <c r="CP26" s="85"/>
      <c r="CQ26" s="84" t="str">
        <f>VLOOKUP(BA26,'PGD11'!C:E,3,0)</f>
        <v>DN-25</v>
      </c>
      <c r="CR26" s="82" t="str">
        <f>VLOOKUP(BA26,'PGD11'!C:G,5,0)</f>
        <v>GEMÜ</v>
      </c>
      <c r="CS26" s="85" t="str">
        <f>VLOOKUP(BA26,'PGD12'!C:E,1,0)</f>
        <v>Entrada bloco BV alimentação sais</v>
      </c>
      <c r="CT26" s="85"/>
      <c r="CU26" s="84" t="str">
        <f>VLOOKUP(BA26,'PGD12'!C:E,3,0)</f>
        <v>DN-25</v>
      </c>
      <c r="CV26" s="84" t="str">
        <f>VLOOKUP(BA26,'PGD12'!C:G,5,0)</f>
        <v>GEMÜ</v>
      </c>
      <c r="CW26" s="82">
        <f t="shared" si="2"/>
        <v>11</v>
      </c>
      <c r="CY26" s="51" t="s">
        <v>127</v>
      </c>
      <c r="CZ26" s="6" t="s">
        <v>51</v>
      </c>
      <c r="DA26" s="80" t="s">
        <v>5</v>
      </c>
      <c r="DB26" s="85" t="str">
        <f>VLOOKUP(CY26,'BLD03'!C:E,1,0)</f>
        <v xml:space="preserve">Dreno BV trasnferência do fermentador </v>
      </c>
      <c r="DC26" s="84" t="str">
        <f>VLOOKUP(CY26,'BLD03'!C:E,3,0)</f>
        <v>DN-40</v>
      </c>
      <c r="DD26" s="84" t="str">
        <f>VLOOKUP(CY26,'BLD02'!C:G,5,0)</f>
        <v>GEMÜ</v>
      </c>
      <c r="DE26" s="82">
        <f t="shared" si="3"/>
        <v>2</v>
      </c>
    </row>
    <row r="27" spans="2:109" x14ac:dyDescent="0.25">
      <c r="B27" s="7" t="s">
        <v>128</v>
      </c>
      <c r="C27" s="7" t="s">
        <v>68</v>
      </c>
      <c r="D27" s="7" t="s">
        <v>86</v>
      </c>
      <c r="E27" s="7" t="s">
        <v>5</v>
      </c>
      <c r="F27" s="83" t="str">
        <f>VLOOKUP(B27,'FTD02'!C:E,1,0)</f>
        <v>Entrada bloco BV alimentação CIP</v>
      </c>
      <c r="G27" s="122" t="str">
        <f>VLOOKUP(C27,'FTD02'!A:E,1,0)</f>
        <v>Superior</v>
      </c>
      <c r="H27" s="84" t="str">
        <f>VLOOKUP(B27,'FTD02'!C:E,3,0)</f>
        <v>DN-25</v>
      </c>
      <c r="I27" s="82" t="str">
        <f>VLOOKUP(B27,'FTD02'!C:G,5,0)</f>
        <v>GEMÜ</v>
      </c>
      <c r="J27" s="83" t="str">
        <f>VLOOKUP(B27,'FTD03'!C:E,1,0)</f>
        <v>Entrada bloco BV alimentação CIP</v>
      </c>
      <c r="K27" s="85" t="str">
        <f>VLOOKUP(C27,'FTD03'!A:E,1,0)</f>
        <v>Superior</v>
      </c>
      <c r="L27" s="84" t="str">
        <f>VLOOKUP(B27,'FTD03'!C:E,3,0)</f>
        <v>DN-25</v>
      </c>
      <c r="M27" s="82" t="str">
        <f>VLOOKUP(B27,'FTD03'!C:G,5,0)</f>
        <v>GEMÜ</v>
      </c>
      <c r="N27" s="83" t="str">
        <f>VLOOKUP(B27,'FTD04'!C:E,1,0)</f>
        <v>Entrada bloco BV alimentação CIP</v>
      </c>
      <c r="O27" s="85" t="str">
        <f>VLOOKUP(C27,'FTD04'!A:E,1,0)</f>
        <v>Superior</v>
      </c>
      <c r="P27" s="84" t="str">
        <f>VLOOKUP(B27,'FTD04'!C:E,3,0)</f>
        <v>DN-25</v>
      </c>
      <c r="Q27" s="82" t="str">
        <f>VLOOKUP(B27,'FTD04'!C:G,5,0)</f>
        <v>GEMÜ</v>
      </c>
      <c r="R27" s="83" t="str">
        <f>VLOOKUP(B27,'FTD05'!C:E,1,0)</f>
        <v>Entrada bloco BV alimentação CIP</v>
      </c>
      <c r="S27" s="85" t="str">
        <f>VLOOKUP(C27,'FTD05'!A:E,1,0)</f>
        <v>Superior</v>
      </c>
      <c r="T27" s="84" t="str">
        <f>VLOOKUP(B27,'FTD05'!C:E,3,0)</f>
        <v>DN-25</v>
      </c>
      <c r="U27" s="82" t="str">
        <f>VLOOKUP(B27,'FTD05'!C:G,5,0)</f>
        <v>GEMÜ</v>
      </c>
      <c r="V27" s="85" t="str">
        <f>VLOOKUP(B27,'FTD06'!C:E,1,0)</f>
        <v>Entrada bloco BV alimentação CIP</v>
      </c>
      <c r="W27" s="85" t="str">
        <f>VLOOKUP(C27,'FTD06'!A:E,1,0)</f>
        <v>Superior</v>
      </c>
      <c r="X27" s="84" t="str">
        <f>VLOOKUP(B27,'FTD06'!C:E,3,0)</f>
        <v>DN-25</v>
      </c>
      <c r="Y27" s="86" t="str">
        <f>VLOOKUP(B27,'FTD06'!C:G,5,0)</f>
        <v>GEMÜ</v>
      </c>
      <c r="Z27" s="83" t="str">
        <f>VLOOKUP(B27,'FTD07'!C:E,1,0)</f>
        <v>Entrada bloco BV alimentação CIP</v>
      </c>
      <c r="AA27" s="85" t="str">
        <f>VLOOKUP(C27,'FTD07'!A:E,1,0)</f>
        <v>Superior</v>
      </c>
      <c r="AB27" s="84" t="str">
        <f>VLOOKUP(B27,'FTD07'!C:E,3,0)</f>
        <v>DN-25</v>
      </c>
      <c r="AC27" s="82" t="str">
        <f>VLOOKUP(B27,'FTD07'!C:G,5,0)</f>
        <v>GEMÜ</v>
      </c>
      <c r="AD27" s="85" t="str">
        <f>VLOOKUP(B27,'FTD08'!C:E,1,0)</f>
        <v>Entrada bloco BV alimentação CIP</v>
      </c>
      <c r="AE27" s="85" t="str">
        <f>VLOOKUP(C27,'FTD08'!A:E,1,0)</f>
        <v>Superior</v>
      </c>
      <c r="AF27" s="84" t="str">
        <f>VLOOKUP(B27,'FTD08'!C:E,3,0)</f>
        <v>DN-25</v>
      </c>
      <c r="AG27" s="86" t="str">
        <f>VLOOKUP(B27,'FTD08'!C:G,5,0)</f>
        <v>GEMÜ</v>
      </c>
      <c r="AH27" s="83" t="str">
        <f>VLOOKUP(B27,'FTD09'!C:E,1,0)</f>
        <v>Entrada bloco BV alimentação CIP</v>
      </c>
      <c r="AI27" s="85" t="str">
        <f>VLOOKUP(C27,'FTD09'!A:E,1,0)</f>
        <v>Superior</v>
      </c>
      <c r="AJ27" s="84" t="str">
        <f>VLOOKUP(B27,'FTD09'!C:E,3,0)</f>
        <v>DN-25</v>
      </c>
      <c r="AK27" s="82" t="str">
        <f>VLOOKUP(B27,'FTD09'!C:G,5,0)</f>
        <v>GEMÜ</v>
      </c>
      <c r="AL27" s="85" t="str">
        <f>VLOOKUP(B27,'FTD10'!C:E,1,0)</f>
        <v>Entrada bloco BV alimentação CIP</v>
      </c>
      <c r="AM27" s="85" t="str">
        <f>VLOOKUP(C27,'FTD10'!A:E,1,0)</f>
        <v>Superior</v>
      </c>
      <c r="AN27" s="84" t="str">
        <f>VLOOKUP(B27,'FTD10'!C:E,3,0)</f>
        <v>DN-25</v>
      </c>
      <c r="AO27" s="86" t="str">
        <f>VLOOKUP(B27,'FTD10'!C:G,5,0)</f>
        <v>GEMÜ</v>
      </c>
      <c r="AP27" s="83" t="str">
        <f>VLOOKUP(B27,'FTD11'!C:E,1,0)</f>
        <v>Entrada bloco BV alimentação CIP</v>
      </c>
      <c r="AQ27" s="85" t="str">
        <f>VLOOKUP(C27,'FTD11'!A:E,1,0)</f>
        <v>Superior</v>
      </c>
      <c r="AR27" s="84" t="str">
        <f>VLOOKUP(B27,'FTD11'!C:E,3,0)</f>
        <v>DN-25</v>
      </c>
      <c r="AS27" s="82" t="str">
        <f>VLOOKUP(B27,'FTD11'!C:G,5,0)</f>
        <v>GEMÜ</v>
      </c>
      <c r="AT27" s="85" t="str">
        <f>VLOOKUP(B27,'FTD12'!C:E,1,0)</f>
        <v>Entrada bloco BV alimentação CIP</v>
      </c>
      <c r="AU27" s="85" t="str">
        <f>VLOOKUP(C27,'FTD12'!A:E,1,0)</f>
        <v>Superior</v>
      </c>
      <c r="AV27" s="84" t="str">
        <f>VLOOKUP(B27,'FTD12'!C:E,3,0)</f>
        <v>DN-25</v>
      </c>
      <c r="AW27" s="53" t="str">
        <f>VLOOKUP(B27,'FTD12'!C:G,5,0)</f>
        <v>GEMÜ</v>
      </c>
      <c r="AX27" s="124">
        <f t="shared" si="0"/>
        <v>11</v>
      </c>
      <c r="AY27" s="124">
        <f t="shared" si="1"/>
        <v>11</v>
      </c>
      <c r="BA27" s="16" t="s">
        <v>129</v>
      </c>
      <c r="BB27" s="16" t="s">
        <v>49</v>
      </c>
      <c r="BC27" s="16" t="s">
        <v>86</v>
      </c>
      <c r="BD27" s="78" t="s">
        <v>5</v>
      </c>
      <c r="BE27" s="65" t="str">
        <f>VLOOKUP(BA27,'PGD02'!C:E,1,0)</f>
        <v>Entrada de ar no tanque após filtro absoluto</v>
      </c>
      <c r="BF27" s="65"/>
      <c r="BG27" s="53" t="str">
        <f>VLOOKUP(BA27,'PGD02'!C:E,3,0)</f>
        <v>DN-40</v>
      </c>
      <c r="BH27" s="74" t="str">
        <f>VLOOKUP(BA27,'PGD02'!C:G,5,0)</f>
        <v>GEMÜ</v>
      </c>
      <c r="BI27" s="57" t="str">
        <f>VLOOKUP(BA27,'PGD03'!C:E,1,0)</f>
        <v>Entrada de ar no tanque após filtro absoluto</v>
      </c>
      <c r="BJ27" s="65"/>
      <c r="BK27" s="53" t="str">
        <f>VLOOKUP(BA27,'PGD03'!C:E,3,0)</f>
        <v>DN-40</v>
      </c>
      <c r="BL27" s="56" t="str">
        <f>VLOOKUP(BA27,'PGD03'!C:G,5,0)</f>
        <v>GEMÜ</v>
      </c>
      <c r="BM27" s="65" t="str">
        <f>VLOOKUP(BA27,'PGD03'!C:E,1,0)</f>
        <v>Entrada de ar no tanque após filtro absoluto</v>
      </c>
      <c r="BN27" s="65"/>
      <c r="BO27" s="53" t="str">
        <f>VLOOKUP(BA27,'PGD04'!C:E,3,0)</f>
        <v>DN-40</v>
      </c>
      <c r="BP27" s="74" t="str">
        <f>VLOOKUP(BA27,'PGD04'!C:G,5,0)</f>
        <v>GEMÜ</v>
      </c>
      <c r="BQ27" s="57" t="str">
        <f>VLOOKUP(BA27,'PGD05'!C:E,1,0)</f>
        <v>Entrada de ar no tanque após filtro absoluto</v>
      </c>
      <c r="BR27" s="65"/>
      <c r="BS27" s="53" t="str">
        <f>VLOOKUP(BA27,'PGD05'!C:E,3,0)</f>
        <v>DN-40</v>
      </c>
      <c r="BT27" s="56" t="str">
        <f>VLOOKUP(BA27,'PGD05'!C:G,5,0)</f>
        <v>GEMÜ</v>
      </c>
      <c r="BU27" s="65" t="str">
        <f>VLOOKUP(BA27,'PGD06'!C:E,1,0)</f>
        <v>Entrada de ar no tanque após filtro absoluto</v>
      </c>
      <c r="BV27" s="65"/>
      <c r="BW27" s="53" t="str">
        <f>VLOOKUP(BA27,'PGD06'!C:E,3,0)</f>
        <v>DN-40</v>
      </c>
      <c r="BX27" s="74" t="str">
        <f>VLOOKUP(BA27,'PGD06'!C:G,5,0)</f>
        <v>GEMÜ</v>
      </c>
      <c r="BY27" s="57" t="str">
        <f>VLOOKUP(BA27,'PGD07'!C:E,1,0)</f>
        <v>Entrada de ar no tanque após filtro absoluto</v>
      </c>
      <c r="BZ27" s="65"/>
      <c r="CA27" s="53" t="str">
        <f>VLOOKUP(BA27,'PGD07'!C:E,3,0)</f>
        <v>DN-40</v>
      </c>
      <c r="CB27" s="56" t="str">
        <f>VLOOKUP(BA27,'PGD07'!C:G,5,0)</f>
        <v>GEMÜ</v>
      </c>
      <c r="CC27" s="65" t="str">
        <f>VLOOKUP(BA27,'PGD08'!C:E,1,0)</f>
        <v>Entrada de ar no tanque após filtro absoluto</v>
      </c>
      <c r="CD27" s="65"/>
      <c r="CE27" s="53" t="str">
        <f>VLOOKUP(BA27,'PGD08'!C:E,3,0)</f>
        <v>DN-40</v>
      </c>
      <c r="CF27" s="74" t="str">
        <f>VLOOKUP(BA27,'PGD08'!C:G,5,0)</f>
        <v>GEMÜ</v>
      </c>
      <c r="CG27" s="57" t="str">
        <f>VLOOKUP(BA27,'PGD09'!C:E,1,0)</f>
        <v>Entrada de ar no tanque após filtro absoluto</v>
      </c>
      <c r="CH27" s="65"/>
      <c r="CI27" s="53" t="str">
        <f>VLOOKUP(BA27,'PGD09'!C:E,3,0)</f>
        <v>DN-40</v>
      </c>
      <c r="CJ27" s="56" t="str">
        <f>VLOOKUP(BA27,'PGD09'!C:G,5,0)</f>
        <v>GEMÜ</v>
      </c>
      <c r="CK27" s="65" t="str">
        <f>VLOOKUP(BA27,'PGD10'!C:E,1,0)</f>
        <v>Entrada de ar no tanque após filtro absoluto</v>
      </c>
      <c r="CL27" s="65"/>
      <c r="CM27" s="53" t="str">
        <f>VLOOKUP(BA27,'PGD10'!C:E,3,0)</f>
        <v>DN-40</v>
      </c>
      <c r="CN27" s="74" t="str">
        <f>VLOOKUP(BA27,'PGD10'!C:G,5,0)</f>
        <v>GEMÜ</v>
      </c>
      <c r="CO27" s="57" t="str">
        <f>VLOOKUP(BA27,'PGD11'!C:E,1,0)</f>
        <v>Entrada de ar no tanque após filtro absoluto</v>
      </c>
      <c r="CP27" s="65"/>
      <c r="CQ27" s="53" t="str">
        <f>VLOOKUP(BA27,'PGD11'!C:E,3,0)</f>
        <v>DN-40</v>
      </c>
      <c r="CR27" s="56" t="str">
        <f>VLOOKUP(BA27,'PGD11'!C:G,5,0)</f>
        <v>GEMÜ</v>
      </c>
      <c r="CS27" s="65" t="str">
        <f>VLOOKUP(BA27,'PGD12'!C:E,1,0)</f>
        <v>Entrada de ar no tanque após filtro absoluto</v>
      </c>
      <c r="CT27" s="65"/>
      <c r="CU27" s="53" t="str">
        <f>VLOOKUP(BA27,'PGD12'!C:E,3,0)</f>
        <v>DN-40</v>
      </c>
      <c r="CV27" s="53" t="str">
        <f>VLOOKUP(BA27,'PGD12'!C:G,5,0)</f>
        <v>GEMÜ</v>
      </c>
      <c r="CW27" s="56">
        <f t="shared" si="2"/>
        <v>11</v>
      </c>
      <c r="CY27" s="52" t="s">
        <v>72</v>
      </c>
      <c r="CZ27" s="16" t="s">
        <v>131</v>
      </c>
      <c r="DA27" s="81" t="s">
        <v>5</v>
      </c>
      <c r="DB27" s="65" t="str">
        <f>VLOOKUP(CY27,'BLD03'!C:E,1,0)</f>
        <v xml:space="preserve">Válvula injetora de vapor </v>
      </c>
      <c r="DC27" s="53" t="str">
        <f>VLOOKUP(CY27,'BLD03'!C:E,3,0)</f>
        <v>DN-65</v>
      </c>
      <c r="DD27" s="53" t="str">
        <f>VLOOKUP(CY27,'BLD02'!C:G,5,0)</f>
        <v>GEMÜ</v>
      </c>
      <c r="DE27" s="56">
        <f t="shared" si="3"/>
        <v>2</v>
      </c>
    </row>
    <row r="28" spans="2:109" x14ac:dyDescent="0.25">
      <c r="B28" s="14" t="s">
        <v>122</v>
      </c>
      <c r="C28" s="14" t="s">
        <v>68</v>
      </c>
      <c r="D28" s="14" t="s">
        <v>51</v>
      </c>
      <c r="E28" s="14" t="s">
        <v>5</v>
      </c>
      <c r="F28" s="57" t="str">
        <f>VLOOKUP(B28,'FTD02'!C:E,1,0)</f>
        <v>Entrada bloco BV alimentação nitrogênio</v>
      </c>
      <c r="G28" s="84" t="str">
        <f>VLOOKUP(C28,'FTD02'!A:E,1,0)</f>
        <v>Superior</v>
      </c>
      <c r="H28" s="53" t="str">
        <f>VLOOKUP(B28,'FTD02'!C:E,3,0)</f>
        <v>DN-40</v>
      </c>
      <c r="I28" s="56" t="str">
        <f>VLOOKUP(B28,'FTD02'!C:G,5,0)</f>
        <v>GEMÜ</v>
      </c>
      <c r="J28" s="57" t="str">
        <f>VLOOKUP(B28,'FTD03'!C:E,1,0)</f>
        <v>Entrada bloco BV alimentação nitrogênio</v>
      </c>
      <c r="K28" s="85" t="str">
        <f>VLOOKUP(C28,'FTD03'!A:E,1,0)</f>
        <v>Superior</v>
      </c>
      <c r="L28" s="53" t="str">
        <f>VLOOKUP(B28,'FTD03'!C:E,3,0)</f>
        <v>DN-40</v>
      </c>
      <c r="M28" s="56" t="str">
        <f>VLOOKUP(B28,'FTD03'!C:G,5,0)</f>
        <v>GEMÜ</v>
      </c>
      <c r="N28" s="57" t="str">
        <f>VLOOKUP(B28,'FTD04'!C:E,1,0)</f>
        <v>Entrada bloco BV alimentação nitrogênio</v>
      </c>
      <c r="O28" s="85" t="str">
        <f>VLOOKUP(C28,'FTD04'!A:E,1,0)</f>
        <v>Superior</v>
      </c>
      <c r="P28" s="53" t="str">
        <f>VLOOKUP(B28,'FTD04'!C:E,3,0)</f>
        <v>DN-40</v>
      </c>
      <c r="Q28" s="56" t="str">
        <f>VLOOKUP(B28,'FTD04'!C:G,5,0)</f>
        <v>GEMÜ</v>
      </c>
      <c r="R28" s="57" t="str">
        <f>VLOOKUP(B28,'FTD05'!C:E,1,0)</f>
        <v>Entrada bloco BV alimentação nitrogênio</v>
      </c>
      <c r="S28" s="85" t="str">
        <f>VLOOKUP(C28,'FTD05'!A:E,1,0)</f>
        <v>Superior</v>
      </c>
      <c r="T28" s="53" t="str">
        <f>VLOOKUP(B28,'FTD05'!C:E,3,0)</f>
        <v>DN-40</v>
      </c>
      <c r="U28" s="56" t="str">
        <f>VLOOKUP(B28,'FTD05'!C:G,5,0)</f>
        <v>GEMÜ</v>
      </c>
      <c r="V28" s="65" t="str">
        <f>VLOOKUP(B28,'FTD06'!C:E,1,0)</f>
        <v>Entrada bloco BV alimentação nitrogênio</v>
      </c>
      <c r="W28" s="85" t="str">
        <f>VLOOKUP(C28,'FTD06'!A:E,1,0)</f>
        <v>Superior</v>
      </c>
      <c r="X28" s="53" t="str">
        <f>VLOOKUP(B28,'FTD06'!C:E,3,0)</f>
        <v>DN-40</v>
      </c>
      <c r="Y28" s="74" t="str">
        <f>VLOOKUP(B28,'FTD06'!C:G,5,0)</f>
        <v>GEMÜ</v>
      </c>
      <c r="Z28" s="57" t="str">
        <f>VLOOKUP(B28,'FTD07'!C:E,1,0)</f>
        <v>Entrada bloco BV alimentação nitrogênio</v>
      </c>
      <c r="AA28" s="85" t="str">
        <f>VLOOKUP(C28,'FTD07'!A:E,1,0)</f>
        <v>Superior</v>
      </c>
      <c r="AB28" s="53" t="str">
        <f>VLOOKUP(B28,'FTD07'!C:E,3,0)</f>
        <v>DN-40</v>
      </c>
      <c r="AC28" s="56" t="str">
        <f>VLOOKUP(B28,'FTD07'!C:G,5,0)</f>
        <v>GEMÜ</v>
      </c>
      <c r="AD28" s="65" t="str">
        <f>VLOOKUP(B28,'FTD08'!C:E,1,0)</f>
        <v>Entrada bloco BV alimentação nitrogênio</v>
      </c>
      <c r="AE28" s="85" t="str">
        <f>VLOOKUP(C28,'FTD08'!A:E,1,0)</f>
        <v>Superior</v>
      </c>
      <c r="AF28" s="53" t="str">
        <f>VLOOKUP(B28,'FTD08'!C:E,3,0)</f>
        <v>DN-40</v>
      </c>
      <c r="AG28" s="74" t="str">
        <f>VLOOKUP(B28,'FTD08'!C:G,5,0)</f>
        <v>GEMÜ</v>
      </c>
      <c r="AH28" s="57" t="str">
        <f>VLOOKUP(B28,'FTD09'!C:E,1,0)</f>
        <v>Entrada bloco BV alimentação nitrogênio</v>
      </c>
      <c r="AI28" s="85" t="str">
        <f>VLOOKUP(C28,'FTD09'!A:E,1,0)</f>
        <v>Superior</v>
      </c>
      <c r="AJ28" s="53" t="str">
        <f>VLOOKUP(B28,'FTD09'!C:E,3,0)</f>
        <v>DN-40</v>
      </c>
      <c r="AK28" s="56" t="str">
        <f>VLOOKUP(B28,'FTD09'!C:G,5,0)</f>
        <v>GEMÜ</v>
      </c>
      <c r="AL28" s="65" t="str">
        <f>VLOOKUP(B28,'FTD10'!C:E,1,0)</f>
        <v>Entrada bloco BV alimentação nitrogênio</v>
      </c>
      <c r="AM28" s="85" t="str">
        <f>VLOOKUP(C28,'FTD10'!A:E,1,0)</f>
        <v>Superior</v>
      </c>
      <c r="AN28" s="53" t="str">
        <f>VLOOKUP(B28,'FTD10'!C:E,3,0)</f>
        <v>DN-40</v>
      </c>
      <c r="AO28" s="74" t="str">
        <f>VLOOKUP(B28,'FTD10'!C:G,5,0)</f>
        <v>GEMÜ</v>
      </c>
      <c r="AP28" s="57" t="str">
        <f>VLOOKUP(B28,'FTD11'!C:E,1,0)</f>
        <v>Entrada bloco BV alimentação nitrogênio</v>
      </c>
      <c r="AQ28" s="85" t="str">
        <f>VLOOKUP(C28,'FTD11'!A:E,1,0)</f>
        <v>Superior</v>
      </c>
      <c r="AR28" s="53" t="str">
        <f>VLOOKUP(B28,'FTD11'!C:E,3,0)</f>
        <v>DN-40</v>
      </c>
      <c r="AS28" s="56" t="str">
        <f>VLOOKUP(B28,'FTD11'!C:G,5,0)</f>
        <v>GEMÜ</v>
      </c>
      <c r="AT28" s="65" t="str">
        <f>VLOOKUP(B28,'FTD12'!C:E,1,0)</f>
        <v>Entrada bloco BV alimentação nitrogênio</v>
      </c>
      <c r="AU28" s="85" t="str">
        <f>VLOOKUP(C28,'FTD12'!A:E,1,0)</f>
        <v>Superior</v>
      </c>
      <c r="AV28" s="53" t="str">
        <f>VLOOKUP(B28,'FTD12'!C:E,3,0)</f>
        <v>DN-40</v>
      </c>
      <c r="AW28" s="84" t="str">
        <f>VLOOKUP(B28,'FTD12'!C:G,5,0)</f>
        <v>GEMÜ</v>
      </c>
      <c r="AX28" s="124">
        <f t="shared" si="0"/>
        <v>11</v>
      </c>
      <c r="AY28" s="124">
        <f t="shared" si="1"/>
        <v>11</v>
      </c>
      <c r="BA28" s="14" t="s">
        <v>132</v>
      </c>
      <c r="BB28" s="14" t="s">
        <v>68</v>
      </c>
      <c r="BC28" s="14" t="s">
        <v>48</v>
      </c>
      <c r="BD28" s="68" t="s">
        <v>6</v>
      </c>
      <c r="BE28" s="85" t="str">
        <f>VLOOKUP(BA28,'PGD02'!C:E,1,0)</f>
        <v>Entrada de vapor na linha de ar após filtro absoluto</v>
      </c>
      <c r="BF28" s="85"/>
      <c r="BG28" s="84" t="str">
        <f>VLOOKUP(BA28,'PGD02'!C:E,3,0)</f>
        <v>DN-25</v>
      </c>
      <c r="BH28" s="86" t="str">
        <f>VLOOKUP(BA28,'PGD02'!C:G,5,0)</f>
        <v>GEMÜ</v>
      </c>
      <c r="BI28" s="83" t="str">
        <f>VLOOKUP(BA28,'PGD03'!C:E,1,0)</f>
        <v>Entrada de vapor na linha de ar após filtro absoluto</v>
      </c>
      <c r="BJ28" s="85"/>
      <c r="BK28" s="84" t="str">
        <f>VLOOKUP(BA28,'PGD03'!C:E,3,0)</f>
        <v>DN-25</v>
      </c>
      <c r="BL28" s="82" t="str">
        <f>VLOOKUP(BA28,'PGD03'!C:G,5,0)</f>
        <v>GEMÜ</v>
      </c>
      <c r="BM28" s="85" t="str">
        <f>VLOOKUP(BA28,'PGD03'!C:E,1,0)</f>
        <v>Entrada de vapor na linha de ar após filtro absoluto</v>
      </c>
      <c r="BN28" s="85"/>
      <c r="BO28" s="84" t="str">
        <f>VLOOKUP(BA28,'PGD04'!C:E,3,0)</f>
        <v>DN-25</v>
      </c>
      <c r="BP28" s="86" t="str">
        <f>VLOOKUP(BA28,'PGD04'!C:G,5,0)</f>
        <v>GEMÜ</v>
      </c>
      <c r="BQ28" s="83" t="str">
        <f>VLOOKUP(BA28,'PGD05'!C:E,1,0)</f>
        <v>Entrada de vapor na linha de ar após filtro absoluto</v>
      </c>
      <c r="BR28" s="85"/>
      <c r="BS28" s="84" t="str">
        <f>VLOOKUP(BA28,'PGD05'!C:E,3,0)</f>
        <v>DN-25</v>
      </c>
      <c r="BT28" s="82" t="str">
        <f>VLOOKUP(BA28,'PGD05'!C:G,5,0)</f>
        <v>GEMÜ</v>
      </c>
      <c r="BU28" s="85" t="str">
        <f>VLOOKUP(BA28,'PGD06'!C:E,1,0)</f>
        <v>Entrada de vapor na linha de ar após filtro absoluto</v>
      </c>
      <c r="BV28" s="85"/>
      <c r="BW28" s="84" t="str">
        <f>VLOOKUP(BA28,'PGD06'!C:E,3,0)</f>
        <v>DN-25</v>
      </c>
      <c r="BX28" s="86" t="str">
        <f>VLOOKUP(BA28,'PGD06'!C:G,5,0)</f>
        <v>GEMÜ</v>
      </c>
      <c r="BY28" s="83" t="str">
        <f>VLOOKUP(BA28,'PGD07'!C:E,1,0)</f>
        <v>Entrada de vapor na linha de ar após filtro absoluto</v>
      </c>
      <c r="BZ28" s="85"/>
      <c r="CA28" s="84" t="str">
        <f>VLOOKUP(BA28,'PGD07'!C:E,3,0)</f>
        <v>DN-25</v>
      </c>
      <c r="CB28" s="82" t="str">
        <f>VLOOKUP(BA28,'PGD07'!C:G,5,0)</f>
        <v>GEMÜ</v>
      </c>
      <c r="CC28" s="85" t="str">
        <f>VLOOKUP(BA28,'PGD08'!C:E,1,0)</f>
        <v>Entrada de vapor na linha de ar após filtro absoluto</v>
      </c>
      <c r="CD28" s="85"/>
      <c r="CE28" s="84" t="str">
        <f>VLOOKUP(BA28,'PGD08'!C:E,3,0)</f>
        <v>DN-25</v>
      </c>
      <c r="CF28" s="86" t="str">
        <f>VLOOKUP(BA28,'PGD08'!C:G,5,0)</f>
        <v>GEMÜ</v>
      </c>
      <c r="CG28" s="83" t="str">
        <f>VLOOKUP(BA28,'PGD09'!C:E,1,0)</f>
        <v>Entrada de vapor na linha de ar após filtro absoluto</v>
      </c>
      <c r="CH28" s="85"/>
      <c r="CI28" s="84" t="str">
        <f>VLOOKUP(BA28,'PGD09'!C:E,3,0)</f>
        <v>DN-25</v>
      </c>
      <c r="CJ28" s="82" t="str">
        <f>VLOOKUP(BA28,'PGD09'!C:G,5,0)</f>
        <v>GEMÜ</v>
      </c>
      <c r="CK28" s="85" t="str">
        <f>VLOOKUP(BA28,'PGD10'!C:E,1,0)</f>
        <v>Entrada de vapor na linha de ar após filtro absoluto</v>
      </c>
      <c r="CL28" s="85"/>
      <c r="CM28" s="84" t="str">
        <f>VLOOKUP(BA28,'PGD10'!C:E,3,0)</f>
        <v>DN-25</v>
      </c>
      <c r="CN28" s="86" t="str">
        <f>VLOOKUP(BA28,'PGD10'!C:G,5,0)</f>
        <v>GEMÜ</v>
      </c>
      <c r="CO28" s="83" t="str">
        <f>VLOOKUP(BA28,'PGD11'!C:E,1,0)</f>
        <v>Entrada de vapor na linha de ar após filtro absoluto</v>
      </c>
      <c r="CP28" s="85"/>
      <c r="CQ28" s="84" t="str">
        <f>VLOOKUP(BA28,'PGD11'!C:E,3,0)</f>
        <v>DN-25</v>
      </c>
      <c r="CR28" s="82" t="str">
        <f>VLOOKUP(BA28,'PGD11'!C:G,5,0)</f>
        <v>GEMÜ</v>
      </c>
      <c r="CS28" s="85" t="str">
        <f>VLOOKUP(BA28,'PGD12'!C:E,1,0)</f>
        <v>Entrada de vapor na linha de ar após filtro absoluto</v>
      </c>
      <c r="CT28" s="85"/>
      <c r="CU28" s="84" t="str">
        <f>VLOOKUP(BA28,'PGD12'!C:E,3,0)</f>
        <v>DN-25</v>
      </c>
      <c r="CV28" s="84" t="str">
        <f>VLOOKUP(BA28,'PGD12'!C:G,5,0)</f>
        <v>GEMÜ</v>
      </c>
      <c r="CW28" s="82">
        <f t="shared" si="2"/>
        <v>11</v>
      </c>
      <c r="CY28" s="51" t="s">
        <v>134</v>
      </c>
      <c r="CZ28" s="6" t="s">
        <v>76</v>
      </c>
      <c r="DA28" s="80" t="s">
        <v>5</v>
      </c>
      <c r="DB28" s="85" t="str">
        <f>VLOOKUP(CY28,'BLD03'!C:E,1,0)</f>
        <v>Entrada de vapor na linha de ar</v>
      </c>
      <c r="DC28" s="84" t="str">
        <f>VLOOKUP(CY28,'BLD03'!C:E,3,0)</f>
        <v>DN-25</v>
      </c>
      <c r="DD28" s="84" t="str">
        <f>VLOOKUP(CY28,'BLD02'!C:G,5,0)</f>
        <v>GEMÜ</v>
      </c>
      <c r="DE28" s="82">
        <f t="shared" si="3"/>
        <v>1</v>
      </c>
    </row>
    <row r="29" spans="2:109" x14ac:dyDescent="0.25">
      <c r="B29" s="7" t="s">
        <v>125</v>
      </c>
      <c r="C29" s="7" t="s">
        <v>68</v>
      </c>
      <c r="D29" s="7" t="s">
        <v>51</v>
      </c>
      <c r="E29" s="7" t="s">
        <v>5</v>
      </c>
      <c r="F29" s="83" t="str">
        <f>VLOOKUP(B29,'FTD02'!C:E,1,0)</f>
        <v>Entrada bloco BV alimentação sais</v>
      </c>
      <c r="G29" s="122" t="str">
        <f>VLOOKUP(C29,'FTD02'!A:E,1,0)</f>
        <v>Superior</v>
      </c>
      <c r="H29" s="84" t="str">
        <f>VLOOKUP(B29,'FTD02'!C:E,3,0)</f>
        <v>DN-40</v>
      </c>
      <c r="I29" s="82" t="str">
        <f>VLOOKUP(B29,'FTD02'!C:G,5,0)</f>
        <v>GEMÜ</v>
      </c>
      <c r="J29" s="83" t="str">
        <f>VLOOKUP(B29,'FTD03'!C:E,1,0)</f>
        <v>Entrada bloco BV alimentação sais</v>
      </c>
      <c r="K29" s="85" t="str">
        <f>VLOOKUP(C29,'FTD03'!A:E,1,0)</f>
        <v>Superior</v>
      </c>
      <c r="L29" s="84" t="str">
        <f>VLOOKUP(B29,'FTD03'!C:E,3,0)</f>
        <v>DN-40</v>
      </c>
      <c r="M29" s="82" t="str">
        <f>VLOOKUP(B29,'FTD03'!C:G,5,0)</f>
        <v>GEMÜ</v>
      </c>
      <c r="N29" s="83" t="str">
        <f>VLOOKUP(B29,'FTD04'!C:E,1,0)</f>
        <v>Entrada bloco BV alimentação sais</v>
      </c>
      <c r="O29" s="85" t="str">
        <f>VLOOKUP(C29,'FTD04'!A:E,1,0)</f>
        <v>Superior</v>
      </c>
      <c r="P29" s="84" t="str">
        <f>VLOOKUP(B29,'FTD04'!C:E,3,0)</f>
        <v>DN-40</v>
      </c>
      <c r="Q29" s="82" t="str">
        <f>VLOOKUP(B29,'FTD04'!C:G,5,0)</f>
        <v>GEMÜ</v>
      </c>
      <c r="R29" s="83" t="str">
        <f>VLOOKUP(B29,'FTD05'!C:E,1,0)</f>
        <v>Entrada bloco BV alimentação sais</v>
      </c>
      <c r="S29" s="85" t="str">
        <f>VLOOKUP(C29,'FTD05'!A:E,1,0)</f>
        <v>Superior</v>
      </c>
      <c r="T29" s="84" t="str">
        <f>VLOOKUP(B29,'FTD05'!C:E,3,0)</f>
        <v>DN-40</v>
      </c>
      <c r="U29" s="82" t="str">
        <f>VLOOKUP(B29,'FTD05'!C:G,5,0)</f>
        <v>GEMÜ</v>
      </c>
      <c r="V29" s="85" t="str">
        <f>VLOOKUP(B29,'FTD06'!C:E,1,0)</f>
        <v>Entrada bloco BV alimentação sais</v>
      </c>
      <c r="W29" s="85" t="str">
        <f>VLOOKUP(C29,'FTD06'!A:E,1,0)</f>
        <v>Superior</v>
      </c>
      <c r="X29" s="84" t="str">
        <f>VLOOKUP(B29,'FTD06'!C:E,3,0)</f>
        <v>DN-40</v>
      </c>
      <c r="Y29" s="86" t="str">
        <f>VLOOKUP(B29,'FTD06'!C:G,5,0)</f>
        <v>GEMÜ</v>
      </c>
      <c r="Z29" s="83" t="str">
        <f>VLOOKUP(B29,'FTD07'!C:E,1,0)</f>
        <v>Entrada bloco BV alimentação sais</v>
      </c>
      <c r="AA29" s="85" t="str">
        <f>VLOOKUP(C29,'FTD07'!A:E,1,0)</f>
        <v>Superior</v>
      </c>
      <c r="AB29" s="84" t="str">
        <f>VLOOKUP(B29,'FTD07'!C:E,3,0)</f>
        <v>DN-40</v>
      </c>
      <c r="AC29" s="82" t="str">
        <f>VLOOKUP(B29,'FTD07'!C:G,5,0)</f>
        <v>GEMÜ</v>
      </c>
      <c r="AD29" s="85" t="str">
        <f>VLOOKUP(B29,'FTD08'!C:E,1,0)</f>
        <v>Entrada bloco BV alimentação sais</v>
      </c>
      <c r="AE29" s="85" t="str">
        <f>VLOOKUP(C29,'FTD08'!A:E,1,0)</f>
        <v>Superior</v>
      </c>
      <c r="AF29" s="84" t="str">
        <f>VLOOKUP(B29,'FTD08'!C:E,3,0)</f>
        <v>DN-40</v>
      </c>
      <c r="AG29" s="86" t="str">
        <f>VLOOKUP(B29,'FTD08'!C:G,5,0)</f>
        <v>GEMÜ</v>
      </c>
      <c r="AH29" s="83" t="str">
        <f>VLOOKUP(B29,'FTD09'!C:E,1,0)</f>
        <v>Entrada bloco BV alimentação sais</v>
      </c>
      <c r="AI29" s="85" t="str">
        <f>VLOOKUP(C29,'FTD09'!A:E,1,0)</f>
        <v>Superior</v>
      </c>
      <c r="AJ29" s="84" t="str">
        <f>VLOOKUP(B29,'FTD09'!C:E,3,0)</f>
        <v>DN-40</v>
      </c>
      <c r="AK29" s="82" t="str">
        <f>VLOOKUP(B29,'FTD09'!C:G,5,0)</f>
        <v>GEMÜ</v>
      </c>
      <c r="AL29" s="85" t="str">
        <f>VLOOKUP(B29,'FTD10'!C:E,1,0)</f>
        <v>Entrada bloco BV alimentação sais</v>
      </c>
      <c r="AM29" s="85" t="str">
        <f>VLOOKUP(C29,'FTD10'!A:E,1,0)</f>
        <v>Superior</v>
      </c>
      <c r="AN29" s="84" t="str">
        <f>VLOOKUP(B29,'FTD10'!C:E,3,0)</f>
        <v>DN-40</v>
      </c>
      <c r="AO29" s="86" t="str">
        <f>VLOOKUP(B29,'FTD10'!C:G,5,0)</f>
        <v>GEMÜ</v>
      </c>
      <c r="AP29" s="83" t="str">
        <f>VLOOKUP(B29,'FTD11'!C:E,1,0)</f>
        <v>Entrada bloco BV alimentação sais</v>
      </c>
      <c r="AQ29" s="85" t="str">
        <f>VLOOKUP(C29,'FTD11'!A:E,1,0)</f>
        <v>Superior</v>
      </c>
      <c r="AR29" s="84" t="str">
        <f>VLOOKUP(B29,'FTD11'!C:E,3,0)</f>
        <v>DN-40</v>
      </c>
      <c r="AS29" s="82" t="str">
        <f>VLOOKUP(B29,'FTD11'!C:G,5,0)</f>
        <v>GEMÜ</v>
      </c>
      <c r="AT29" s="85" t="str">
        <f>VLOOKUP(B29,'FTD12'!C:E,1,0)</f>
        <v>Entrada bloco BV alimentação sais</v>
      </c>
      <c r="AU29" s="85" t="str">
        <f>VLOOKUP(C29,'FTD12'!A:E,1,0)</f>
        <v>Superior</v>
      </c>
      <c r="AV29" s="84" t="str">
        <f>VLOOKUP(B29,'FTD12'!C:E,3,0)</f>
        <v>DN-40</v>
      </c>
      <c r="AW29" s="53" t="str">
        <f>VLOOKUP(B29,'FTD12'!C:G,5,0)</f>
        <v>GEMÜ</v>
      </c>
      <c r="AX29" s="124">
        <f t="shared" si="0"/>
        <v>11</v>
      </c>
      <c r="AY29" s="124">
        <f t="shared" si="1"/>
        <v>11</v>
      </c>
      <c r="BA29" s="16" t="s">
        <v>135</v>
      </c>
      <c r="BB29" s="16" t="s">
        <v>68</v>
      </c>
      <c r="BC29" s="16" t="s">
        <v>51</v>
      </c>
      <c r="BD29" s="78" t="s">
        <v>5</v>
      </c>
      <c r="BE29" s="65" t="str">
        <f>VLOOKUP(BA29,'PGD02'!C:E,1,0)</f>
        <v>Entrada propagador BV alimentação água quente</v>
      </c>
      <c r="BF29" s="65"/>
      <c r="BG29" s="53" t="str">
        <f>VLOOKUP(BA29,'PGD02'!C:E,3,0)</f>
        <v>DN-40</v>
      </c>
      <c r="BH29" s="74" t="str">
        <f>VLOOKUP(BA29,'PGD02'!C:G,5,0)</f>
        <v>GEMÜ</v>
      </c>
      <c r="BI29" s="57" t="str">
        <f>VLOOKUP(BA29,'PGD03'!C:E,1,0)</f>
        <v>Entrada propagador BV alimentação água quente</v>
      </c>
      <c r="BJ29" s="65"/>
      <c r="BK29" s="53" t="str">
        <f>VLOOKUP(BA29,'PGD03'!C:E,3,0)</f>
        <v>DN-40</v>
      </c>
      <c r="BL29" s="56" t="str">
        <f>VLOOKUP(BA29,'PGD03'!C:G,5,0)</f>
        <v>GEMÜ</v>
      </c>
      <c r="BM29" s="65" t="str">
        <f>VLOOKUP(BA29,'PGD03'!C:E,1,0)</f>
        <v>Entrada propagador BV alimentação água quente</v>
      </c>
      <c r="BN29" s="65"/>
      <c r="BO29" s="53" t="str">
        <f>VLOOKUP(BA29,'PGD04'!C:E,3,0)</f>
        <v>DN-40</v>
      </c>
      <c r="BP29" s="74" t="str">
        <f>VLOOKUP(BA29,'PGD04'!C:G,5,0)</f>
        <v>GEMÜ</v>
      </c>
      <c r="BQ29" s="57" t="str">
        <f>VLOOKUP(BA29,'PGD05'!C:E,1,0)</f>
        <v>Entrada propagador BV alimentação água quente</v>
      </c>
      <c r="BR29" s="65"/>
      <c r="BS29" s="53" t="str">
        <f>VLOOKUP(BA29,'PGD05'!C:E,3,0)</f>
        <v>DN-40</v>
      </c>
      <c r="BT29" s="56" t="str">
        <f>VLOOKUP(BA29,'PGD05'!C:G,5,0)</f>
        <v>GEMÜ</v>
      </c>
      <c r="BU29" s="65" t="str">
        <f>VLOOKUP(BA29,'PGD06'!C:E,1,0)</f>
        <v>Entrada propagador BV alimentação água quente</v>
      </c>
      <c r="BV29" s="65"/>
      <c r="BW29" s="53" t="str">
        <f>VLOOKUP(BA29,'PGD06'!C:E,3,0)</f>
        <v>DN-40</v>
      </c>
      <c r="BX29" s="74" t="str">
        <f>VLOOKUP(BA29,'PGD06'!C:G,5,0)</f>
        <v>GEMÜ</v>
      </c>
      <c r="BY29" s="57" t="str">
        <f>VLOOKUP(BA29,'PGD07'!C:E,1,0)</f>
        <v>Entrada propagador BV alimentação água quente</v>
      </c>
      <c r="BZ29" s="65"/>
      <c r="CA29" s="53" t="str">
        <f>VLOOKUP(BA29,'PGD07'!C:E,3,0)</f>
        <v>DN-40</v>
      </c>
      <c r="CB29" s="56" t="str">
        <f>VLOOKUP(BA29,'PGD07'!C:G,5,0)</f>
        <v>GEMÜ</v>
      </c>
      <c r="CC29" s="65" t="str">
        <f>VLOOKUP(BA29,'PGD08'!C:E,1,0)</f>
        <v>Entrada propagador BV alimentação água quente</v>
      </c>
      <c r="CD29" s="65"/>
      <c r="CE29" s="53" t="str">
        <f>VLOOKUP(BA29,'PGD08'!C:E,3,0)</f>
        <v>DN-40</v>
      </c>
      <c r="CF29" s="74" t="str">
        <f>VLOOKUP(BA29,'PGD08'!C:G,5,0)</f>
        <v>GEMÜ</v>
      </c>
      <c r="CG29" s="57" t="str">
        <f>VLOOKUP(BA29,'PGD09'!C:E,1,0)</f>
        <v>Entrada propagador BV alimentação água quente</v>
      </c>
      <c r="CH29" s="65"/>
      <c r="CI29" s="53" t="str">
        <f>VLOOKUP(BA29,'PGD09'!C:E,3,0)</f>
        <v>DN-40</v>
      </c>
      <c r="CJ29" s="56" t="str">
        <f>VLOOKUP(BA29,'PGD09'!C:G,5,0)</f>
        <v>GEMÜ</v>
      </c>
      <c r="CK29" s="65" t="str">
        <f>VLOOKUP(BA29,'PGD10'!C:E,1,0)</f>
        <v>Entrada propagador BV alimentação água quente</v>
      </c>
      <c r="CL29" s="65"/>
      <c r="CM29" s="53" t="str">
        <f>VLOOKUP(BA29,'PGD10'!C:E,3,0)</f>
        <v>DN-40</v>
      </c>
      <c r="CN29" s="74" t="str">
        <f>VLOOKUP(BA29,'PGD10'!C:G,5,0)</f>
        <v>GEMÜ</v>
      </c>
      <c r="CO29" s="57" t="str">
        <f>VLOOKUP(BA29,'PGD11'!C:E,1,0)</f>
        <v>Entrada propagador BV alimentação água quente</v>
      </c>
      <c r="CP29" s="65"/>
      <c r="CQ29" s="53" t="str">
        <f>VLOOKUP(BA29,'PGD11'!C:E,3,0)</f>
        <v>DN-40</v>
      </c>
      <c r="CR29" s="56" t="str">
        <f>VLOOKUP(BA29,'PGD11'!C:G,5,0)</f>
        <v>GEMÜ</v>
      </c>
      <c r="CS29" s="65" t="str">
        <f>VLOOKUP(BA29,'PGD12'!C:E,1,0)</f>
        <v>Entrada propagador BV alimentação água quente</v>
      </c>
      <c r="CT29" s="65"/>
      <c r="CU29" s="53" t="str">
        <f>VLOOKUP(BA29,'PGD12'!C:E,3,0)</f>
        <v>DN-40</v>
      </c>
      <c r="CV29" s="53" t="str">
        <f>VLOOKUP(BA29,'PGD12'!C:G,5,0)</f>
        <v>GEMÜ</v>
      </c>
      <c r="CW29" s="56">
        <f t="shared" si="2"/>
        <v>11</v>
      </c>
      <c r="CY29" s="52" t="s">
        <v>47</v>
      </c>
      <c r="CZ29" s="16" t="s">
        <v>48</v>
      </c>
      <c r="DA29" s="81" t="s">
        <v>5</v>
      </c>
      <c r="DB29" s="65" t="str">
        <f>VLOOKUP(CY29,'BLD03'!C:E,1,0)</f>
        <v xml:space="preserve">Alimentação de vapor fundo do tanque e bloco de amostra </v>
      </c>
      <c r="DC29" s="53" t="str">
        <f>VLOOKUP(CY29,'BLD03'!C:E,3,0)</f>
        <v>DN-8</v>
      </c>
      <c r="DD29" s="53" t="str">
        <f>VLOOKUP(CY29,'BLD02'!C:G,5,0)</f>
        <v>GEMÜ</v>
      </c>
      <c r="DE29" s="56">
        <f t="shared" si="3"/>
        <v>2</v>
      </c>
    </row>
    <row r="30" spans="2:109" x14ac:dyDescent="0.25">
      <c r="B30" s="14" t="s">
        <v>93</v>
      </c>
      <c r="C30" s="14" t="s">
        <v>68</v>
      </c>
      <c r="D30" s="14" t="s">
        <v>51</v>
      </c>
      <c r="E30" s="14" t="s">
        <v>5</v>
      </c>
      <c r="F30" s="83" t="str">
        <f>VLOOKUP(B30,'FTD02'!C:E,1,0)</f>
        <v>Entrada bloco BV transferência do propagador</v>
      </c>
      <c r="G30" s="84" t="str">
        <f>VLOOKUP(C30,'FTD02'!A:E,1,0)</f>
        <v>Superior</v>
      </c>
      <c r="H30" s="84" t="str">
        <f>VLOOKUP(B30,'FTD02'!C:E,3,0)</f>
        <v>DN-40</v>
      </c>
      <c r="I30" s="82" t="str">
        <f>VLOOKUP(B30,'FTD02'!C:G,5,0)</f>
        <v>GEMÜ</v>
      </c>
      <c r="J30" s="83" t="str">
        <f>VLOOKUP(B30,'FTD03'!C:E,1,0)</f>
        <v>Entrada bloco BV transferência do propagador</v>
      </c>
      <c r="K30" s="85" t="str">
        <f>VLOOKUP(C30,'FTD03'!A:E,1,0)</f>
        <v>Superior</v>
      </c>
      <c r="L30" s="84" t="str">
        <f>VLOOKUP(B30,'FTD03'!C:E,3,0)</f>
        <v>DN-40</v>
      </c>
      <c r="M30" s="82" t="str">
        <f>VLOOKUP(B30,'FTD03'!C:G,5,0)</f>
        <v>GEMÜ</v>
      </c>
      <c r="N30" s="83" t="str">
        <f>VLOOKUP(B30,'FTD04'!C:E,1,0)</f>
        <v>Entrada bloco BV transferência do propagador</v>
      </c>
      <c r="O30" s="85" t="str">
        <f>VLOOKUP(C30,'FTD04'!A:E,1,0)</f>
        <v>Superior</v>
      </c>
      <c r="P30" s="84" t="str">
        <f>VLOOKUP(B30,'FTD04'!C:E,3,0)</f>
        <v>DN-40</v>
      </c>
      <c r="Q30" s="82" t="str">
        <f>VLOOKUP(B30,'FTD04'!C:G,5,0)</f>
        <v>GEMÜ</v>
      </c>
      <c r="R30" s="83" t="str">
        <f>VLOOKUP(B30,'FTD05'!C:E,1,0)</f>
        <v>Entrada bloco BV transferência do propagador</v>
      </c>
      <c r="S30" s="85" t="str">
        <f>VLOOKUP(C30,'FTD05'!A:E,1,0)</f>
        <v>Superior</v>
      </c>
      <c r="T30" s="84" t="str">
        <f>VLOOKUP(B30,'FTD05'!C:E,3,0)</f>
        <v>DN-40</v>
      </c>
      <c r="U30" s="82" t="str">
        <f>VLOOKUP(B30,'FTD05'!C:G,5,0)</f>
        <v>GEMÜ</v>
      </c>
      <c r="V30" s="85" t="str">
        <f>VLOOKUP(B30,'FTD06'!C:E,1,0)</f>
        <v>Entrada bloco BV transferência do propagador</v>
      </c>
      <c r="W30" s="85" t="str">
        <f>VLOOKUP(C30,'FTD06'!A:E,1,0)</f>
        <v>Superior</v>
      </c>
      <c r="X30" s="84" t="str">
        <f>VLOOKUP(B30,'FTD06'!C:E,3,0)</f>
        <v>DN-40</v>
      </c>
      <c r="Y30" s="86" t="str">
        <f>VLOOKUP(B30,'FTD06'!C:G,5,0)</f>
        <v>GEMÜ</v>
      </c>
      <c r="Z30" s="83" t="str">
        <f>VLOOKUP(B30,'FTD07'!C:E,1,0)</f>
        <v>Entrada bloco BV transferência do propagador</v>
      </c>
      <c r="AA30" s="85" t="str">
        <f>VLOOKUP(C30,'FTD07'!A:E,1,0)</f>
        <v>Superior</v>
      </c>
      <c r="AB30" s="84" t="str">
        <f>VLOOKUP(B30,'FTD07'!C:E,3,0)</f>
        <v>DN-40</v>
      </c>
      <c r="AC30" s="82" t="str">
        <f>VLOOKUP(B30,'FTD07'!C:G,5,0)</f>
        <v>GEMÜ</v>
      </c>
      <c r="AD30" s="85" t="str">
        <f>VLOOKUP(B30,'FTD08'!C:E,1,0)</f>
        <v>Entrada bloco BV transferência do propagador</v>
      </c>
      <c r="AE30" s="85" t="str">
        <f>VLOOKUP(C30,'FTD08'!A:E,1,0)</f>
        <v>Superior</v>
      </c>
      <c r="AF30" s="84" t="str">
        <f>VLOOKUP(B30,'FTD08'!C:E,3,0)</f>
        <v>DN-40</v>
      </c>
      <c r="AG30" s="86" t="str">
        <f>VLOOKUP(B30,'FTD08'!C:G,5,0)</f>
        <v>GEMÜ</v>
      </c>
      <c r="AH30" s="83" t="str">
        <f>VLOOKUP(B30,'FTD09'!C:E,1,0)</f>
        <v>Entrada bloco BV transferência do propagador</v>
      </c>
      <c r="AI30" s="85" t="str">
        <f>VLOOKUP(C30,'FTD09'!A:E,1,0)</f>
        <v>Superior</v>
      </c>
      <c r="AJ30" s="84" t="str">
        <f>VLOOKUP(B30,'FTD09'!C:E,3,0)</f>
        <v>DN-40</v>
      </c>
      <c r="AK30" s="82" t="str">
        <f>VLOOKUP(B30,'FTD09'!C:G,5,0)</f>
        <v>GEMÜ</v>
      </c>
      <c r="AL30" s="85" t="str">
        <f>VLOOKUP(B30,'FTD10'!C:E,1,0)</f>
        <v>Entrada bloco BV transferência do propagador</v>
      </c>
      <c r="AM30" s="85" t="str">
        <f>VLOOKUP(C30,'FTD10'!A:E,1,0)</f>
        <v>Superior</v>
      </c>
      <c r="AN30" s="84" t="str">
        <f>VLOOKUP(B30,'FTD10'!C:E,3,0)</f>
        <v>DN-40</v>
      </c>
      <c r="AO30" s="86" t="str">
        <f>VLOOKUP(B30,'FTD10'!C:G,5,0)</f>
        <v>GEMÜ</v>
      </c>
      <c r="AP30" s="83" t="str">
        <f>VLOOKUP(B30,'FTD11'!C:E,1,0)</f>
        <v>Entrada bloco BV transferência do propagador</v>
      </c>
      <c r="AQ30" s="85" t="str">
        <f>VLOOKUP(C30,'FTD11'!A:E,1,0)</f>
        <v>Superior</v>
      </c>
      <c r="AR30" s="84" t="str">
        <f>VLOOKUP(B30,'FTD11'!C:E,3,0)</f>
        <v>DN-40</v>
      </c>
      <c r="AS30" s="82" t="str">
        <f>VLOOKUP(B30,'FTD11'!C:G,5,0)</f>
        <v>GEMÜ</v>
      </c>
      <c r="AT30" s="85" t="str">
        <f>VLOOKUP(B30,'FTD12'!C:E,1,0)</f>
        <v>Entrada bloco BV transferência do propagador</v>
      </c>
      <c r="AU30" s="85" t="str">
        <f>VLOOKUP(C30,'FTD12'!A:E,1,0)</f>
        <v>Superior</v>
      </c>
      <c r="AV30" s="84" t="str">
        <f>VLOOKUP(B30,'FTD12'!C:E,3,0)</f>
        <v>DN-40</v>
      </c>
      <c r="AW30" s="84" t="str">
        <f>VLOOKUP(B30,'FTD12'!C:G,5,0)</f>
        <v>GEMÜ</v>
      </c>
      <c r="AX30" s="124">
        <f t="shared" si="0"/>
        <v>11</v>
      </c>
      <c r="AY30" s="124">
        <f t="shared" si="1"/>
        <v>11</v>
      </c>
      <c r="BA30" s="14" t="s">
        <v>137</v>
      </c>
      <c r="BB30" s="14" t="s">
        <v>68</v>
      </c>
      <c r="BC30" s="14" t="s">
        <v>86</v>
      </c>
      <c r="BD30" s="68" t="s">
        <v>5</v>
      </c>
      <c r="BE30" s="85" t="str">
        <f>VLOOKUP(BA30,'PGD02'!C:E,1,0)</f>
        <v>Entrada propagador BV alimentação carbono</v>
      </c>
      <c r="BF30" s="85"/>
      <c r="BG30" s="84" t="str">
        <f>VLOOKUP(BA30,'PGD02'!C:E,3,0)</f>
        <v>DN-25</v>
      </c>
      <c r="BH30" s="86" t="str">
        <f>VLOOKUP(BA30,'PGD02'!C:G,5,0)</f>
        <v>GEMÜ</v>
      </c>
      <c r="BI30" s="83" t="str">
        <f>VLOOKUP(BA30,'PGD03'!C:E,1,0)</f>
        <v>Entrada propagador BV alimentação carbono</v>
      </c>
      <c r="BJ30" s="85"/>
      <c r="BK30" s="84" t="str">
        <f>VLOOKUP(BA30,'PGD03'!C:E,3,0)</f>
        <v>DN-25</v>
      </c>
      <c r="BL30" s="82" t="str">
        <f>VLOOKUP(BA30,'PGD03'!C:G,5,0)</f>
        <v>GEMÜ</v>
      </c>
      <c r="BM30" s="85" t="str">
        <f>VLOOKUP(BA30,'PGD03'!C:E,1,0)</f>
        <v>Entrada propagador BV alimentação carbono</v>
      </c>
      <c r="BN30" s="85"/>
      <c r="BO30" s="84" t="str">
        <f>VLOOKUP(BA30,'PGD04'!C:E,3,0)</f>
        <v>DN-25</v>
      </c>
      <c r="BP30" s="86" t="str">
        <f>VLOOKUP(BA30,'PGD04'!C:G,5,0)</f>
        <v>GEMÜ</v>
      </c>
      <c r="BQ30" s="83" t="str">
        <f>VLOOKUP(BA30,'PGD05'!C:E,1,0)</f>
        <v>Entrada propagador BV alimentação carbono</v>
      </c>
      <c r="BR30" s="85"/>
      <c r="BS30" s="84" t="str">
        <f>VLOOKUP(BA30,'PGD05'!C:E,3,0)</f>
        <v>DN-25</v>
      </c>
      <c r="BT30" s="82" t="str">
        <f>VLOOKUP(BA30,'PGD05'!C:G,5,0)</f>
        <v>GEMÜ</v>
      </c>
      <c r="BU30" s="85" t="str">
        <f>VLOOKUP(BA30,'PGD06'!C:E,1,0)</f>
        <v>Entrada propagador BV alimentação carbono</v>
      </c>
      <c r="BV30" s="85"/>
      <c r="BW30" s="84" t="str">
        <f>VLOOKUP(BA30,'PGD06'!C:E,3,0)</f>
        <v>DN-25</v>
      </c>
      <c r="BX30" s="86" t="str">
        <f>VLOOKUP(BA30,'PGD06'!C:G,5,0)</f>
        <v>GEMÜ</v>
      </c>
      <c r="BY30" s="83" t="str">
        <f>VLOOKUP(BA30,'PGD07'!C:E,1,0)</f>
        <v>Entrada propagador BV alimentação carbono</v>
      </c>
      <c r="BZ30" s="85"/>
      <c r="CA30" s="84" t="str">
        <f>VLOOKUP(BA30,'PGD07'!C:E,3,0)</f>
        <v>DN-25</v>
      </c>
      <c r="CB30" s="82" t="str">
        <f>VLOOKUP(BA30,'PGD07'!C:G,5,0)</f>
        <v>GEMÜ</v>
      </c>
      <c r="CC30" s="85" t="str">
        <f>VLOOKUP(BA30,'PGD08'!C:E,1,0)</f>
        <v>Entrada propagador BV alimentação carbono</v>
      </c>
      <c r="CD30" s="85"/>
      <c r="CE30" s="84" t="str">
        <f>VLOOKUP(BA30,'PGD08'!C:E,3,0)</f>
        <v>DN-25</v>
      </c>
      <c r="CF30" s="86" t="str">
        <f>VLOOKUP(BA30,'PGD08'!C:G,5,0)</f>
        <v>GEMÜ</v>
      </c>
      <c r="CG30" s="83" t="str">
        <f>VLOOKUP(BA30,'PGD09'!C:E,1,0)</f>
        <v>Entrada propagador BV alimentação carbono</v>
      </c>
      <c r="CH30" s="85"/>
      <c r="CI30" s="84" t="str">
        <f>VLOOKUP(BA30,'PGD09'!C:E,3,0)</f>
        <v>DN-25</v>
      </c>
      <c r="CJ30" s="82" t="str">
        <f>VLOOKUP(BA30,'PGD09'!C:G,5,0)</f>
        <v>GEMÜ</v>
      </c>
      <c r="CK30" s="85" t="str">
        <f>VLOOKUP(BA30,'PGD10'!C:E,1,0)</f>
        <v>Entrada propagador BV alimentação carbono</v>
      </c>
      <c r="CL30" s="85"/>
      <c r="CM30" s="84" t="str">
        <f>VLOOKUP(BA30,'PGD10'!C:E,3,0)</f>
        <v>DN-25</v>
      </c>
      <c r="CN30" s="86" t="str">
        <f>VLOOKUP(BA30,'PGD10'!C:G,5,0)</f>
        <v>GEMÜ</v>
      </c>
      <c r="CO30" s="83" t="str">
        <f>VLOOKUP(BA30,'PGD11'!C:E,1,0)</f>
        <v>Entrada propagador BV alimentação carbono</v>
      </c>
      <c r="CP30" s="85"/>
      <c r="CQ30" s="84" t="str">
        <f>VLOOKUP(BA30,'PGD11'!C:E,3,0)</f>
        <v>DN-25</v>
      </c>
      <c r="CR30" s="82" t="str">
        <f>VLOOKUP(BA30,'PGD11'!C:G,5,0)</f>
        <v>GEMÜ</v>
      </c>
      <c r="CS30" s="85" t="str">
        <f>VLOOKUP(BA30,'PGD12'!C:E,1,0)</f>
        <v>Entrada propagador BV alimentação carbono</v>
      </c>
      <c r="CT30" s="85"/>
      <c r="CU30" s="84" t="str">
        <f>VLOOKUP(BA30,'PGD12'!C:E,3,0)</f>
        <v>DN-25</v>
      </c>
      <c r="CV30" s="84" t="str">
        <f>VLOOKUP(BA30,'PGD12'!C:G,5,0)</f>
        <v>GEMÜ</v>
      </c>
      <c r="CW30" s="82">
        <f t="shared" si="2"/>
        <v>11</v>
      </c>
      <c r="CY30" s="51" t="s">
        <v>128</v>
      </c>
      <c r="CZ30" s="6" t="s">
        <v>86</v>
      </c>
      <c r="DA30" s="80" t="s">
        <v>5</v>
      </c>
      <c r="DB30" s="85" t="str">
        <f>VLOOKUP(CY30,'BLD03'!C:E,1,0)</f>
        <v>Entrada bloco BV alimentação CIP</v>
      </c>
      <c r="DC30" s="84" t="str">
        <f>VLOOKUP(CY30,'BLD03'!C:E,3,0)</f>
        <v>DN-25</v>
      </c>
      <c r="DD30" s="84" t="str">
        <f>VLOOKUP(CY30,'BLD02'!C:G,5,0)</f>
        <v>GEMÜ</v>
      </c>
      <c r="DE30" s="82">
        <f t="shared" si="3"/>
        <v>2</v>
      </c>
    </row>
    <row r="31" spans="2:109" x14ac:dyDescent="0.25">
      <c r="B31" s="107" t="s">
        <v>176</v>
      </c>
      <c r="C31" s="107" t="s">
        <v>68</v>
      </c>
      <c r="D31" s="107" t="s">
        <v>76</v>
      </c>
      <c r="E31" s="107" t="s">
        <v>5</v>
      </c>
      <c r="F31" s="128" t="str">
        <f>VLOOKUP(B31,'FTD02'!C:E,1,0)</f>
        <v>Bloqueio entrada de ar pré filtro absoluto</v>
      </c>
      <c r="G31" s="54" t="str">
        <f>VLOOKUP(C31,'FTD02'!A:E,1,0)</f>
        <v>Superior</v>
      </c>
      <c r="H31" s="54" t="str">
        <f>VLOOKUP(B31,'FTD02'!C:E,3,0)</f>
        <v>DN-80</v>
      </c>
      <c r="I31" s="72" t="str">
        <f>VLOOKUP(B31,'FTD02'!C:G,5,0)</f>
        <v>GEMÜ</v>
      </c>
      <c r="J31" s="128" t="str">
        <f>VLOOKUP(B31,'FTD03'!C:E,1,0)</f>
        <v>Bloqueio entrada de ar pré filtro absoluto</v>
      </c>
      <c r="K31" s="110" t="str">
        <f>VLOOKUP(C31,'FTD03'!A:E,1,0)</f>
        <v>Superior</v>
      </c>
      <c r="L31" s="54" t="str">
        <f>VLOOKUP(B31,'FTD03'!C:E,3,0)</f>
        <v>DN-80</v>
      </c>
      <c r="M31" s="72" t="str">
        <f>VLOOKUP(B31,'FTD03'!C:G,5,0)</f>
        <v>GEMÜ</v>
      </c>
      <c r="N31" s="128" t="str">
        <f>VLOOKUP(B31,'FTD04'!C:E,1,0)</f>
        <v>Bloqueio entrada de ar pré filtro absoluto</v>
      </c>
      <c r="O31" s="110" t="str">
        <f>VLOOKUP(C31,'FTD04'!A:E,1,0)</f>
        <v>Superior</v>
      </c>
      <c r="P31" s="54" t="str">
        <f>VLOOKUP(B31,'FTD04'!C:E,3,0)</f>
        <v>DN-80</v>
      </c>
      <c r="Q31" s="72" t="str">
        <f>VLOOKUP(B31,'FTD04'!C:G,5,0)</f>
        <v>GEMÜ</v>
      </c>
      <c r="R31" s="128" t="str">
        <f>VLOOKUP(B31,'FTD05'!C:E,1,0)</f>
        <v>Bloqueio entrada de ar pré filtro absoluto</v>
      </c>
      <c r="S31" s="110" t="str">
        <f>VLOOKUP(C31,'FTD05'!A:E,1,0)</f>
        <v>Superior</v>
      </c>
      <c r="T31" s="54" t="str">
        <f>VLOOKUP(B31,'FTD05'!C:E,3,0)</f>
        <v>DN-80</v>
      </c>
      <c r="U31" s="72" t="str">
        <f>VLOOKUP(B31,'FTD05'!C:G,5,0)</f>
        <v>GEMÜ</v>
      </c>
      <c r="V31" s="110" t="str">
        <f>VLOOKUP(B31,'FTD06'!C:E,1,0)</f>
        <v>Bloqueio entrada de ar pré filtro absoluto</v>
      </c>
      <c r="W31" s="110" t="str">
        <f>VLOOKUP(C31,'FTD06'!A:E,1,0)</f>
        <v>Superior</v>
      </c>
      <c r="X31" s="54" t="str">
        <f>VLOOKUP(B31,'FTD06'!C:E,3,0)</f>
        <v>DN-80</v>
      </c>
      <c r="Y31" s="75" t="str">
        <f>VLOOKUP(B31,'FTD06'!C:G,5,0)</f>
        <v>GEMÜ</v>
      </c>
      <c r="Z31" s="128" t="str">
        <f>VLOOKUP(B31,'FTD07'!C:E,1,0)</f>
        <v>Bloqueio entrada de ar pré filtro absoluto</v>
      </c>
      <c r="AA31" s="110" t="str">
        <f>VLOOKUP(C31,'FTD07'!A:E,1,0)</f>
        <v>Superior</v>
      </c>
      <c r="AB31" s="54" t="str">
        <f>VLOOKUP(B31,'FTD07'!C:E,3,0)</f>
        <v>DN-80</v>
      </c>
      <c r="AC31" s="72" t="str">
        <f>VLOOKUP(B31,'FTD07'!C:G,5,0)</f>
        <v>GEMÜ</v>
      </c>
      <c r="AD31" s="110" t="str">
        <f>VLOOKUP(B31,'FTD08'!C:E,1,0)</f>
        <v>Bloqueio entrada de ar pré filtro absoluto</v>
      </c>
      <c r="AE31" s="110" t="str">
        <f>VLOOKUP(C31,'FTD08'!A:E,1,0)</f>
        <v>Superior</v>
      </c>
      <c r="AF31" s="54" t="str">
        <f>VLOOKUP(B31,'FTD08'!C:E,3,0)</f>
        <v>DN-80</v>
      </c>
      <c r="AG31" s="75" t="str">
        <f>VLOOKUP(B31,'FTD08'!C:G,5,0)</f>
        <v>GEMÜ</v>
      </c>
      <c r="AH31" s="128" t="str">
        <f>VLOOKUP(B31,'FTD09'!C:E,1,0)</f>
        <v>Bloqueio entrada de ar pré filtro absoluto</v>
      </c>
      <c r="AI31" s="110" t="str">
        <f>VLOOKUP(C31,'FTD09'!A:E,1,0)</f>
        <v>Superior</v>
      </c>
      <c r="AJ31" s="54" t="str">
        <f>VLOOKUP(B31,'FTD09'!C:E,3,0)</f>
        <v>DN-80</v>
      </c>
      <c r="AK31" s="72" t="str">
        <f>VLOOKUP(B31,'FTD09'!C:G,5,0)</f>
        <v>GEMÜ</v>
      </c>
      <c r="AL31" s="110" t="str">
        <f>VLOOKUP(B31,'FTD10'!C:E,1,0)</f>
        <v>Bloqueio entrada de ar pré filtro absoluto</v>
      </c>
      <c r="AM31" s="110" t="str">
        <f>VLOOKUP(C31,'FTD10'!A:E,1,0)</f>
        <v>Superior</v>
      </c>
      <c r="AN31" s="54" t="str">
        <f>VLOOKUP(B31,'FTD10'!C:E,3,0)</f>
        <v>DN-80</v>
      </c>
      <c r="AO31" s="75" t="str">
        <f>VLOOKUP(B31,'FTD10'!C:G,5,0)</f>
        <v>GEMÜ</v>
      </c>
      <c r="AP31" s="128" t="str">
        <f>VLOOKUP(B31,'FTD11'!C:E,1,0)</f>
        <v>Bloqueio entrada de ar pré filtro absoluto</v>
      </c>
      <c r="AQ31" s="110" t="str">
        <f>VLOOKUP(C31,'FTD11'!A:E,1,0)</f>
        <v>Superior</v>
      </c>
      <c r="AR31" s="54" t="str">
        <f>VLOOKUP(B31,'FTD11'!C:E,3,0)</f>
        <v>DN-80</v>
      </c>
      <c r="AS31" s="72" t="str">
        <f>VLOOKUP(B31,'FTD11'!C:G,5,0)</f>
        <v>GEMÜ</v>
      </c>
      <c r="AT31" s="110" t="str">
        <f>VLOOKUP(B31,'FTD12'!C:E,1,0)</f>
        <v>Bloqueio entrada de ar pré filtro absoluto</v>
      </c>
      <c r="AU31" s="110" t="str">
        <f>VLOOKUP(C31,'FTD12'!A:E,1,0)</f>
        <v>Superior</v>
      </c>
      <c r="AV31" s="54" t="str">
        <f>VLOOKUP(B31,'FTD12'!C:E,3,0)</f>
        <v>DN-80</v>
      </c>
      <c r="AW31" s="54" t="str">
        <f>VLOOKUP(B31,'FTD12'!C:G,5,0)</f>
        <v>GEMÜ</v>
      </c>
      <c r="AX31" s="72">
        <f t="shared" si="0"/>
        <v>11</v>
      </c>
      <c r="AY31" s="72">
        <f t="shared" si="1"/>
        <v>11</v>
      </c>
      <c r="BA31" s="16" t="s">
        <v>140</v>
      </c>
      <c r="BB31" s="16" t="s">
        <v>68</v>
      </c>
      <c r="BC31" s="16" t="s">
        <v>86</v>
      </c>
      <c r="BD31" s="78" t="s">
        <v>5</v>
      </c>
      <c r="BE31" s="65" t="str">
        <f>VLOOKUP(BA31,'PGD02'!C:E,1,0)</f>
        <v>Entrada propagador BV alimentação nitrogênio</v>
      </c>
      <c r="BF31" s="65"/>
      <c r="BG31" s="53" t="str">
        <f>VLOOKUP(BA31,'PGD02'!C:E,3,0)</f>
        <v>DN-25</v>
      </c>
      <c r="BH31" s="74" t="str">
        <f>VLOOKUP(BA31,'PGD02'!C:G,5,0)</f>
        <v>GEMÜ</v>
      </c>
      <c r="BI31" s="57" t="str">
        <f>VLOOKUP(BA31,'PGD03'!C:E,1,0)</f>
        <v>Entrada propagador BV alimentação nitrogênio</v>
      </c>
      <c r="BJ31" s="65"/>
      <c r="BK31" s="53" t="str">
        <f>VLOOKUP(BA31,'PGD03'!C:E,3,0)</f>
        <v>DN-25</v>
      </c>
      <c r="BL31" s="56" t="str">
        <f>VLOOKUP(BA31,'PGD03'!C:G,5,0)</f>
        <v>GEMÜ</v>
      </c>
      <c r="BM31" s="65" t="str">
        <f>VLOOKUP(BA31,'PGD03'!C:E,1,0)</f>
        <v>Entrada propagador BV alimentação nitrogênio</v>
      </c>
      <c r="BN31" s="65"/>
      <c r="BO31" s="53" t="str">
        <f>VLOOKUP(BA31,'PGD04'!C:E,3,0)</f>
        <v>DN-25</v>
      </c>
      <c r="BP31" s="74" t="str">
        <f>VLOOKUP(BA31,'PGD04'!C:G,5,0)</f>
        <v>GEMÜ</v>
      </c>
      <c r="BQ31" s="57" t="str">
        <f>VLOOKUP(BA31,'PGD05'!C:E,1,0)</f>
        <v>Entrada propagador BV alimentação nitrogênio</v>
      </c>
      <c r="BR31" s="65"/>
      <c r="BS31" s="53" t="str">
        <f>VLOOKUP(BA31,'PGD05'!C:E,3,0)</f>
        <v>DN-25</v>
      </c>
      <c r="BT31" s="56" t="str">
        <f>VLOOKUP(BA31,'PGD05'!C:G,5,0)</f>
        <v>GEMÜ</v>
      </c>
      <c r="BU31" s="65" t="str">
        <f>VLOOKUP(BA31,'PGD06'!C:E,1,0)</f>
        <v>Entrada propagador BV alimentação nitrogênio</v>
      </c>
      <c r="BV31" s="65"/>
      <c r="BW31" s="53" t="str">
        <f>VLOOKUP(BA31,'PGD06'!C:E,3,0)</f>
        <v>DN-25</v>
      </c>
      <c r="BX31" s="74" t="str">
        <f>VLOOKUP(BA31,'PGD06'!C:G,5,0)</f>
        <v>GEMÜ</v>
      </c>
      <c r="BY31" s="57" t="str">
        <f>VLOOKUP(BA31,'PGD07'!C:E,1,0)</f>
        <v>Entrada propagador BV alimentação nitrogênio</v>
      </c>
      <c r="BZ31" s="65"/>
      <c r="CA31" s="53" t="str">
        <f>VLOOKUP(BA31,'PGD07'!C:E,3,0)</f>
        <v>DN-25</v>
      </c>
      <c r="CB31" s="56" t="str">
        <f>VLOOKUP(BA31,'PGD07'!C:G,5,0)</f>
        <v>GEMÜ</v>
      </c>
      <c r="CC31" s="65" t="str">
        <f>VLOOKUP(BA31,'PGD08'!C:E,1,0)</f>
        <v>Entrada propagador BV alimentação nitrogênio</v>
      </c>
      <c r="CD31" s="65"/>
      <c r="CE31" s="53" t="str">
        <f>VLOOKUP(BA31,'PGD08'!C:E,3,0)</f>
        <v>DN-25</v>
      </c>
      <c r="CF31" s="74" t="str">
        <f>VLOOKUP(BA31,'PGD08'!C:G,5,0)</f>
        <v>GEMÜ</v>
      </c>
      <c r="CG31" s="57" t="str">
        <f>VLOOKUP(BA31,'PGD09'!C:E,1,0)</f>
        <v>Entrada propagador BV alimentação nitrogênio</v>
      </c>
      <c r="CH31" s="65"/>
      <c r="CI31" s="53" t="str">
        <f>VLOOKUP(BA31,'PGD09'!C:E,3,0)</f>
        <v>DN-25</v>
      </c>
      <c r="CJ31" s="56" t="str">
        <f>VLOOKUP(BA31,'PGD09'!C:G,5,0)</f>
        <v>GEMÜ</v>
      </c>
      <c r="CK31" s="65" t="str">
        <f>VLOOKUP(BA31,'PGD10'!C:E,1,0)</f>
        <v>Entrada propagador BV alimentação nitrogênio</v>
      </c>
      <c r="CL31" s="65"/>
      <c r="CM31" s="53" t="str">
        <f>VLOOKUP(BA31,'PGD10'!C:E,3,0)</f>
        <v>DN-25</v>
      </c>
      <c r="CN31" s="74" t="str">
        <f>VLOOKUP(BA31,'PGD10'!C:G,5,0)</f>
        <v>GEMÜ</v>
      </c>
      <c r="CO31" s="57" t="str">
        <f>VLOOKUP(BA31,'PGD11'!C:E,1,0)</f>
        <v>Entrada propagador BV alimentação nitrogênio</v>
      </c>
      <c r="CP31" s="65"/>
      <c r="CQ31" s="53" t="str">
        <f>VLOOKUP(BA31,'PGD11'!C:E,3,0)</f>
        <v>DN-25</v>
      </c>
      <c r="CR31" s="56" t="str">
        <f>VLOOKUP(BA31,'PGD11'!C:G,5,0)</f>
        <v>GEMÜ</v>
      </c>
      <c r="CS31" s="65" t="str">
        <f>VLOOKUP(BA31,'PGD12'!C:E,1,0)</f>
        <v>Entrada propagador BV alimentação nitrogênio</v>
      </c>
      <c r="CT31" s="65"/>
      <c r="CU31" s="53" t="str">
        <f>VLOOKUP(BA31,'PGD12'!C:E,3,0)</f>
        <v>DN-25</v>
      </c>
      <c r="CV31" s="53" t="str">
        <f>VLOOKUP(BA31,'PGD12'!C:G,5,0)</f>
        <v>GEMÜ</v>
      </c>
      <c r="CW31" s="56">
        <f t="shared" si="2"/>
        <v>11</v>
      </c>
      <c r="CY31" s="52" t="s">
        <v>142</v>
      </c>
      <c r="CZ31" s="16" t="s">
        <v>86</v>
      </c>
      <c r="DA31" s="81" t="s">
        <v>5</v>
      </c>
      <c r="DB31" s="65" t="str">
        <f>VLOOKUP(CY31,'BLD03'!C:E,1,0)</f>
        <v>Entrada blender BV alimentação CIP</v>
      </c>
      <c r="DC31" s="53" t="str">
        <f>VLOOKUP(CY31,'BLD03'!C:E,3,0)</f>
        <v>DN-25</v>
      </c>
      <c r="DD31" s="53" t="str">
        <f>VLOOKUP(CY31,'BLD02'!C:G,5,0)</f>
        <v>GEMÜ</v>
      </c>
      <c r="DE31" s="56">
        <f t="shared" si="3"/>
        <v>2</v>
      </c>
    </row>
    <row r="32" spans="2:109" x14ac:dyDescent="0.25">
      <c r="B32" s="107" t="s">
        <v>75</v>
      </c>
      <c r="C32" s="107" t="s">
        <v>68</v>
      </c>
      <c r="D32" s="107" t="s">
        <v>51</v>
      </c>
      <c r="E32" s="107" t="s">
        <v>5</v>
      </c>
      <c r="F32" s="128" t="str">
        <f>VLOOKUP(B32,'FTD02'!C:E,1,0)</f>
        <v>Entrada de vapor linha de ar pós filtro absoluto</v>
      </c>
      <c r="G32" s="54" t="str">
        <f>VLOOKUP(C32,'FTD02'!A:E,1,0)</f>
        <v>Superior</v>
      </c>
      <c r="H32" s="54" t="str">
        <f>VLOOKUP(B32,'FTD02'!C:E,3,0)</f>
        <v>DN-40</v>
      </c>
      <c r="I32" s="72" t="str">
        <f>VLOOKUP(B32,'FTD02'!C:G,5,0)</f>
        <v>GEMÜ</v>
      </c>
      <c r="J32" s="128" t="str">
        <f>VLOOKUP(B32,'FTD03'!C:E,1,0)</f>
        <v>Entrada de vapor linha de ar pós filtro absoluto</v>
      </c>
      <c r="K32" s="110" t="str">
        <f>VLOOKUP(C32,'FTD03'!A:E,1,0)</f>
        <v>Superior</v>
      </c>
      <c r="L32" s="54" t="str">
        <f>VLOOKUP(B32,'FTD03'!C:E,3,0)</f>
        <v>DN-40</v>
      </c>
      <c r="M32" s="72" t="str">
        <f>VLOOKUP(B32,'FTD03'!C:G,5,0)</f>
        <v>GEMÜ</v>
      </c>
      <c r="N32" s="128" t="str">
        <f>VLOOKUP(B32,'FTD04'!C:E,1,0)</f>
        <v>Entrada de vapor linha de ar pós filtro absoluto</v>
      </c>
      <c r="O32" s="110" t="str">
        <f>VLOOKUP(C32,'FTD04'!A:E,1,0)</f>
        <v>Superior</v>
      </c>
      <c r="P32" s="54" t="str">
        <f>VLOOKUP(B32,'FTD04'!C:E,3,0)</f>
        <v>DN-40</v>
      </c>
      <c r="Q32" s="72" t="str">
        <f>VLOOKUP(B32,'FTD04'!C:G,5,0)</f>
        <v>GEMÜ</v>
      </c>
      <c r="R32" s="128" t="str">
        <f>VLOOKUP(B32,'FTD05'!C:E,1,0)</f>
        <v>Entrada de vapor linha de ar pós filtro absoluto</v>
      </c>
      <c r="S32" s="110" t="str">
        <f>VLOOKUP(C32,'FTD05'!A:E,1,0)</f>
        <v>Superior</v>
      </c>
      <c r="T32" s="54" t="str">
        <f>VLOOKUP(B32,'FTD05'!C:E,3,0)</f>
        <v>DN-40</v>
      </c>
      <c r="U32" s="72" t="str">
        <f>VLOOKUP(B32,'FTD05'!C:G,5,0)</f>
        <v>GEMÜ</v>
      </c>
      <c r="V32" s="110" t="str">
        <f>VLOOKUP(B32,'FTD06'!C:E,1,0)</f>
        <v>Entrada de vapor linha de ar pós filtro absoluto</v>
      </c>
      <c r="W32" s="110" t="str">
        <f>VLOOKUP(C32,'FTD06'!A:E,1,0)</f>
        <v>Superior</v>
      </c>
      <c r="X32" s="54" t="str">
        <f>VLOOKUP(B32,'FTD06'!C:E,3,0)</f>
        <v>DN-40</v>
      </c>
      <c r="Y32" s="75" t="str">
        <f>VLOOKUP(B32,'FTD06'!C:G,5,0)</f>
        <v>GEMÜ</v>
      </c>
      <c r="Z32" s="128" t="str">
        <f>VLOOKUP(B32,'FTD07'!C:E,1,0)</f>
        <v>Entrada de vapor linha de ar pós filtro absoluto</v>
      </c>
      <c r="AA32" s="110" t="str">
        <f>VLOOKUP(C32,'FTD07'!A:E,1,0)</f>
        <v>Superior</v>
      </c>
      <c r="AB32" s="54" t="str">
        <f>VLOOKUP(B32,'FTD07'!C:E,3,0)</f>
        <v>DN-40</v>
      </c>
      <c r="AC32" s="72" t="str">
        <f>VLOOKUP(B32,'FTD07'!C:G,5,0)</f>
        <v>GEMÜ</v>
      </c>
      <c r="AD32" s="110" t="str">
        <f>VLOOKUP(B32,'FTD08'!C:E,1,0)</f>
        <v>Entrada de vapor linha de ar pós filtro absoluto</v>
      </c>
      <c r="AE32" s="110" t="str">
        <f>VLOOKUP(C32,'FTD08'!A:E,1,0)</f>
        <v>Superior</v>
      </c>
      <c r="AF32" s="54" t="str">
        <f>VLOOKUP(B32,'FTD08'!C:E,3,0)</f>
        <v>DN-40</v>
      </c>
      <c r="AG32" s="75" t="str">
        <f>VLOOKUP(B32,'FTD08'!C:G,5,0)</f>
        <v>GEMÜ</v>
      </c>
      <c r="AH32" s="128" t="str">
        <f>VLOOKUP(B32,'FTD09'!C:E,1,0)</f>
        <v>Entrada de vapor linha de ar pós filtro absoluto</v>
      </c>
      <c r="AI32" s="110" t="str">
        <f>VLOOKUP(C32,'FTD09'!A:E,1,0)</f>
        <v>Superior</v>
      </c>
      <c r="AJ32" s="54" t="str">
        <f>VLOOKUP(B32,'FTD09'!C:E,3,0)</f>
        <v>DN-40</v>
      </c>
      <c r="AK32" s="72" t="str">
        <f>VLOOKUP(B32,'FTD09'!C:G,5,0)</f>
        <v>GEMÜ</v>
      </c>
      <c r="AL32" s="110" t="str">
        <f>VLOOKUP(B32,'FTD10'!C:E,1,0)</f>
        <v>Entrada de vapor linha de ar pós filtro absoluto</v>
      </c>
      <c r="AM32" s="110" t="str">
        <f>VLOOKUP(C32,'FTD10'!A:E,1,0)</f>
        <v>Superior</v>
      </c>
      <c r="AN32" s="54" t="str">
        <f>VLOOKUP(B32,'FTD10'!C:E,3,0)</f>
        <v>DN-40</v>
      </c>
      <c r="AO32" s="75" t="str">
        <f>VLOOKUP(B32,'FTD10'!C:G,5,0)</f>
        <v>GEMÜ</v>
      </c>
      <c r="AP32" s="128" t="str">
        <f>VLOOKUP(B32,'FTD11'!C:E,1,0)</f>
        <v>Entrada de vapor linha de ar pós filtro absoluto</v>
      </c>
      <c r="AQ32" s="110" t="str">
        <f>VLOOKUP(C32,'FTD11'!A:E,1,0)</f>
        <v>Superior</v>
      </c>
      <c r="AR32" s="54" t="str">
        <f>VLOOKUP(B32,'FTD11'!C:E,3,0)</f>
        <v>DN-40</v>
      </c>
      <c r="AS32" s="72" t="str">
        <f>VLOOKUP(B32,'FTD11'!C:G,5,0)</f>
        <v>GEMÜ</v>
      </c>
      <c r="AT32" s="110" t="str">
        <f>VLOOKUP(B32,'FTD12'!C:E,1,0)</f>
        <v>Entrada de vapor linha de ar pós filtro absoluto</v>
      </c>
      <c r="AU32" s="110" t="str">
        <f>VLOOKUP(C32,'FTD12'!A:E,1,0)</f>
        <v>Superior</v>
      </c>
      <c r="AV32" s="54" t="str">
        <f>VLOOKUP(B32,'FTD12'!C:E,3,0)</f>
        <v>DN-40</v>
      </c>
      <c r="AW32" s="54" t="str">
        <f>VLOOKUP(B32,'FTD12'!C:G,5,0)</f>
        <v>GEMÜ</v>
      </c>
      <c r="AX32" s="72">
        <f t="shared" si="0"/>
        <v>11</v>
      </c>
      <c r="AY32" s="72">
        <f t="shared" si="1"/>
        <v>11</v>
      </c>
      <c r="BA32" s="14" t="s">
        <v>144</v>
      </c>
      <c r="BB32" s="14" t="s">
        <v>68</v>
      </c>
      <c r="BC32" s="14" t="s">
        <v>86</v>
      </c>
      <c r="BD32" s="68" t="s">
        <v>5</v>
      </c>
      <c r="BE32" s="85" t="str">
        <f>VLOOKUP(BA32,'PGD02'!C:E,1,0)</f>
        <v>Entrada propagador BV alimentação sais</v>
      </c>
      <c r="BF32" s="85"/>
      <c r="BG32" s="84" t="str">
        <f>VLOOKUP(BA32,'PGD02'!C:E,3,0)</f>
        <v>DN-25</v>
      </c>
      <c r="BH32" s="86" t="str">
        <f>VLOOKUP(BA32,'PGD02'!C:G,5,0)</f>
        <v>GEMÜ</v>
      </c>
      <c r="BI32" s="83" t="str">
        <f>VLOOKUP(BA32,'PGD03'!C:E,1,0)</f>
        <v>Entrada propagador BV alimentação sais</v>
      </c>
      <c r="BJ32" s="85"/>
      <c r="BK32" s="84" t="str">
        <f>VLOOKUP(BA32,'PGD03'!C:E,3,0)</f>
        <v>DN-25</v>
      </c>
      <c r="BL32" s="82" t="str">
        <f>VLOOKUP(BA32,'PGD03'!C:G,5,0)</f>
        <v>GEMÜ</v>
      </c>
      <c r="BM32" s="85" t="str">
        <f>VLOOKUP(BA32,'PGD03'!C:E,1,0)</f>
        <v>Entrada propagador BV alimentação sais</v>
      </c>
      <c r="BN32" s="85"/>
      <c r="BO32" s="84" t="str">
        <f>VLOOKUP(BA32,'PGD04'!C:E,3,0)</f>
        <v>DN-25</v>
      </c>
      <c r="BP32" s="86" t="str">
        <f>VLOOKUP(BA32,'PGD04'!C:G,5,0)</f>
        <v>GEMÜ</v>
      </c>
      <c r="BQ32" s="83" t="str">
        <f>VLOOKUP(BA32,'PGD05'!C:E,1,0)</f>
        <v>Entrada propagador BV alimentação sais</v>
      </c>
      <c r="BR32" s="85"/>
      <c r="BS32" s="84" t="str">
        <f>VLOOKUP(BA32,'PGD05'!C:E,3,0)</f>
        <v>DN-25</v>
      </c>
      <c r="BT32" s="82" t="str">
        <f>VLOOKUP(BA32,'PGD05'!C:G,5,0)</f>
        <v>GEMÜ</v>
      </c>
      <c r="BU32" s="85" t="str">
        <f>VLOOKUP(BA32,'PGD06'!C:E,1,0)</f>
        <v>Entrada propagador BV alimentação sais</v>
      </c>
      <c r="BV32" s="85"/>
      <c r="BW32" s="84" t="str">
        <f>VLOOKUP(BA32,'PGD06'!C:E,3,0)</f>
        <v>DN-25</v>
      </c>
      <c r="BX32" s="86" t="str">
        <f>VLOOKUP(BA32,'PGD06'!C:G,5,0)</f>
        <v>GEMÜ</v>
      </c>
      <c r="BY32" s="83" t="str">
        <f>VLOOKUP(BA32,'PGD07'!C:E,1,0)</f>
        <v>Entrada propagador BV alimentação sais</v>
      </c>
      <c r="BZ32" s="85"/>
      <c r="CA32" s="84" t="str">
        <f>VLOOKUP(BA32,'PGD07'!C:E,3,0)</f>
        <v>DN-25</v>
      </c>
      <c r="CB32" s="82" t="str">
        <f>VLOOKUP(BA32,'PGD07'!C:G,5,0)</f>
        <v>GEMÜ</v>
      </c>
      <c r="CC32" s="85" t="str">
        <f>VLOOKUP(BA32,'PGD08'!C:E,1,0)</f>
        <v>Entrada propagador BV alimentação sais</v>
      </c>
      <c r="CD32" s="85"/>
      <c r="CE32" s="84" t="str">
        <f>VLOOKUP(BA32,'PGD08'!C:E,3,0)</f>
        <v>DN-25</v>
      </c>
      <c r="CF32" s="86" t="str">
        <f>VLOOKUP(BA32,'PGD08'!C:G,5,0)</f>
        <v>GEMÜ</v>
      </c>
      <c r="CG32" s="83" t="str">
        <f>VLOOKUP(BA32,'PGD09'!C:E,1,0)</f>
        <v>Entrada propagador BV alimentação sais</v>
      </c>
      <c r="CH32" s="85"/>
      <c r="CI32" s="84" t="str">
        <f>VLOOKUP(BA32,'PGD09'!C:E,3,0)</f>
        <v>DN-25</v>
      </c>
      <c r="CJ32" s="82" t="str">
        <f>VLOOKUP(BA32,'PGD09'!C:G,5,0)</f>
        <v>GEMÜ</v>
      </c>
      <c r="CK32" s="85" t="str">
        <f>VLOOKUP(BA32,'PGD10'!C:E,1,0)</f>
        <v>Entrada propagador BV alimentação sais</v>
      </c>
      <c r="CL32" s="85"/>
      <c r="CM32" s="84" t="str">
        <f>VLOOKUP(BA32,'PGD10'!C:E,3,0)</f>
        <v>DN-25</v>
      </c>
      <c r="CN32" s="86" t="str">
        <f>VLOOKUP(BA32,'PGD10'!C:G,5,0)</f>
        <v>GEMÜ</v>
      </c>
      <c r="CO32" s="83" t="str">
        <f>VLOOKUP(BA32,'PGD11'!C:E,1,0)</f>
        <v>Entrada propagador BV alimentação sais</v>
      </c>
      <c r="CP32" s="85"/>
      <c r="CQ32" s="84" t="str">
        <f>VLOOKUP(BA32,'PGD11'!C:E,3,0)</f>
        <v>DN-25</v>
      </c>
      <c r="CR32" s="82" t="str">
        <f>VLOOKUP(BA32,'PGD11'!C:G,5,0)</f>
        <v>GEMÜ</v>
      </c>
      <c r="CS32" s="85" t="str">
        <f>VLOOKUP(BA32,'PGD12'!C:E,1,0)</f>
        <v>Entrada propagador BV alimentação sais</v>
      </c>
      <c r="CT32" s="85"/>
      <c r="CU32" s="84" t="str">
        <f>VLOOKUP(BA32,'PGD12'!C:E,3,0)</f>
        <v>DN-25</v>
      </c>
      <c r="CV32" s="84" t="str">
        <f>VLOOKUP(BA32,'PGD12'!C:G,5,0)</f>
        <v>GEMÜ</v>
      </c>
      <c r="CW32" s="82">
        <f t="shared" si="2"/>
        <v>11</v>
      </c>
      <c r="CY32" s="51" t="s">
        <v>146</v>
      </c>
      <c r="CZ32" s="6" t="s">
        <v>86</v>
      </c>
      <c r="DA32" s="80" t="s">
        <v>5</v>
      </c>
      <c r="DB32" s="85" t="str">
        <f>VLOOKUP(CY32,'BLD03'!C:E,1,0)</f>
        <v>Dreno BV alimentação CIP</v>
      </c>
      <c r="DC32" s="84" t="str">
        <f>VLOOKUP(CY32,'BLD03'!C:E,3,0)</f>
        <v>DN-15</v>
      </c>
      <c r="DD32" s="84" t="str">
        <f>VLOOKUP(CY32,'BLD02'!C:G,5,0)</f>
        <v>ZDL</v>
      </c>
      <c r="DE32" s="82">
        <f t="shared" si="3"/>
        <v>1</v>
      </c>
    </row>
    <row r="33" spans="2:109" x14ac:dyDescent="0.25">
      <c r="B33" s="7" t="s">
        <v>147</v>
      </c>
      <c r="C33" s="7" t="s">
        <v>68</v>
      </c>
      <c r="D33" s="7" t="s">
        <v>80</v>
      </c>
      <c r="E33" s="7" t="s">
        <v>5</v>
      </c>
      <c r="F33" s="57" t="str">
        <f>VLOOKUP(B33,'FTD02'!C:E,1,0)</f>
        <v>Entrada fermentador BV alimentação água quente</v>
      </c>
      <c r="G33" s="122" t="str">
        <f>VLOOKUP(C33,'FTD02'!A:E,1,0)</f>
        <v>Superior</v>
      </c>
      <c r="H33" s="53" t="str">
        <f>VLOOKUP(B33,'FTD02'!C:E,3,0)</f>
        <v>DN-50</v>
      </c>
      <c r="I33" s="56" t="str">
        <f>VLOOKUP(B33,'FTD02'!C:G,5,0)</f>
        <v>GEMÜ</v>
      </c>
      <c r="J33" s="57" t="str">
        <f>VLOOKUP(B33,'FTD03'!C:E,1,0)</f>
        <v>Entrada fermentador BV alimentação água quente</v>
      </c>
      <c r="K33" s="85" t="str">
        <f>VLOOKUP(C33,'FTD03'!A:E,1,0)</f>
        <v>Superior</v>
      </c>
      <c r="L33" s="53" t="str">
        <f>VLOOKUP(B33,'FTD03'!C:E,3,0)</f>
        <v>DN-50</v>
      </c>
      <c r="M33" s="56" t="str">
        <f>VLOOKUP(B33,'FTD03'!C:G,5,0)</f>
        <v>GEMÜ</v>
      </c>
      <c r="N33" s="57" t="str">
        <f>VLOOKUP(B33,'FTD04'!C:E,1,0)</f>
        <v>Entrada fermentador BV alimentação água quente</v>
      </c>
      <c r="O33" s="85" t="str">
        <f>VLOOKUP(C33,'FTD04'!A:E,1,0)</f>
        <v>Superior</v>
      </c>
      <c r="P33" s="53" t="str">
        <f>VLOOKUP(B33,'FTD04'!C:E,3,0)</f>
        <v>DN-50</v>
      </c>
      <c r="Q33" s="56" t="str">
        <f>VLOOKUP(B33,'FTD04'!C:G,5,0)</f>
        <v>GEMÜ</v>
      </c>
      <c r="R33" s="57" t="str">
        <f>VLOOKUP(B33,'FTD05'!C:E,1,0)</f>
        <v>Entrada fermentador BV alimentação água quente</v>
      </c>
      <c r="S33" s="85" t="str">
        <f>VLOOKUP(C33,'FTD05'!A:E,1,0)</f>
        <v>Superior</v>
      </c>
      <c r="T33" s="53" t="str">
        <f>VLOOKUP(B33,'FTD05'!C:E,3,0)</f>
        <v>DN-50</v>
      </c>
      <c r="U33" s="56" t="str">
        <f>VLOOKUP(B33,'FTD05'!C:G,5,0)</f>
        <v>GEMÜ</v>
      </c>
      <c r="V33" s="65" t="str">
        <f>VLOOKUP(B33,'FTD06'!C:E,1,0)</f>
        <v>Entrada fermentador BV alimentação água quente</v>
      </c>
      <c r="W33" s="85" t="str">
        <f>VLOOKUP(C33,'FTD06'!A:E,1,0)</f>
        <v>Superior</v>
      </c>
      <c r="X33" s="53" t="str">
        <f>VLOOKUP(B33,'FTD06'!C:E,3,0)</f>
        <v>DN-50</v>
      </c>
      <c r="Y33" s="74" t="str">
        <f>VLOOKUP(B33,'FTD06'!C:G,5,0)</f>
        <v>GEMÜ</v>
      </c>
      <c r="Z33" s="57" t="str">
        <f>VLOOKUP(B33,'FTD07'!C:E,1,0)</f>
        <v>Entrada fermentador BV alimentação água quente</v>
      </c>
      <c r="AA33" s="85" t="str">
        <f>VLOOKUP(C33,'FTD07'!A:E,1,0)</f>
        <v>Superior</v>
      </c>
      <c r="AB33" s="53" t="str">
        <f>VLOOKUP(B33,'FTD07'!C:E,3,0)</f>
        <v>DN-50</v>
      </c>
      <c r="AC33" s="56" t="str">
        <f>VLOOKUP(B33,'FTD07'!C:G,5,0)</f>
        <v>GEMÜ</v>
      </c>
      <c r="AD33" s="65" t="str">
        <f>VLOOKUP(B33,'FTD08'!C:E,1,0)</f>
        <v>Entrada fermentador BV alimentação água quente</v>
      </c>
      <c r="AE33" s="85" t="str">
        <f>VLOOKUP(C33,'FTD08'!A:E,1,0)</f>
        <v>Superior</v>
      </c>
      <c r="AF33" s="53" t="str">
        <f>VLOOKUP(B33,'FTD08'!C:E,3,0)</f>
        <v>DN-50</v>
      </c>
      <c r="AG33" s="74" t="str">
        <f>VLOOKUP(B33,'FTD08'!C:G,5,0)</f>
        <v>GEMÜ</v>
      </c>
      <c r="AH33" s="57" t="str">
        <f>VLOOKUP(B33,'FTD09'!C:E,1,0)</f>
        <v>Entrada fermentador BV alimentação água quente</v>
      </c>
      <c r="AI33" s="85" t="str">
        <f>VLOOKUP(C33,'FTD09'!A:E,1,0)</f>
        <v>Superior</v>
      </c>
      <c r="AJ33" s="53" t="str">
        <f>VLOOKUP(B33,'FTD09'!C:E,3,0)</f>
        <v>DN-40</v>
      </c>
      <c r="AK33" s="56" t="str">
        <f>VLOOKUP(B33,'FTD09'!C:G,5,0)</f>
        <v>GEMÜ</v>
      </c>
      <c r="AL33" s="65" t="str">
        <f>VLOOKUP(B33,'FTD10'!C:E,1,0)</f>
        <v>Entrada fermentador BV alimentação água quente</v>
      </c>
      <c r="AM33" s="85" t="str">
        <f>VLOOKUP(C33,'FTD10'!A:E,1,0)</f>
        <v>Superior</v>
      </c>
      <c r="AN33" s="53" t="str">
        <f>VLOOKUP(B33,'FTD10'!C:E,3,0)</f>
        <v>DN-50</v>
      </c>
      <c r="AO33" s="74" t="str">
        <f>VLOOKUP(B33,'FTD10'!C:G,5,0)</f>
        <v>GEMÜ</v>
      </c>
      <c r="AP33" s="57" t="str">
        <f>VLOOKUP(B33,'FTD11'!C:E,1,0)</f>
        <v>Entrada fermentador BV alimentação água quente</v>
      </c>
      <c r="AQ33" s="85" t="str">
        <f>VLOOKUP(C33,'FTD11'!A:E,1,0)</f>
        <v>Superior</v>
      </c>
      <c r="AR33" s="53" t="str">
        <f>VLOOKUP(B33,'FTD11'!C:E,3,0)</f>
        <v>DN-50</v>
      </c>
      <c r="AS33" s="56" t="str">
        <f>VLOOKUP(B33,'FTD11'!C:G,5,0)</f>
        <v>GEMÜ</v>
      </c>
      <c r="AT33" s="65" t="str">
        <f>VLOOKUP(B33,'FTD12'!C:E,1,0)</f>
        <v>Entrada fermentador BV alimentação água quente</v>
      </c>
      <c r="AU33" s="85" t="str">
        <f>VLOOKUP(C33,'FTD12'!A:E,1,0)</f>
        <v>Superior</v>
      </c>
      <c r="AV33" s="53" t="str">
        <f>VLOOKUP(B33,'FTD12'!C:E,3,0)</f>
        <v>DN-50</v>
      </c>
      <c r="AW33" s="53" t="str">
        <f>VLOOKUP(B33,'FTD12'!C:G,5,0)</f>
        <v>GEMÜ</v>
      </c>
      <c r="AX33" s="124">
        <f t="shared" si="0"/>
        <v>11</v>
      </c>
      <c r="AY33" s="124">
        <f t="shared" si="1"/>
        <v>10</v>
      </c>
      <c r="BA33" s="16" t="s">
        <v>148</v>
      </c>
      <c r="BB33" s="16" t="s">
        <v>68</v>
      </c>
      <c r="BC33" s="16" t="s">
        <v>48</v>
      </c>
      <c r="BD33" s="78" t="s">
        <v>6</v>
      </c>
      <c r="BE33" s="65" t="str">
        <f>VLOOKUP(BA33,'PGD02'!C:E,1,0)</f>
        <v xml:space="preserve">Válvula de bloqueio de vapor da linha de ar pré filtro absoluto </v>
      </c>
      <c r="BF33" s="65"/>
      <c r="BG33" s="53" t="str">
        <f>VLOOKUP(BA33,'PGD02'!C:E,3,0)</f>
        <v>DN-8</v>
      </c>
      <c r="BH33" s="74" t="str">
        <f>VLOOKUP(BA33,'PGD02'!C:G,5,0)</f>
        <v>ZDL</v>
      </c>
      <c r="BI33" s="57" t="str">
        <f>VLOOKUP(BA33,'PGD03'!C:E,1,0)</f>
        <v xml:space="preserve">Válvula de bloqueio de vapor da linha de ar pré filtro absoluto </v>
      </c>
      <c r="BJ33" s="65"/>
      <c r="BK33" s="53" t="str">
        <f>VLOOKUP(BA33,'PGD03'!C:E,3,0)</f>
        <v>DN-8</v>
      </c>
      <c r="BL33" s="56" t="str">
        <f>VLOOKUP(BA33,'PGD03'!C:G,5,0)</f>
        <v>ZDL</v>
      </c>
      <c r="BM33" s="65" t="str">
        <f>VLOOKUP(BA33,'PGD03'!C:E,1,0)</f>
        <v xml:space="preserve">Válvula de bloqueio de vapor da linha de ar pré filtro absoluto </v>
      </c>
      <c r="BN33" s="65"/>
      <c r="BO33" s="53" t="str">
        <f>VLOOKUP(BA33,'PGD04'!C:E,3,0)</f>
        <v>DN-8</v>
      </c>
      <c r="BP33" s="74" t="str">
        <f>VLOOKUP(BA33,'PGD04'!C:G,5,0)</f>
        <v>ZDL</v>
      </c>
      <c r="BQ33" s="57" t="str">
        <f>VLOOKUP(BA33,'PGD05'!C:E,1,0)</f>
        <v xml:space="preserve">Válvula de bloqueio de vapor da linha de ar pré filtro absoluto </v>
      </c>
      <c r="BR33" s="65"/>
      <c r="BS33" s="53" t="str">
        <f>VLOOKUP(BA33,'PGD05'!C:E,3,0)</f>
        <v>DN-8</v>
      </c>
      <c r="BT33" s="56" t="str">
        <f>VLOOKUP(BA33,'PGD05'!C:G,5,0)</f>
        <v>ZDL</v>
      </c>
      <c r="BU33" s="65" t="str">
        <f>VLOOKUP(BA33,'PGD06'!C:E,1,0)</f>
        <v xml:space="preserve">Válvula de bloqueio de vapor da linha de ar pré filtro absoluto </v>
      </c>
      <c r="BV33" s="65"/>
      <c r="BW33" s="53" t="str">
        <f>VLOOKUP(BA33,'PGD06'!C:E,3,0)</f>
        <v>DN-8</v>
      </c>
      <c r="BX33" s="74" t="str">
        <f>VLOOKUP(BA33,'PGD06'!C:G,5,0)</f>
        <v>ZDL</v>
      </c>
      <c r="BY33" s="57" t="str">
        <f>VLOOKUP(BA33,'PGD07'!C:E,1,0)</f>
        <v xml:space="preserve">Válvula de bloqueio de vapor da linha de ar pré filtro absoluto </v>
      </c>
      <c r="BZ33" s="65"/>
      <c r="CA33" s="53" t="str">
        <f>VLOOKUP(BA33,'PGD07'!C:E,3,0)</f>
        <v>DN-8</v>
      </c>
      <c r="CB33" s="56" t="str">
        <f>VLOOKUP(BA33,'PGD07'!C:G,5,0)</f>
        <v>ZDL</v>
      </c>
      <c r="CC33" s="65" t="str">
        <f>VLOOKUP(BA33,'PGD08'!C:E,1,0)</f>
        <v xml:space="preserve">Válvula de bloqueio de vapor da linha de ar pré filtro absoluto </v>
      </c>
      <c r="CD33" s="65"/>
      <c r="CE33" s="53" t="str">
        <f>VLOOKUP(BA33,'PGD08'!C:E,3,0)</f>
        <v>DN-8</v>
      </c>
      <c r="CF33" s="74" t="str">
        <f>VLOOKUP(BA33,'PGD08'!C:G,5,0)</f>
        <v>ZDL</v>
      </c>
      <c r="CG33" s="57" t="str">
        <f>VLOOKUP(BA33,'PGD09'!C:E,1,0)</f>
        <v xml:space="preserve">Válvula de bloqueio de vapor da linha de ar pré filtro absoluto </v>
      </c>
      <c r="CH33" s="65"/>
      <c r="CI33" s="53" t="str">
        <f>VLOOKUP(BA33,'PGD09'!C:E,3,0)</f>
        <v>DN-8</v>
      </c>
      <c r="CJ33" s="56" t="str">
        <f>VLOOKUP(BA33,'PGD09'!C:G,5,0)</f>
        <v>ZDL</v>
      </c>
      <c r="CK33" s="65" t="str">
        <f>VLOOKUP(BA33,'PGD10'!C:E,1,0)</f>
        <v xml:space="preserve">Válvula de bloqueio de vapor da linha de ar pré filtro absoluto </v>
      </c>
      <c r="CL33" s="65"/>
      <c r="CM33" s="53" t="str">
        <f>VLOOKUP(BA33,'PGD10'!C:E,3,0)</f>
        <v>DN-8</v>
      </c>
      <c r="CN33" s="74" t="str">
        <f>VLOOKUP(BA33,'PGD10'!C:G,5,0)</f>
        <v>ZDL</v>
      </c>
      <c r="CO33" s="57" t="str">
        <f>VLOOKUP(BA33,'PGD11'!C:E,1,0)</f>
        <v xml:space="preserve">Válvula de bloqueio de vapor da linha de ar pré filtro absoluto </v>
      </c>
      <c r="CP33" s="65"/>
      <c r="CQ33" s="53" t="str">
        <f>VLOOKUP(BA33,'PGD11'!C:E,3,0)</f>
        <v>DN-8</v>
      </c>
      <c r="CR33" s="56" t="str">
        <f>VLOOKUP(BA33,'PGD11'!C:G,5,0)</f>
        <v>ZDL</v>
      </c>
      <c r="CS33" s="65" t="str">
        <f>VLOOKUP(BA33,'PGD12'!C:E,1,0)</f>
        <v xml:space="preserve">Válvula de bloqueio de vapor da linha de ar pré filtro absoluto </v>
      </c>
      <c r="CT33" s="65"/>
      <c r="CU33" s="53" t="str">
        <f>VLOOKUP(BA33,'PGD12'!C:E,3,0)</f>
        <v>DN-8</v>
      </c>
      <c r="CV33" s="53" t="str">
        <f>VLOOKUP(BA33,'PGD12'!C:G,5,0)</f>
        <v>ZDL</v>
      </c>
      <c r="CW33" s="56">
        <f t="shared" si="2"/>
        <v>11</v>
      </c>
      <c r="CY33" s="52" t="s">
        <v>149</v>
      </c>
      <c r="CZ33" s="16" t="s">
        <v>86</v>
      </c>
      <c r="DA33" s="81" t="s">
        <v>5</v>
      </c>
      <c r="DB33" s="65" t="str">
        <f>VLOOKUP(CY33,'BLD03'!C:E,1,0)</f>
        <v xml:space="preserve">Entrada de vapor na linha de produto </v>
      </c>
      <c r="DC33" s="53" t="str">
        <f>VLOOKUP(CY33,'BLD03'!C:E,3,0)</f>
        <v>DN-25</v>
      </c>
      <c r="DD33" s="53" t="str">
        <f>VLOOKUP(CY33,'BLD02'!C:G,5,0)</f>
        <v>GEMÜ</v>
      </c>
      <c r="DE33" s="56">
        <f t="shared" si="3"/>
        <v>2</v>
      </c>
    </row>
    <row r="34" spans="2:109" x14ac:dyDescent="0.25">
      <c r="B34" s="14" t="s">
        <v>150</v>
      </c>
      <c r="C34" s="14" t="s">
        <v>68</v>
      </c>
      <c r="D34" s="14" t="s">
        <v>51</v>
      </c>
      <c r="E34" s="14" t="s">
        <v>5</v>
      </c>
      <c r="F34" s="83" t="str">
        <f>VLOOKUP(B34,'FTD02'!C:E,1,0)</f>
        <v>Entrada fermentador BV alimentação carbono</v>
      </c>
      <c r="G34" s="84" t="str">
        <f>VLOOKUP(C34,'FTD02'!A:E,1,0)</f>
        <v>Superior</v>
      </c>
      <c r="H34" s="84" t="str">
        <f>VLOOKUP(B34,'FTD02'!C:E,3,0)</f>
        <v>DN-40</v>
      </c>
      <c r="I34" s="82" t="str">
        <f>VLOOKUP(B34,'FTD02'!C:G,5,0)</f>
        <v>GEMÜ</v>
      </c>
      <c r="J34" s="83" t="str">
        <f>VLOOKUP(B34,'FTD03'!C:E,1,0)</f>
        <v>Entrada fermentador BV alimentação carbono</v>
      </c>
      <c r="K34" s="85" t="str">
        <f>VLOOKUP(C34,'FTD03'!A:E,1,0)</f>
        <v>Superior</v>
      </c>
      <c r="L34" s="84" t="str">
        <f>VLOOKUP(B34,'FTD03'!C:E,3,0)</f>
        <v>DN-40</v>
      </c>
      <c r="M34" s="82" t="str">
        <f>VLOOKUP(B34,'FTD03'!C:G,5,0)</f>
        <v>GEMÜ</v>
      </c>
      <c r="N34" s="83" t="str">
        <f>VLOOKUP(B34,'FTD04'!C:E,1,0)</f>
        <v>Entrada fermentador BV alimentação carbono</v>
      </c>
      <c r="O34" s="85" t="str">
        <f>VLOOKUP(C34,'FTD04'!A:E,1,0)</f>
        <v>Superior</v>
      </c>
      <c r="P34" s="84" t="str">
        <f>VLOOKUP(B34,'FTD04'!C:E,3,0)</f>
        <v>DN-40</v>
      </c>
      <c r="Q34" s="82" t="str">
        <f>VLOOKUP(B34,'FTD04'!C:G,5,0)</f>
        <v>GEMÜ</v>
      </c>
      <c r="R34" s="83" t="str">
        <f>VLOOKUP(B34,'FTD05'!C:E,1,0)</f>
        <v>Entrada fermentador BV alimentação carbono</v>
      </c>
      <c r="S34" s="85" t="str">
        <f>VLOOKUP(C34,'FTD05'!A:E,1,0)</f>
        <v>Superior</v>
      </c>
      <c r="T34" s="84" t="str">
        <f>VLOOKUP(B34,'FTD05'!C:E,3,0)</f>
        <v>DN-40</v>
      </c>
      <c r="U34" s="82" t="str">
        <f>VLOOKUP(B34,'FTD05'!C:G,5,0)</f>
        <v>GEMÜ</v>
      </c>
      <c r="V34" s="85" t="str">
        <f>VLOOKUP(B34,'FTD06'!C:E,1,0)</f>
        <v>Entrada fermentador BV alimentação carbono</v>
      </c>
      <c r="W34" s="85" t="str">
        <f>VLOOKUP(C34,'FTD06'!A:E,1,0)</f>
        <v>Superior</v>
      </c>
      <c r="X34" s="84" t="str">
        <f>VLOOKUP(B34,'FTD06'!C:E,3,0)</f>
        <v>DN-40</v>
      </c>
      <c r="Y34" s="86" t="str">
        <f>VLOOKUP(B34,'FTD06'!C:G,5,0)</f>
        <v>GEMÜ</v>
      </c>
      <c r="Z34" s="83" t="str">
        <f>VLOOKUP(B34,'FTD07'!C:E,1,0)</f>
        <v>Entrada fermentador BV alimentação carbono</v>
      </c>
      <c r="AA34" s="85" t="str">
        <f>VLOOKUP(C34,'FTD07'!A:E,1,0)</f>
        <v>Superior</v>
      </c>
      <c r="AB34" s="84" t="str">
        <f>VLOOKUP(B34,'FTD07'!C:E,3,0)</f>
        <v>DN-40</v>
      </c>
      <c r="AC34" s="82" t="str">
        <f>VLOOKUP(B34,'FTD07'!C:G,5,0)</f>
        <v>GEMÜ</v>
      </c>
      <c r="AD34" s="85" t="str">
        <f>VLOOKUP(B34,'FTD08'!C:E,1,0)</f>
        <v>Entrada fermentador BV alimentação carbono</v>
      </c>
      <c r="AE34" s="85" t="str">
        <f>VLOOKUP(C34,'FTD08'!A:E,1,0)</f>
        <v>Superior</v>
      </c>
      <c r="AF34" s="84" t="str">
        <f>VLOOKUP(B34,'FTD08'!C:E,3,0)</f>
        <v>DN-40</v>
      </c>
      <c r="AG34" s="86" t="str">
        <f>VLOOKUP(B34,'FTD08'!C:G,5,0)</f>
        <v>GEMÜ</v>
      </c>
      <c r="AH34" s="83" t="str">
        <f>VLOOKUP(B34,'FTD09'!C:E,1,0)</f>
        <v>Entrada fermentador BV alimentação carbono</v>
      </c>
      <c r="AI34" s="85" t="str">
        <f>VLOOKUP(C34,'FTD09'!A:E,1,0)</f>
        <v>Superior</v>
      </c>
      <c r="AJ34" s="84" t="str">
        <f>VLOOKUP(B34,'FTD09'!C:E,3,0)</f>
        <v>DN-40</v>
      </c>
      <c r="AK34" s="82" t="str">
        <f>VLOOKUP(B34,'FTD09'!C:G,5,0)</f>
        <v>GEMÜ</v>
      </c>
      <c r="AL34" s="85" t="str">
        <f>VLOOKUP(B34,'FTD10'!C:E,1,0)</f>
        <v>Entrada fermentador BV alimentação carbono</v>
      </c>
      <c r="AM34" s="85" t="str">
        <f>VLOOKUP(C34,'FTD10'!A:E,1,0)</f>
        <v>Superior</v>
      </c>
      <c r="AN34" s="84" t="str">
        <f>VLOOKUP(B34,'FTD10'!C:E,3,0)</f>
        <v>DN-40</v>
      </c>
      <c r="AO34" s="86" t="str">
        <f>VLOOKUP(B34,'FTD10'!C:G,5,0)</f>
        <v>GEMÜ</v>
      </c>
      <c r="AP34" s="83" t="str">
        <f>VLOOKUP(B34,'FTD11'!C:E,1,0)</f>
        <v>Entrada fermentador BV alimentação carbono</v>
      </c>
      <c r="AQ34" s="85" t="str">
        <f>VLOOKUP(C34,'FTD11'!A:E,1,0)</f>
        <v>Superior</v>
      </c>
      <c r="AR34" s="84" t="str">
        <f>VLOOKUP(B34,'FTD11'!C:E,3,0)</f>
        <v>DN-40</v>
      </c>
      <c r="AS34" s="82" t="str">
        <f>VLOOKUP(B34,'FTD11'!C:G,5,0)</f>
        <v>GEMÜ</v>
      </c>
      <c r="AT34" s="85" t="str">
        <f>VLOOKUP(B34,'FTD12'!C:E,1,0)</f>
        <v>Entrada fermentador BV alimentação carbono</v>
      </c>
      <c r="AU34" s="85" t="str">
        <f>VLOOKUP(C34,'FTD12'!A:E,1,0)</f>
        <v>Superior</v>
      </c>
      <c r="AV34" s="84" t="str">
        <f>VLOOKUP(B34,'FTD12'!C:E,3,0)</f>
        <v>DN-40</v>
      </c>
      <c r="AW34" s="84" t="str">
        <f>VLOOKUP(B34,'FTD12'!C:G,5,0)</f>
        <v>GEMÜ</v>
      </c>
      <c r="AX34" s="124">
        <f t="shared" si="0"/>
        <v>11</v>
      </c>
      <c r="AY34" s="124">
        <f t="shared" si="1"/>
        <v>11</v>
      </c>
      <c r="BA34" s="14" t="s">
        <v>151</v>
      </c>
      <c r="BB34" s="14" t="s">
        <v>68</v>
      </c>
      <c r="BC34" s="14" t="s">
        <v>51</v>
      </c>
      <c r="BD34" s="68" t="s">
        <v>5</v>
      </c>
      <c r="BE34" s="85" t="str">
        <f>VLOOKUP(BA34,'PGD02'!C:E,1,0)</f>
        <v>Válvula de bloqueio linha de ar pós filtro absoluto</v>
      </c>
      <c r="BF34" s="85"/>
      <c r="BG34" s="84" t="str">
        <f>VLOOKUP(BA34,'PGD02'!C:E,3,0)</f>
        <v>DN-40</v>
      </c>
      <c r="BH34" s="86" t="str">
        <f>VLOOKUP(BA34,'PGD02'!C:G,5,0)</f>
        <v>GEMÜ</v>
      </c>
      <c r="BI34" s="83" t="str">
        <f>VLOOKUP(BA34,'PGD03'!C:E,1,0)</f>
        <v>Válvula de bloqueio linha de ar pós filtro absoluto</v>
      </c>
      <c r="BJ34" s="85"/>
      <c r="BK34" s="84" t="str">
        <f>VLOOKUP(BA34,'PGD03'!C:E,3,0)</f>
        <v>DN-40</v>
      </c>
      <c r="BL34" s="82" t="str">
        <f>VLOOKUP(BA34,'PGD03'!C:G,5,0)</f>
        <v>GEMÜ</v>
      </c>
      <c r="BM34" s="85" t="str">
        <f>VLOOKUP(BA34,'PGD03'!C:E,1,0)</f>
        <v>Válvula de bloqueio linha de ar pós filtro absoluto</v>
      </c>
      <c r="BN34" s="85"/>
      <c r="BO34" s="84" t="str">
        <f>VLOOKUP(BA34,'PGD04'!C:E,3,0)</f>
        <v>DN-40</v>
      </c>
      <c r="BP34" s="86" t="str">
        <f>VLOOKUP(BA34,'PGD04'!C:G,5,0)</f>
        <v>GEMÜ</v>
      </c>
      <c r="BQ34" s="83" t="str">
        <f>VLOOKUP(BA34,'PGD05'!C:E,1,0)</f>
        <v>Válvula de bloqueio linha de ar pós filtro absoluto</v>
      </c>
      <c r="BR34" s="85"/>
      <c r="BS34" s="84" t="str">
        <f>VLOOKUP(BA34,'PGD05'!C:E,3,0)</f>
        <v>DN-40</v>
      </c>
      <c r="BT34" s="82" t="str">
        <f>VLOOKUP(BA34,'PGD05'!C:G,5,0)</f>
        <v>GEMÜ</v>
      </c>
      <c r="BU34" s="85" t="str">
        <f>VLOOKUP(BA34,'PGD06'!C:E,1,0)</f>
        <v>Válvula de bloqueio linha de ar pós filtro absoluto</v>
      </c>
      <c r="BV34" s="85"/>
      <c r="BW34" s="84" t="str">
        <f>VLOOKUP(BA34,'PGD06'!C:E,3,0)</f>
        <v>DN-40</v>
      </c>
      <c r="BX34" s="86" t="str">
        <f>VLOOKUP(BA34,'PGD06'!C:G,5,0)</f>
        <v>GEMÜ</v>
      </c>
      <c r="BY34" s="83" t="str">
        <f>VLOOKUP(BA34,'PGD07'!C:E,1,0)</f>
        <v>Válvula de bloqueio linha de ar pós filtro absoluto</v>
      </c>
      <c r="BZ34" s="85"/>
      <c r="CA34" s="84" t="str">
        <f>VLOOKUP(BA34,'PGD07'!C:E,3,0)</f>
        <v>DN-40</v>
      </c>
      <c r="CB34" s="82" t="str">
        <f>VLOOKUP(BA34,'PGD07'!C:G,5,0)</f>
        <v>GEMÜ</v>
      </c>
      <c r="CC34" s="85" t="str">
        <f>VLOOKUP(BA34,'PGD08'!C:E,1,0)</f>
        <v>Válvula de bloqueio linha de ar pós filtro absoluto</v>
      </c>
      <c r="CD34" s="85"/>
      <c r="CE34" s="84" t="str">
        <f>VLOOKUP(BA34,'PGD08'!C:E,3,0)</f>
        <v>DN-40</v>
      </c>
      <c r="CF34" s="86" t="str">
        <f>VLOOKUP(BA34,'PGD08'!C:G,5,0)</f>
        <v>GEMÜ</v>
      </c>
      <c r="CG34" s="83" t="str">
        <f>VLOOKUP(BA34,'PGD09'!C:E,1,0)</f>
        <v>Válvula de bloqueio linha de ar pós filtro absoluto</v>
      </c>
      <c r="CH34" s="85"/>
      <c r="CI34" s="84" t="str">
        <f>VLOOKUP(BA34,'PGD09'!C:E,3,0)</f>
        <v>DN-40</v>
      </c>
      <c r="CJ34" s="82" t="str">
        <f>VLOOKUP(BA34,'PGD09'!C:G,5,0)</f>
        <v>GEMÜ</v>
      </c>
      <c r="CK34" s="85" t="str">
        <f>VLOOKUP(BA34,'PGD10'!C:E,1,0)</f>
        <v>Válvula de bloqueio linha de ar pós filtro absoluto</v>
      </c>
      <c r="CL34" s="85"/>
      <c r="CM34" s="84" t="str">
        <f>VLOOKUP(BA34,'PGD10'!C:E,3,0)</f>
        <v>DN-40</v>
      </c>
      <c r="CN34" s="86" t="str">
        <f>VLOOKUP(BA34,'PGD10'!C:G,5,0)</f>
        <v>GEMÜ</v>
      </c>
      <c r="CO34" s="83" t="str">
        <f>VLOOKUP(BA34,'PGD11'!C:E,1,0)</f>
        <v>Válvula de bloqueio linha de ar pós filtro absoluto</v>
      </c>
      <c r="CP34" s="85"/>
      <c r="CQ34" s="84" t="str">
        <f>VLOOKUP(BA34,'PGD11'!C:E,3,0)</f>
        <v>DN-40</v>
      </c>
      <c r="CR34" s="82" t="str">
        <f>VLOOKUP(BA34,'PGD11'!C:G,5,0)</f>
        <v>GEMÜ</v>
      </c>
      <c r="CS34" s="85" t="str">
        <f>VLOOKUP(BA34,'PGD12'!C:E,1,0)</f>
        <v>Válvula de bloqueio linha de ar pós filtro absoluto</v>
      </c>
      <c r="CT34" s="85"/>
      <c r="CU34" s="84" t="str">
        <f>VLOOKUP(BA34,'PGD12'!C:E,3,0)</f>
        <v>DN-40</v>
      </c>
      <c r="CV34" s="84" t="str">
        <f>VLOOKUP(BA34,'PGD12'!C:G,5,0)</f>
        <v>GEMÜ</v>
      </c>
      <c r="CW34" s="82">
        <f t="shared" si="2"/>
        <v>11</v>
      </c>
      <c r="CY34" s="57"/>
      <c r="CZ34" s="53"/>
      <c r="DA34" s="72">
        <f>COUNTIF(DA4:DA33,"ZDL")</f>
        <v>8</v>
      </c>
      <c r="DB34" s="65"/>
      <c r="DC34" s="53"/>
      <c r="DD34" s="54">
        <f>COUNTIF(DD4:DD33,"ZDL")</f>
        <v>8</v>
      </c>
      <c r="DE34" s="56"/>
    </row>
    <row r="35" spans="2:109" ht="15.75" thickBot="1" x14ac:dyDescent="0.3">
      <c r="B35" s="7" t="s">
        <v>152</v>
      </c>
      <c r="C35" s="7" t="s">
        <v>68</v>
      </c>
      <c r="D35" s="7" t="s">
        <v>86</v>
      </c>
      <c r="E35" s="7" t="s">
        <v>5</v>
      </c>
      <c r="F35" s="57" t="str">
        <f>VLOOKUP(B35,'FTD02'!C:E,1,0)</f>
        <v>Entrada fermentador BV alimentação CIP</v>
      </c>
      <c r="G35" s="122" t="str">
        <f>VLOOKUP(C35,'FTD02'!A:E,1,0)</f>
        <v>Superior</v>
      </c>
      <c r="H35" s="53" t="str">
        <f>VLOOKUP(B35,'FTD02'!C:E,3,0)</f>
        <v>DN-25</v>
      </c>
      <c r="I35" s="56" t="str">
        <f>VLOOKUP(B35,'FTD02'!C:G,5,0)</f>
        <v>GEMÜ</v>
      </c>
      <c r="J35" s="57" t="str">
        <f>VLOOKUP(B35,'FTD03'!C:E,1,0)</f>
        <v>Entrada fermentador BV alimentação CIP</v>
      </c>
      <c r="K35" s="85" t="str">
        <f>VLOOKUP(C35,'FTD03'!A:E,1,0)</f>
        <v>Superior</v>
      </c>
      <c r="L35" s="53" t="str">
        <f>VLOOKUP(B35,'FTD03'!C:E,3,0)</f>
        <v>DN-25</v>
      </c>
      <c r="M35" s="56" t="str">
        <f>VLOOKUP(B35,'FTD03'!C:G,5,0)</f>
        <v>GEMÜ</v>
      </c>
      <c r="N35" s="57" t="str">
        <f>VLOOKUP(B35,'FTD04'!C:E,1,0)</f>
        <v>Entrada fermentador BV alimentação CIP</v>
      </c>
      <c r="O35" s="85" t="str">
        <f>VLOOKUP(C35,'FTD04'!A:E,1,0)</f>
        <v>Superior</v>
      </c>
      <c r="P35" s="53" t="str">
        <f>VLOOKUP(B35,'FTD04'!C:E,3,0)</f>
        <v>DN-25</v>
      </c>
      <c r="Q35" s="56" t="str">
        <f>VLOOKUP(B35,'FTD04'!C:G,5,0)</f>
        <v>GEMÜ</v>
      </c>
      <c r="R35" s="57" t="str">
        <f>VLOOKUP(B35,'FTD05'!C:E,1,0)</f>
        <v>Entrada fermentador BV alimentação CIP</v>
      </c>
      <c r="S35" s="85" t="str">
        <f>VLOOKUP(C35,'FTD05'!A:E,1,0)</f>
        <v>Superior</v>
      </c>
      <c r="T35" s="53" t="str">
        <f>VLOOKUP(B35,'FTD05'!C:E,3,0)</f>
        <v>DN-25</v>
      </c>
      <c r="U35" s="56" t="str">
        <f>VLOOKUP(B35,'FTD05'!C:G,5,0)</f>
        <v>GEMÜ</v>
      </c>
      <c r="V35" s="65" t="str">
        <f>VLOOKUP(B35,'FTD06'!C:E,1,0)</f>
        <v>Entrada fermentador BV alimentação CIP</v>
      </c>
      <c r="W35" s="85" t="str">
        <f>VLOOKUP(C35,'FTD06'!A:E,1,0)</f>
        <v>Superior</v>
      </c>
      <c r="X35" s="53" t="str">
        <f>VLOOKUP(B35,'FTD06'!C:E,3,0)</f>
        <v>DN-25</v>
      </c>
      <c r="Y35" s="74" t="str">
        <f>VLOOKUP(B35,'FTD06'!C:G,5,0)</f>
        <v>GEMÜ</v>
      </c>
      <c r="Z35" s="57" t="str">
        <f>VLOOKUP(B35,'FTD07'!C:E,1,0)</f>
        <v>Entrada fermentador BV alimentação CIP</v>
      </c>
      <c r="AA35" s="85" t="str">
        <f>VLOOKUP(C35,'FTD07'!A:E,1,0)</f>
        <v>Superior</v>
      </c>
      <c r="AB35" s="53" t="str">
        <f>VLOOKUP(B35,'FTD07'!C:E,3,0)</f>
        <v>DN-25</v>
      </c>
      <c r="AC35" s="56" t="str">
        <f>VLOOKUP(B35,'FTD07'!C:G,5,0)</f>
        <v>GEMÜ</v>
      </c>
      <c r="AD35" s="65" t="str">
        <f>VLOOKUP(B35,'FTD08'!C:E,1,0)</f>
        <v>Entrada fermentador BV alimentação CIP</v>
      </c>
      <c r="AE35" s="85" t="str">
        <f>VLOOKUP(C35,'FTD08'!A:E,1,0)</f>
        <v>Superior</v>
      </c>
      <c r="AF35" s="53" t="str">
        <f>VLOOKUP(B35,'FTD08'!C:E,3,0)</f>
        <v>DN-25</v>
      </c>
      <c r="AG35" s="74" t="str">
        <f>VLOOKUP(B35,'FTD08'!C:G,5,0)</f>
        <v>GEMÜ</v>
      </c>
      <c r="AH35" s="57" t="str">
        <f>VLOOKUP(B35,'FTD09'!C:E,1,0)</f>
        <v>Entrada fermentador BV alimentação CIP</v>
      </c>
      <c r="AI35" s="85" t="str">
        <f>VLOOKUP(C35,'FTD09'!A:E,1,0)</f>
        <v>Superior</v>
      </c>
      <c r="AJ35" s="53" t="str">
        <f>VLOOKUP(B35,'FTD09'!C:E,3,0)</f>
        <v>DN-25</v>
      </c>
      <c r="AK35" s="56" t="str">
        <f>VLOOKUP(B35,'FTD09'!C:G,5,0)</f>
        <v>GEMÜ</v>
      </c>
      <c r="AL35" s="65" t="str">
        <f>VLOOKUP(B35,'FTD10'!C:E,1,0)</f>
        <v>Entrada fermentador BV alimentação CIP</v>
      </c>
      <c r="AM35" s="85" t="str">
        <f>VLOOKUP(C35,'FTD10'!A:E,1,0)</f>
        <v>Superior</v>
      </c>
      <c r="AN35" s="53" t="str">
        <f>VLOOKUP(B35,'FTD10'!C:E,3,0)</f>
        <v>DN-25</v>
      </c>
      <c r="AO35" s="74" t="str">
        <f>VLOOKUP(B35,'FTD10'!C:G,5,0)</f>
        <v>GEMÜ</v>
      </c>
      <c r="AP35" s="57" t="str">
        <f>VLOOKUP(B35,'FTD11'!C:E,1,0)</f>
        <v>Entrada fermentador BV alimentação CIP</v>
      </c>
      <c r="AQ35" s="85" t="str">
        <f>VLOOKUP(C35,'FTD11'!A:E,1,0)</f>
        <v>Superior</v>
      </c>
      <c r="AR35" s="53" t="str">
        <f>VLOOKUP(B35,'FTD11'!C:E,3,0)</f>
        <v>DN-25</v>
      </c>
      <c r="AS35" s="56" t="str">
        <f>VLOOKUP(B35,'FTD11'!C:G,5,0)</f>
        <v>GEMÜ</v>
      </c>
      <c r="AT35" s="65" t="str">
        <f>VLOOKUP(B35,'FTD12'!C:E,1,0)</f>
        <v>Entrada fermentador BV alimentação CIP</v>
      </c>
      <c r="AU35" s="85" t="str">
        <f>VLOOKUP(C35,'FTD12'!A:E,1,0)</f>
        <v>Superior</v>
      </c>
      <c r="AV35" s="53" t="str">
        <f>VLOOKUP(B35,'FTD12'!C:E,3,0)</f>
        <v>DN-25</v>
      </c>
      <c r="AW35" s="53" t="str">
        <f>VLOOKUP(B35,'FTD12'!C:G,5,0)</f>
        <v>GEMÜ</v>
      </c>
      <c r="AX35" s="124">
        <f t="shared" si="0"/>
        <v>11</v>
      </c>
      <c r="AY35" s="124">
        <f t="shared" si="1"/>
        <v>11</v>
      </c>
      <c r="BA35" s="16" t="s">
        <v>153</v>
      </c>
      <c r="BB35" s="16" t="s">
        <v>68</v>
      </c>
      <c r="BC35" s="16" t="s">
        <v>86</v>
      </c>
      <c r="BD35" s="78" t="s">
        <v>5</v>
      </c>
      <c r="BE35" s="65" t="str">
        <f>VLOOKUP(BA35,'PGD02'!C:E,1,0)</f>
        <v>Vapor linha alimentação nitrogênio</v>
      </c>
      <c r="BF35" s="65"/>
      <c r="BG35" s="53" t="str">
        <f>VLOOKUP(BA35,'PGD02'!C:E,3,0)</f>
        <v>DN-25</v>
      </c>
      <c r="BH35" s="74" t="str">
        <f>VLOOKUP(BA35,'PGD02'!C:G,5,0)</f>
        <v>GEMÜ</v>
      </c>
      <c r="BI35" s="57" t="str">
        <f>VLOOKUP(BA35,'PGD03'!C:E,1,0)</f>
        <v>Vapor linha alimentação nitrogênio</v>
      </c>
      <c r="BJ35" s="65"/>
      <c r="BK35" s="53" t="str">
        <f>VLOOKUP(BA35,'PGD03'!C:E,3,0)</f>
        <v>DN-25</v>
      </c>
      <c r="BL35" s="56" t="str">
        <f>VLOOKUP(BA35,'PGD03'!C:G,5,0)</f>
        <v>GEMÜ</v>
      </c>
      <c r="BM35" s="65" t="str">
        <f>VLOOKUP(BA35,'PGD03'!C:E,1,0)</f>
        <v>Vapor linha alimentação nitrogênio</v>
      </c>
      <c r="BN35" s="65"/>
      <c r="BO35" s="53" t="str">
        <f>VLOOKUP(BA35,'PGD04'!C:E,3,0)</f>
        <v>DN-25</v>
      </c>
      <c r="BP35" s="74" t="str">
        <f>VLOOKUP(BA35,'PGD04'!C:G,5,0)</f>
        <v>GEMÜ</v>
      </c>
      <c r="BQ35" s="57" t="str">
        <f>VLOOKUP(BA35,'PGD05'!C:E,1,0)</f>
        <v>Vapor linha alimentação nitrogênio</v>
      </c>
      <c r="BR35" s="65"/>
      <c r="BS35" s="53" t="str">
        <f>VLOOKUP(BA35,'PGD05'!C:E,3,0)</f>
        <v>DN-25</v>
      </c>
      <c r="BT35" s="56" t="str">
        <f>VLOOKUP(BA35,'PGD05'!C:G,5,0)</f>
        <v>GEMÜ</v>
      </c>
      <c r="BU35" s="65" t="str">
        <f>VLOOKUP(BA35,'PGD06'!C:E,1,0)</f>
        <v>Vapor linha alimentação nitrogênio</v>
      </c>
      <c r="BV35" s="65"/>
      <c r="BW35" s="53" t="str">
        <f>VLOOKUP(BA35,'PGD06'!C:E,3,0)</f>
        <v>DN-25</v>
      </c>
      <c r="BX35" s="74" t="str">
        <f>VLOOKUP(BA35,'PGD06'!C:G,5,0)</f>
        <v>GEMÜ</v>
      </c>
      <c r="BY35" s="57" t="str">
        <f>VLOOKUP(BA35,'PGD07'!C:E,1,0)</f>
        <v>Vapor linha alimentação nitrogênio</v>
      </c>
      <c r="BZ35" s="65"/>
      <c r="CA35" s="53" t="str">
        <f>VLOOKUP(BA35,'PGD07'!C:E,3,0)</f>
        <v>DN-25</v>
      </c>
      <c r="CB35" s="56" t="str">
        <f>VLOOKUP(BA35,'PGD07'!C:G,5,0)</f>
        <v>GEMÜ</v>
      </c>
      <c r="CC35" s="65" t="str">
        <f>VLOOKUP(BA35,'PGD08'!C:E,1,0)</f>
        <v>Vapor linha alimentação nitrogênio</v>
      </c>
      <c r="CD35" s="65"/>
      <c r="CE35" s="53" t="str">
        <f>VLOOKUP(BA35,'PGD08'!C:E,3,0)</f>
        <v>DN-25</v>
      </c>
      <c r="CF35" s="74" t="str">
        <f>VLOOKUP(BA35,'PGD08'!C:G,5,0)</f>
        <v>GEMÜ</v>
      </c>
      <c r="CG35" s="57" t="str">
        <f>VLOOKUP(BA35,'PGD09'!C:E,1,0)</f>
        <v>Vapor linha alimentação nitrogênio</v>
      </c>
      <c r="CH35" s="65"/>
      <c r="CI35" s="53" t="str">
        <f>VLOOKUP(BA35,'PGD09'!C:E,3,0)</f>
        <v>DN-25</v>
      </c>
      <c r="CJ35" s="56" t="str">
        <f>VLOOKUP(BA35,'PGD09'!C:G,5,0)</f>
        <v>GEMÜ</v>
      </c>
      <c r="CK35" s="65" t="str">
        <f>VLOOKUP(BA35,'PGD10'!C:E,1,0)</f>
        <v>Vapor linha alimentação nitrogênio</v>
      </c>
      <c r="CL35" s="65"/>
      <c r="CM35" s="53" t="str">
        <f>VLOOKUP(BA35,'PGD10'!C:E,3,0)</f>
        <v>DN-25</v>
      </c>
      <c r="CN35" s="74" t="str">
        <f>VLOOKUP(BA35,'PGD10'!C:G,5,0)</f>
        <v>GEMÜ</v>
      </c>
      <c r="CO35" s="57" t="str">
        <f>VLOOKUP(BA35,'PGD11'!C:E,1,0)</f>
        <v>Vapor linha alimentação nitrogênio</v>
      </c>
      <c r="CP35" s="65"/>
      <c r="CQ35" s="53" t="str">
        <f>VLOOKUP(BA35,'PGD11'!C:E,3,0)</f>
        <v>DN-25</v>
      </c>
      <c r="CR35" s="56" t="str">
        <f>VLOOKUP(BA35,'PGD11'!C:G,5,0)</f>
        <v>GEMÜ</v>
      </c>
      <c r="CS35" s="65" t="str">
        <f>VLOOKUP(BA35,'PGD12'!C:E,1,0)</f>
        <v>Vapor linha alimentação nitrogênio</v>
      </c>
      <c r="CT35" s="65"/>
      <c r="CU35" s="53" t="str">
        <f>VLOOKUP(BA35,'PGD12'!C:E,3,0)</f>
        <v>DN-25</v>
      </c>
      <c r="CV35" s="53" t="str">
        <f>VLOOKUP(BA35,'PGD12'!C:G,5,0)</f>
        <v>GEMÜ</v>
      </c>
      <c r="CW35" s="56">
        <f t="shared" si="2"/>
        <v>11</v>
      </c>
      <c r="CY35" s="58"/>
      <c r="CZ35" s="59"/>
      <c r="DA35" s="73">
        <f>COUNTIF(DA4:DA33,"GEMÜ")</f>
        <v>22</v>
      </c>
      <c r="DB35" s="66"/>
      <c r="DC35" s="59"/>
      <c r="DD35" s="60">
        <f>COUNTIF(DD4:DD33,"GEMÜ")</f>
        <v>22</v>
      </c>
      <c r="DE35" s="61"/>
    </row>
    <row r="36" spans="2:109" x14ac:dyDescent="0.25">
      <c r="B36" s="14" t="s">
        <v>155</v>
      </c>
      <c r="C36" s="14" t="s">
        <v>68</v>
      </c>
      <c r="D36" s="14" t="s">
        <v>51</v>
      </c>
      <c r="E36" s="14" t="s">
        <v>5</v>
      </c>
      <c r="F36" s="83" t="str">
        <f>VLOOKUP(B36,'FTD02'!C:E,1,0)</f>
        <v>Entrada fermentador BV alimentação nitrogênio</v>
      </c>
      <c r="G36" s="84" t="str">
        <f>VLOOKUP(C36,'FTD02'!A:E,1,0)</f>
        <v>Superior</v>
      </c>
      <c r="H36" s="84" t="str">
        <f>VLOOKUP(B36,'FTD02'!C:E,3,0)</f>
        <v>DN-40</v>
      </c>
      <c r="I36" s="82" t="str">
        <f>VLOOKUP(B36,'FTD02'!C:G,5,0)</f>
        <v>GEMÜ</v>
      </c>
      <c r="J36" s="83" t="str">
        <f>VLOOKUP(B36,'FTD03'!C:E,1,0)</f>
        <v>Entrada fermentador BV alimentação nitrogênio</v>
      </c>
      <c r="K36" s="85" t="str">
        <f>VLOOKUP(C36,'FTD03'!A:E,1,0)</f>
        <v>Superior</v>
      </c>
      <c r="L36" s="84" t="str">
        <f>VLOOKUP(B36,'FTD03'!C:E,3,0)</f>
        <v>DN-40</v>
      </c>
      <c r="M36" s="82" t="str">
        <f>VLOOKUP(B36,'FTD03'!C:G,5,0)</f>
        <v>GEMÜ</v>
      </c>
      <c r="N36" s="83" t="str">
        <f>VLOOKUP(B36,'FTD04'!C:E,1,0)</f>
        <v>Entrada fermentador BV alimentação nitrogênio</v>
      </c>
      <c r="O36" s="85" t="str">
        <f>VLOOKUP(C36,'FTD04'!A:E,1,0)</f>
        <v>Superior</v>
      </c>
      <c r="P36" s="84" t="str">
        <f>VLOOKUP(B36,'FTD04'!C:E,3,0)</f>
        <v>DN-40</v>
      </c>
      <c r="Q36" s="82" t="str">
        <f>VLOOKUP(B36,'FTD04'!C:G,5,0)</f>
        <v>GEMÜ</v>
      </c>
      <c r="R36" s="83" t="str">
        <f>VLOOKUP(B36,'FTD05'!C:E,1,0)</f>
        <v>Entrada fermentador BV alimentação nitrogênio</v>
      </c>
      <c r="S36" s="85" t="str">
        <f>VLOOKUP(C36,'FTD05'!A:E,1,0)</f>
        <v>Superior</v>
      </c>
      <c r="T36" s="84" t="str">
        <f>VLOOKUP(B36,'FTD05'!C:E,3,0)</f>
        <v>DN-40</v>
      </c>
      <c r="U36" s="82" t="str">
        <f>VLOOKUP(B36,'FTD05'!C:G,5,0)</f>
        <v>GEMÜ</v>
      </c>
      <c r="V36" s="85" t="str">
        <f>VLOOKUP(B36,'FTD06'!C:E,1,0)</f>
        <v>Entrada fermentador BV alimentação nitrogênio</v>
      </c>
      <c r="W36" s="85" t="str">
        <f>VLOOKUP(C36,'FTD06'!A:E,1,0)</f>
        <v>Superior</v>
      </c>
      <c r="X36" s="84" t="str">
        <f>VLOOKUP(B36,'FTD06'!C:E,3,0)</f>
        <v>DN-40</v>
      </c>
      <c r="Y36" s="86" t="str">
        <f>VLOOKUP(B36,'FTD06'!C:G,5,0)</f>
        <v>GEMÜ</v>
      </c>
      <c r="Z36" s="83" t="str">
        <f>VLOOKUP(B36,'FTD07'!C:E,1,0)</f>
        <v>Entrada fermentador BV alimentação nitrogênio</v>
      </c>
      <c r="AA36" s="85" t="str">
        <f>VLOOKUP(C36,'FTD07'!A:E,1,0)</f>
        <v>Superior</v>
      </c>
      <c r="AB36" s="84" t="str">
        <f>VLOOKUP(B36,'FTD07'!C:E,3,0)</f>
        <v>DN-40</v>
      </c>
      <c r="AC36" s="82" t="str">
        <f>VLOOKUP(B36,'FTD07'!C:G,5,0)</f>
        <v>GEMÜ</v>
      </c>
      <c r="AD36" s="85" t="str">
        <f>VLOOKUP(B36,'FTD08'!C:E,1,0)</f>
        <v>Entrada fermentador BV alimentação nitrogênio</v>
      </c>
      <c r="AE36" s="85" t="str">
        <f>VLOOKUP(C36,'FTD08'!A:E,1,0)</f>
        <v>Superior</v>
      </c>
      <c r="AF36" s="84" t="str">
        <f>VLOOKUP(B36,'FTD08'!C:E,3,0)</f>
        <v>DN-40</v>
      </c>
      <c r="AG36" s="86" t="str">
        <f>VLOOKUP(B36,'FTD08'!C:G,5,0)</f>
        <v>GEMÜ</v>
      </c>
      <c r="AH36" s="83" t="str">
        <f>VLOOKUP(B36,'FTD09'!C:E,1,0)</f>
        <v>Entrada fermentador BV alimentação nitrogênio</v>
      </c>
      <c r="AI36" s="85" t="str">
        <f>VLOOKUP(C36,'FTD09'!A:E,1,0)</f>
        <v>Superior</v>
      </c>
      <c r="AJ36" s="84" t="str">
        <f>VLOOKUP(B36,'FTD09'!C:E,3,0)</f>
        <v>DN-40</v>
      </c>
      <c r="AK36" s="82" t="str">
        <f>VLOOKUP(B36,'FTD09'!C:G,5,0)</f>
        <v>GEMÜ</v>
      </c>
      <c r="AL36" s="85" t="str">
        <f>VLOOKUP(B36,'FTD10'!C:E,1,0)</f>
        <v>Entrada fermentador BV alimentação nitrogênio</v>
      </c>
      <c r="AM36" s="85" t="str">
        <f>VLOOKUP(C36,'FTD10'!A:E,1,0)</f>
        <v>Superior</v>
      </c>
      <c r="AN36" s="84" t="str">
        <f>VLOOKUP(B36,'FTD10'!C:E,3,0)</f>
        <v>DN-40</v>
      </c>
      <c r="AO36" s="86" t="str">
        <f>VLOOKUP(B36,'FTD10'!C:G,5,0)</f>
        <v>GEMÜ</v>
      </c>
      <c r="AP36" s="83" t="str">
        <f>VLOOKUP(B36,'FTD11'!C:E,1,0)</f>
        <v>Entrada fermentador BV alimentação nitrogênio</v>
      </c>
      <c r="AQ36" s="85" t="str">
        <f>VLOOKUP(C36,'FTD11'!A:E,1,0)</f>
        <v>Superior</v>
      </c>
      <c r="AR36" s="84" t="str">
        <f>VLOOKUP(B36,'FTD11'!C:E,3,0)</f>
        <v>DN-40</v>
      </c>
      <c r="AS36" s="82" t="str">
        <f>VLOOKUP(B36,'FTD11'!C:G,5,0)</f>
        <v>GEMÜ</v>
      </c>
      <c r="AT36" s="85" t="str">
        <f>VLOOKUP(B36,'FTD12'!C:E,1,0)</f>
        <v>Entrada fermentador BV alimentação nitrogênio</v>
      </c>
      <c r="AU36" s="85" t="str">
        <f>VLOOKUP(C36,'FTD12'!A:E,1,0)</f>
        <v>Superior</v>
      </c>
      <c r="AV36" s="84" t="str">
        <f>VLOOKUP(B36,'FTD12'!C:E,3,0)</f>
        <v>DN-40</v>
      </c>
      <c r="AW36" s="84" t="str">
        <f>VLOOKUP(B36,'FTD12'!C:G,5,0)</f>
        <v>GEMÜ</v>
      </c>
      <c r="AX36" s="124">
        <f t="shared" si="0"/>
        <v>11</v>
      </c>
      <c r="AY36" s="124">
        <f t="shared" si="1"/>
        <v>11</v>
      </c>
      <c r="BA36" s="14" t="s">
        <v>156</v>
      </c>
      <c r="BB36" s="14" t="s">
        <v>68</v>
      </c>
      <c r="BC36" s="14" t="s">
        <v>86</v>
      </c>
      <c r="BD36" s="68" t="s">
        <v>5</v>
      </c>
      <c r="BE36" s="85" t="str">
        <f>VLOOKUP(BA36,'PGD02'!C:E,1,0)</f>
        <v>Vapor linha de sais</v>
      </c>
      <c r="BF36" s="85"/>
      <c r="BG36" s="84" t="str">
        <f>VLOOKUP(BA36,'PGD02'!C:E,3,0)</f>
        <v>DN-25</v>
      </c>
      <c r="BH36" s="86" t="str">
        <f>VLOOKUP(BA36,'PGD02'!C:G,5,0)</f>
        <v>GEMÜ</v>
      </c>
      <c r="BI36" s="83" t="str">
        <f>VLOOKUP(BA36,'PGD03'!C:E,1,0)</f>
        <v>Vapor linha de sais</v>
      </c>
      <c r="BJ36" s="85"/>
      <c r="BK36" s="84" t="str">
        <f>VLOOKUP(BA36,'PGD03'!C:E,3,0)</f>
        <v>DN-25</v>
      </c>
      <c r="BL36" s="82" t="str">
        <f>VLOOKUP(BA36,'PGD03'!C:G,5,0)</f>
        <v>GEMÜ</v>
      </c>
      <c r="BM36" s="85" t="str">
        <f>VLOOKUP(BA36,'PGD03'!C:E,1,0)</f>
        <v>Vapor linha de sais</v>
      </c>
      <c r="BN36" s="85"/>
      <c r="BO36" s="84" t="str">
        <f>VLOOKUP(BA36,'PGD04'!C:E,3,0)</f>
        <v>DN-25</v>
      </c>
      <c r="BP36" s="86" t="str">
        <f>VLOOKUP(BA36,'PGD04'!C:G,5,0)</f>
        <v>GEMÜ</v>
      </c>
      <c r="BQ36" s="83" t="str">
        <f>VLOOKUP(BA36,'PGD05'!C:E,1,0)</f>
        <v>Vapor linha de sais</v>
      </c>
      <c r="BR36" s="85"/>
      <c r="BS36" s="84" t="str">
        <f>VLOOKUP(BA36,'PGD05'!C:E,3,0)</f>
        <v>DN-25</v>
      </c>
      <c r="BT36" s="82" t="str">
        <f>VLOOKUP(BA36,'PGD05'!C:G,5,0)</f>
        <v>GEMÜ</v>
      </c>
      <c r="BU36" s="85" t="str">
        <f>VLOOKUP(BA36,'PGD06'!C:E,1,0)</f>
        <v>Vapor linha de sais</v>
      </c>
      <c r="BV36" s="85"/>
      <c r="BW36" s="84" t="str">
        <f>VLOOKUP(BA36,'PGD06'!C:E,3,0)</f>
        <v>DN-25</v>
      </c>
      <c r="BX36" s="86" t="str">
        <f>VLOOKUP(BA36,'PGD06'!C:G,5,0)</f>
        <v>GEMÜ</v>
      </c>
      <c r="BY36" s="83" t="str">
        <f>VLOOKUP(BA36,'PGD07'!C:E,1,0)</f>
        <v>Vapor linha de sais</v>
      </c>
      <c r="BZ36" s="85"/>
      <c r="CA36" s="84" t="str">
        <f>VLOOKUP(BA36,'PGD07'!C:E,3,0)</f>
        <v>DN-25</v>
      </c>
      <c r="CB36" s="82" t="str">
        <f>VLOOKUP(BA36,'PGD07'!C:G,5,0)</f>
        <v>GEMÜ</v>
      </c>
      <c r="CC36" s="85" t="str">
        <f>VLOOKUP(BA36,'PGD08'!C:E,1,0)</f>
        <v>Vapor linha de sais</v>
      </c>
      <c r="CD36" s="85"/>
      <c r="CE36" s="84" t="str">
        <f>VLOOKUP(BA36,'PGD08'!C:E,3,0)</f>
        <v>DN-25</v>
      </c>
      <c r="CF36" s="86" t="str">
        <f>VLOOKUP(BA36,'PGD08'!C:G,5,0)</f>
        <v>GEMÜ</v>
      </c>
      <c r="CG36" s="83" t="str">
        <f>VLOOKUP(BA36,'PGD09'!C:E,1,0)</f>
        <v>Vapor linha de sais</v>
      </c>
      <c r="CH36" s="85"/>
      <c r="CI36" s="84" t="str">
        <f>VLOOKUP(BA36,'PGD09'!C:E,3,0)</f>
        <v>DN-25</v>
      </c>
      <c r="CJ36" s="82" t="str">
        <f>VLOOKUP(BA36,'PGD09'!C:G,5,0)</f>
        <v>GEMÜ</v>
      </c>
      <c r="CK36" s="85" t="str">
        <f>VLOOKUP(BA36,'PGD10'!C:E,1,0)</f>
        <v>Vapor linha de sais</v>
      </c>
      <c r="CL36" s="85"/>
      <c r="CM36" s="84" t="str">
        <f>VLOOKUP(BA36,'PGD10'!C:E,3,0)</f>
        <v>DN-25</v>
      </c>
      <c r="CN36" s="86" t="str">
        <f>VLOOKUP(BA36,'PGD10'!C:G,5,0)</f>
        <v>GEMÜ</v>
      </c>
      <c r="CO36" s="83" t="str">
        <f>VLOOKUP(BA36,'PGD11'!C:E,1,0)</f>
        <v>Vapor linha de sais</v>
      </c>
      <c r="CP36" s="85"/>
      <c r="CQ36" s="84" t="str">
        <f>VLOOKUP(BA36,'PGD11'!C:E,3,0)</f>
        <v>DN-25</v>
      </c>
      <c r="CR36" s="82" t="str">
        <f>VLOOKUP(BA36,'PGD11'!C:G,5,0)</f>
        <v>GEMÜ</v>
      </c>
      <c r="CS36" s="85" t="str">
        <f>VLOOKUP(BA36,'PGD12'!C:E,1,0)</f>
        <v>Vapor linha de sais</v>
      </c>
      <c r="CT36" s="85"/>
      <c r="CU36" s="84" t="str">
        <f>VLOOKUP(BA36,'PGD12'!C:E,3,0)</f>
        <v>DN-25</v>
      </c>
      <c r="CV36" s="84" t="str">
        <f>VLOOKUP(BA36,'PGD12'!C:G,5,0)</f>
        <v>GEMÜ</v>
      </c>
      <c r="CW36" s="82">
        <f t="shared" si="2"/>
        <v>11</v>
      </c>
    </row>
    <row r="37" spans="2:109" x14ac:dyDescent="0.25">
      <c r="B37" s="7" t="s">
        <v>158</v>
      </c>
      <c r="C37" s="7" t="s">
        <v>68</v>
      </c>
      <c r="D37" s="7" t="s">
        <v>51</v>
      </c>
      <c r="E37" s="7" t="s">
        <v>5</v>
      </c>
      <c r="F37" s="83" t="str">
        <f>VLOOKUP(B37,'FTD02'!C:E,1,0)</f>
        <v>Entrada fermentador BV alimentação sais</v>
      </c>
      <c r="G37" s="122" t="str">
        <f>VLOOKUP(C37,'FTD02'!A:E,1,0)</f>
        <v>Superior</v>
      </c>
      <c r="H37" s="84" t="str">
        <f>VLOOKUP(B37,'FTD02'!C:E,3,0)</f>
        <v>DN-40</v>
      </c>
      <c r="I37" s="82" t="str">
        <f>VLOOKUP(B37,'FTD02'!C:G,5,0)</f>
        <v>GEMÜ</v>
      </c>
      <c r="J37" s="83" t="str">
        <f>VLOOKUP(B37,'FTD03'!C:E,1,0)</f>
        <v>Entrada fermentador BV alimentação sais</v>
      </c>
      <c r="K37" s="85" t="str">
        <f>VLOOKUP(C37,'FTD03'!A:E,1,0)</f>
        <v>Superior</v>
      </c>
      <c r="L37" s="84" t="str">
        <f>VLOOKUP(B37,'FTD03'!C:E,3,0)</f>
        <v>DN-40</v>
      </c>
      <c r="M37" s="82" t="str">
        <f>VLOOKUP(B37,'FTD03'!C:G,5,0)</f>
        <v>GEMÜ</v>
      </c>
      <c r="N37" s="83" t="str">
        <f>VLOOKUP(B37,'FTD04'!C:E,1,0)</f>
        <v>Entrada fermentador BV alimentação sais</v>
      </c>
      <c r="O37" s="85" t="str">
        <f>VLOOKUP(C37,'FTD04'!A:E,1,0)</f>
        <v>Superior</v>
      </c>
      <c r="P37" s="84" t="str">
        <f>VLOOKUP(B37,'FTD04'!C:E,3,0)</f>
        <v>DN-40</v>
      </c>
      <c r="Q37" s="82" t="str">
        <f>VLOOKUP(B37,'FTD04'!C:G,5,0)</f>
        <v>GEMÜ</v>
      </c>
      <c r="R37" s="83" t="str">
        <f>VLOOKUP(B37,'FTD05'!C:E,1,0)</f>
        <v>Entrada fermentador BV alimentação sais</v>
      </c>
      <c r="S37" s="85" t="str">
        <f>VLOOKUP(C37,'FTD05'!A:E,1,0)</f>
        <v>Superior</v>
      </c>
      <c r="T37" s="84" t="str">
        <f>VLOOKUP(B37,'FTD05'!C:E,3,0)</f>
        <v>DN-40</v>
      </c>
      <c r="U37" s="82" t="str">
        <f>VLOOKUP(B37,'FTD05'!C:G,5,0)</f>
        <v>GEMÜ</v>
      </c>
      <c r="V37" s="85" t="str">
        <f>VLOOKUP(B37,'FTD06'!C:E,1,0)</f>
        <v>Entrada fermentador BV alimentação sais</v>
      </c>
      <c r="W37" s="85" t="str">
        <f>VLOOKUP(C37,'FTD06'!A:E,1,0)</f>
        <v>Superior</v>
      </c>
      <c r="X37" s="84" t="str">
        <f>VLOOKUP(B37,'FTD06'!C:E,3,0)</f>
        <v>DN-40</v>
      </c>
      <c r="Y37" s="86" t="str">
        <f>VLOOKUP(B37,'FTD06'!C:G,5,0)</f>
        <v>GEMÜ</v>
      </c>
      <c r="Z37" s="83" t="str">
        <f>VLOOKUP(B37,'FTD07'!C:E,1,0)</f>
        <v>Entrada fermentador BV alimentação sais</v>
      </c>
      <c r="AA37" s="85" t="str">
        <f>VLOOKUP(C37,'FTD07'!A:E,1,0)</f>
        <v>Superior</v>
      </c>
      <c r="AB37" s="84" t="str">
        <f>VLOOKUP(B37,'FTD07'!C:E,3,0)</f>
        <v>DN-40</v>
      </c>
      <c r="AC37" s="82" t="str">
        <f>VLOOKUP(B37,'FTD07'!C:G,5,0)</f>
        <v>GEMÜ</v>
      </c>
      <c r="AD37" s="85" t="str">
        <f>VLOOKUP(B37,'FTD08'!C:E,1,0)</f>
        <v>Entrada fermentador BV alimentação sais</v>
      </c>
      <c r="AE37" s="85" t="str">
        <f>VLOOKUP(C37,'FTD08'!A:E,1,0)</f>
        <v>Superior</v>
      </c>
      <c r="AF37" s="84" t="str">
        <f>VLOOKUP(B37,'FTD08'!C:E,3,0)</f>
        <v>DN-40</v>
      </c>
      <c r="AG37" s="86" t="str">
        <f>VLOOKUP(B37,'FTD08'!C:G,5,0)</f>
        <v>GEMÜ</v>
      </c>
      <c r="AH37" s="83" t="str">
        <f>VLOOKUP(B37,'FTD09'!C:E,1,0)</f>
        <v>Entrada fermentador BV alimentação sais</v>
      </c>
      <c r="AI37" s="85" t="str">
        <f>VLOOKUP(C37,'FTD09'!A:E,1,0)</f>
        <v>Superior</v>
      </c>
      <c r="AJ37" s="84" t="str">
        <f>VLOOKUP(B37,'FTD09'!C:E,3,0)</f>
        <v>DN-40</v>
      </c>
      <c r="AK37" s="82" t="str">
        <f>VLOOKUP(B37,'FTD09'!C:G,5,0)</f>
        <v>GEMÜ</v>
      </c>
      <c r="AL37" s="85" t="str">
        <f>VLOOKUP(B37,'FTD10'!C:E,1,0)</f>
        <v>Entrada fermentador BV alimentação sais</v>
      </c>
      <c r="AM37" s="85" t="str">
        <f>VLOOKUP(C37,'FTD10'!A:E,1,0)</f>
        <v>Superior</v>
      </c>
      <c r="AN37" s="84" t="str">
        <f>VLOOKUP(B37,'FTD10'!C:E,3,0)</f>
        <v>DN-40</v>
      </c>
      <c r="AO37" s="86" t="str">
        <f>VLOOKUP(B37,'FTD10'!C:G,5,0)</f>
        <v>GEMÜ</v>
      </c>
      <c r="AP37" s="83" t="str">
        <f>VLOOKUP(B37,'FTD11'!C:E,1,0)</f>
        <v>Entrada fermentador BV alimentação sais</v>
      </c>
      <c r="AQ37" s="85" t="str">
        <f>VLOOKUP(C37,'FTD11'!A:E,1,0)</f>
        <v>Superior</v>
      </c>
      <c r="AR37" s="84" t="str">
        <f>VLOOKUP(B37,'FTD11'!C:E,3,0)</f>
        <v>DN-40</v>
      </c>
      <c r="AS37" s="82" t="str">
        <f>VLOOKUP(B37,'FTD11'!C:G,5,0)</f>
        <v>GEMÜ</v>
      </c>
      <c r="AT37" s="85" t="str">
        <f>VLOOKUP(B37,'FTD12'!C:E,1,0)</f>
        <v>Entrada fermentador BV alimentação sais</v>
      </c>
      <c r="AU37" s="85" t="str">
        <f>VLOOKUP(C37,'FTD12'!A:E,1,0)</f>
        <v>Superior</v>
      </c>
      <c r="AV37" s="84" t="str">
        <f>VLOOKUP(B37,'FTD12'!C:E,3,0)</f>
        <v>DN-40</v>
      </c>
      <c r="AW37" s="53" t="str">
        <f>VLOOKUP(B37,'FTD12'!C:G,5,0)</f>
        <v>GEMÜ</v>
      </c>
      <c r="AX37" s="124">
        <f t="shared" si="0"/>
        <v>11</v>
      </c>
      <c r="AY37" s="124">
        <f t="shared" si="1"/>
        <v>11</v>
      </c>
      <c r="BA37" s="16" t="s">
        <v>159</v>
      </c>
      <c r="BB37" s="16" t="s">
        <v>68</v>
      </c>
      <c r="BC37" s="16" t="s">
        <v>86</v>
      </c>
      <c r="BD37" s="78" t="s">
        <v>5</v>
      </c>
      <c r="BE37" s="65" t="str">
        <f>VLOOKUP(BA37,'PGD02'!C:E,1,0)</f>
        <v>Vapor linha transferência</v>
      </c>
      <c r="BF37" s="65"/>
      <c r="BG37" s="53" t="str">
        <f>VLOOKUP(BA37,'PGD02'!C:E,3,0)</f>
        <v>DN-25</v>
      </c>
      <c r="BH37" s="74" t="str">
        <f>VLOOKUP(BA37,'PGD02'!C:G,5,0)</f>
        <v>GEMÜ</v>
      </c>
      <c r="BI37" s="57" t="str">
        <f>VLOOKUP(BA37,'PGD03'!C:E,1,0)</f>
        <v>Vapor linha transferência</v>
      </c>
      <c r="BJ37" s="65"/>
      <c r="BK37" s="53" t="str">
        <f>VLOOKUP(BA37,'PGD03'!C:E,3,0)</f>
        <v>DN-25</v>
      </c>
      <c r="BL37" s="56" t="str">
        <f>VLOOKUP(BA37,'PGD03'!C:G,5,0)</f>
        <v>GEMÜ</v>
      </c>
      <c r="BM37" s="65" t="str">
        <f>VLOOKUP(BA37,'PGD03'!C:E,1,0)</f>
        <v>Vapor linha transferência</v>
      </c>
      <c r="BN37" s="65"/>
      <c r="BO37" s="53" t="str">
        <f>VLOOKUP(BA37,'PGD04'!C:E,3,0)</f>
        <v>DN-25</v>
      </c>
      <c r="BP37" s="74" t="str">
        <f>VLOOKUP(BA37,'PGD04'!C:G,5,0)</f>
        <v>GEMÜ</v>
      </c>
      <c r="BQ37" s="57" t="str">
        <f>VLOOKUP(BA37,'PGD05'!C:E,1,0)</f>
        <v>Vapor linha transferência</v>
      </c>
      <c r="BR37" s="65"/>
      <c r="BS37" s="53" t="str">
        <f>VLOOKUP(BA37,'PGD05'!C:E,3,0)</f>
        <v>DN-25</v>
      </c>
      <c r="BT37" s="56" t="str">
        <f>VLOOKUP(BA37,'PGD05'!C:G,5,0)</f>
        <v>GEMÜ</v>
      </c>
      <c r="BU37" s="65" t="str">
        <f>VLOOKUP(BA37,'PGD06'!C:E,1,0)</f>
        <v>Vapor linha transferência</v>
      </c>
      <c r="BV37" s="65"/>
      <c r="BW37" s="53" t="str">
        <f>VLOOKUP(BA37,'PGD06'!C:E,3,0)</f>
        <v>DN-25</v>
      </c>
      <c r="BX37" s="74" t="str">
        <f>VLOOKUP(BA37,'PGD06'!C:G,5,0)</f>
        <v>GEMÜ</v>
      </c>
      <c r="BY37" s="57" t="str">
        <f>VLOOKUP(BA37,'PGD07'!C:E,1,0)</f>
        <v>Vapor linha transferência</v>
      </c>
      <c r="BZ37" s="65"/>
      <c r="CA37" s="53" t="str">
        <f>VLOOKUP(BA37,'PGD07'!C:E,3,0)</f>
        <v>DN-25</v>
      </c>
      <c r="CB37" s="56" t="str">
        <f>VLOOKUP(BA37,'PGD07'!C:G,5,0)</f>
        <v>GEMÜ</v>
      </c>
      <c r="CC37" s="65" t="str">
        <f>VLOOKUP(BA37,'PGD08'!C:E,1,0)</f>
        <v>Vapor linha transferência</v>
      </c>
      <c r="CD37" s="65"/>
      <c r="CE37" s="53" t="str">
        <f>VLOOKUP(BA37,'PGD08'!C:E,3,0)</f>
        <v>DN-25</v>
      </c>
      <c r="CF37" s="74" t="str">
        <f>VLOOKUP(BA37,'PGD08'!C:G,5,0)</f>
        <v>GEMÜ</v>
      </c>
      <c r="CG37" s="57" t="str">
        <f>VLOOKUP(BA37,'PGD09'!C:E,1,0)</f>
        <v>Vapor linha transferência</v>
      </c>
      <c r="CH37" s="65"/>
      <c r="CI37" s="53" t="str">
        <f>VLOOKUP(BA37,'PGD09'!C:E,3,0)</f>
        <v>DN-25</v>
      </c>
      <c r="CJ37" s="56" t="str">
        <f>VLOOKUP(BA37,'PGD09'!C:G,5,0)</f>
        <v>GEMÜ</v>
      </c>
      <c r="CK37" s="65" t="str">
        <f>VLOOKUP(BA37,'PGD10'!C:E,1,0)</f>
        <v>Vapor linha transferência</v>
      </c>
      <c r="CL37" s="65"/>
      <c r="CM37" s="53" t="str">
        <f>VLOOKUP(BA37,'PGD10'!C:E,3,0)</f>
        <v>DN-25</v>
      </c>
      <c r="CN37" s="74" t="str">
        <f>VLOOKUP(BA37,'PGD10'!C:G,5,0)</f>
        <v>GEMÜ</v>
      </c>
      <c r="CO37" s="57" t="str">
        <f>VLOOKUP(BA37,'PGD11'!C:E,1,0)</f>
        <v>Vapor linha transferência</v>
      </c>
      <c r="CP37" s="65"/>
      <c r="CQ37" s="53" t="str">
        <f>VLOOKUP(BA37,'PGD11'!C:E,3,0)</f>
        <v>DN-25</v>
      </c>
      <c r="CR37" s="56" t="str">
        <f>VLOOKUP(BA37,'PGD11'!C:G,5,0)</f>
        <v>GEMÜ</v>
      </c>
      <c r="CS37" s="65" t="str">
        <f>VLOOKUP(BA37,'PGD12'!C:E,1,0)</f>
        <v>Vapor linha transferência</v>
      </c>
      <c r="CT37" s="65"/>
      <c r="CU37" s="53" t="str">
        <f>VLOOKUP(BA37,'PGD12'!C:E,3,0)</f>
        <v>DN-25</v>
      </c>
      <c r="CV37" s="53" t="str">
        <f>VLOOKUP(BA37,'PGD12'!C:G,5,0)</f>
        <v>GEMÜ</v>
      </c>
      <c r="CW37" s="56">
        <f t="shared" si="2"/>
        <v>11</v>
      </c>
    </row>
    <row r="38" spans="2:109" x14ac:dyDescent="0.25">
      <c r="B38" s="14" t="s">
        <v>161</v>
      </c>
      <c r="C38" s="14" t="s">
        <v>68</v>
      </c>
      <c r="D38" s="14" t="s">
        <v>51</v>
      </c>
      <c r="E38" s="14" t="s">
        <v>5</v>
      </c>
      <c r="F38" s="57" t="str">
        <f>VLOOKUP(B38,'FTD02'!C:E,1,0)</f>
        <v>Entrada fermentador BV transferência do propagador</v>
      </c>
      <c r="G38" s="84" t="str">
        <f>VLOOKUP(C38,'FTD02'!A:E,1,0)</f>
        <v>Superior</v>
      </c>
      <c r="H38" s="53" t="str">
        <f>VLOOKUP(B38,'FTD02'!C:E,3,0)</f>
        <v>DN-40</v>
      </c>
      <c r="I38" s="56" t="str">
        <f>VLOOKUP(B38,'FTD02'!C:G,5,0)</f>
        <v>GEMÜ</v>
      </c>
      <c r="J38" s="57" t="str">
        <f>VLOOKUP(B38,'FTD03'!C:E,1,0)</f>
        <v>Entrada fermentador BV transferência do propagador</v>
      </c>
      <c r="K38" s="85" t="str">
        <f>VLOOKUP(C38,'FTD03'!A:E,1,0)</f>
        <v>Superior</v>
      </c>
      <c r="L38" s="53" t="str">
        <f>VLOOKUP(B38,'FTD03'!C:E,3,0)</f>
        <v>DN-40</v>
      </c>
      <c r="M38" s="56" t="str">
        <f>VLOOKUP(B38,'FTD03'!C:G,5,0)</f>
        <v>GEMÜ</v>
      </c>
      <c r="N38" s="57" t="str">
        <f>VLOOKUP(B38,'FTD04'!C:E,1,0)</f>
        <v>Entrada fermentador BV transferência do propagador</v>
      </c>
      <c r="O38" s="85" t="str">
        <f>VLOOKUP(C38,'FTD04'!A:E,1,0)</f>
        <v>Superior</v>
      </c>
      <c r="P38" s="53" t="str">
        <f>VLOOKUP(B38,'FTD04'!C:E,3,0)</f>
        <v>DN-40</v>
      </c>
      <c r="Q38" s="56" t="str">
        <f>VLOOKUP(B38,'FTD04'!C:G,5,0)</f>
        <v>GEMÜ</v>
      </c>
      <c r="R38" s="57" t="str">
        <f>VLOOKUP(B38,'FTD05'!C:E,1,0)</f>
        <v>Entrada fermentador BV transferência do propagador</v>
      </c>
      <c r="S38" s="85" t="str">
        <f>VLOOKUP(C38,'FTD05'!A:E,1,0)</f>
        <v>Superior</v>
      </c>
      <c r="T38" s="53" t="str">
        <f>VLOOKUP(B38,'FTD05'!C:E,3,0)</f>
        <v>DN-40</v>
      </c>
      <c r="U38" s="56" t="str">
        <f>VLOOKUP(B38,'FTD05'!C:G,5,0)</f>
        <v>GEMÜ</v>
      </c>
      <c r="V38" s="65" t="str">
        <f>VLOOKUP(B38,'FTD06'!C:E,1,0)</f>
        <v>Entrada fermentador BV transferência do propagador</v>
      </c>
      <c r="W38" s="85" t="str">
        <f>VLOOKUP(C38,'FTD06'!A:E,1,0)</f>
        <v>Superior</v>
      </c>
      <c r="X38" s="53" t="str">
        <f>VLOOKUP(B38,'FTD06'!C:E,3,0)</f>
        <v>DN-40</v>
      </c>
      <c r="Y38" s="74" t="str">
        <f>VLOOKUP(B38,'FTD06'!C:G,5,0)</f>
        <v>GEMÜ</v>
      </c>
      <c r="Z38" s="57" t="str">
        <f>VLOOKUP(B38,'FTD07'!C:E,1,0)</f>
        <v>Entrada fermentador BV transferência do propagador</v>
      </c>
      <c r="AA38" s="85" t="str">
        <f>VLOOKUP(C38,'FTD07'!A:E,1,0)</f>
        <v>Superior</v>
      </c>
      <c r="AB38" s="53" t="str">
        <f>VLOOKUP(B38,'FTD07'!C:E,3,0)</f>
        <v>DN-40</v>
      </c>
      <c r="AC38" s="56" t="str">
        <f>VLOOKUP(B38,'FTD07'!C:G,5,0)</f>
        <v>GEMÜ</v>
      </c>
      <c r="AD38" s="65" t="str">
        <f>VLOOKUP(B38,'FTD08'!C:E,1,0)</f>
        <v>Entrada fermentador BV transferência do propagador</v>
      </c>
      <c r="AE38" s="85" t="str">
        <f>VLOOKUP(C38,'FTD08'!A:E,1,0)</f>
        <v>Superior</v>
      </c>
      <c r="AF38" s="53" t="str">
        <f>VLOOKUP(B38,'FTD08'!C:E,3,0)</f>
        <v>DN-40</v>
      </c>
      <c r="AG38" s="74" t="str">
        <f>VLOOKUP(B38,'FTD08'!C:G,5,0)</f>
        <v>GEMÜ</v>
      </c>
      <c r="AH38" s="57" t="str">
        <f>VLOOKUP(B38,'FTD09'!C:E,1,0)</f>
        <v>Entrada fermentador BV transferência do propagador</v>
      </c>
      <c r="AI38" s="85" t="str">
        <f>VLOOKUP(C38,'FTD09'!A:E,1,0)</f>
        <v>Superior</v>
      </c>
      <c r="AJ38" s="53" t="str">
        <f>VLOOKUP(B38,'FTD09'!C:E,3,0)</f>
        <v>DN-40</v>
      </c>
      <c r="AK38" s="56" t="str">
        <f>VLOOKUP(B38,'FTD09'!C:G,5,0)</f>
        <v>GEMÜ</v>
      </c>
      <c r="AL38" s="65" t="str">
        <f>VLOOKUP(B38,'FTD10'!C:E,1,0)</f>
        <v>Entrada fermentador BV transferência do propagador</v>
      </c>
      <c r="AM38" s="85" t="str">
        <f>VLOOKUP(C38,'FTD10'!A:E,1,0)</f>
        <v>Superior</v>
      </c>
      <c r="AN38" s="53" t="str">
        <f>VLOOKUP(B38,'FTD10'!C:E,3,0)</f>
        <v>DN-40</v>
      </c>
      <c r="AO38" s="74" t="str">
        <f>VLOOKUP(B38,'FTD10'!C:G,5,0)</f>
        <v>GEMÜ</v>
      </c>
      <c r="AP38" s="57" t="str">
        <f>VLOOKUP(B38,'FTD11'!C:E,1,0)</f>
        <v>Entrada fermentador BV transferência do propagador</v>
      </c>
      <c r="AQ38" s="85" t="str">
        <f>VLOOKUP(C38,'FTD11'!A:E,1,0)</f>
        <v>Superior</v>
      </c>
      <c r="AR38" s="53" t="str">
        <f>VLOOKUP(B38,'FTD11'!C:E,3,0)</f>
        <v>DN-40</v>
      </c>
      <c r="AS38" s="56" t="str">
        <f>VLOOKUP(B38,'FTD11'!C:G,5,0)</f>
        <v>GEMÜ</v>
      </c>
      <c r="AT38" s="65" t="str">
        <f>VLOOKUP(B38,'FTD12'!C:E,1,0)</f>
        <v>Entrada fermentador BV transferência do propagador</v>
      </c>
      <c r="AU38" s="85" t="str">
        <f>VLOOKUP(C38,'FTD12'!A:E,1,0)</f>
        <v>Superior</v>
      </c>
      <c r="AV38" s="53" t="str">
        <f>VLOOKUP(B38,'FTD12'!C:E,3,0)</f>
        <v>DN-40</v>
      </c>
      <c r="AW38" s="84" t="str">
        <f>VLOOKUP(B38,'FTD12'!C:G,5,0)</f>
        <v>GEMÜ</v>
      </c>
      <c r="AX38" s="124">
        <f t="shared" si="0"/>
        <v>11</v>
      </c>
      <c r="AY38" s="124">
        <f t="shared" si="1"/>
        <v>11</v>
      </c>
      <c r="BA38" s="14" t="s">
        <v>162</v>
      </c>
      <c r="BB38" s="14" t="s">
        <v>68</v>
      </c>
      <c r="BC38" s="14" t="s">
        <v>86</v>
      </c>
      <c r="BD38" s="68" t="s">
        <v>5</v>
      </c>
      <c r="BE38" s="85" t="str">
        <f>VLOOKUP(BA38,'PGD02'!C:E,1,0)</f>
        <v xml:space="preserve">Entrada bloco BV alimentação CIP </v>
      </c>
      <c r="BF38" s="85"/>
      <c r="BG38" s="84" t="str">
        <f>VLOOKUP(BA38,'PGD02'!C:E,3,0)</f>
        <v>DN-25</v>
      </c>
      <c r="BH38" s="86" t="str">
        <f>VLOOKUP(BA38,'PGD02'!C:G,5,0)</f>
        <v>GEMÜ</v>
      </c>
      <c r="BI38" s="83" t="str">
        <f>VLOOKUP(BA38,'PGD03'!C:E,1,0)</f>
        <v xml:space="preserve">Entrada bloco BV alimentação CIP </v>
      </c>
      <c r="BJ38" s="85"/>
      <c r="BK38" s="84" t="str">
        <f>VLOOKUP(BA38,'PGD03'!C:E,3,0)</f>
        <v>DN-25</v>
      </c>
      <c r="BL38" s="82" t="str">
        <f>VLOOKUP(BA38,'PGD03'!C:G,5,0)</f>
        <v>GEMÜ</v>
      </c>
      <c r="BM38" s="85" t="str">
        <f>VLOOKUP(BA38,'PGD03'!C:E,1,0)</f>
        <v xml:space="preserve">Entrada bloco BV alimentação CIP </v>
      </c>
      <c r="BN38" s="85"/>
      <c r="BO38" s="84" t="str">
        <f>VLOOKUP(BA38,'PGD04'!C:E,3,0)</f>
        <v>DN-25</v>
      </c>
      <c r="BP38" s="86" t="str">
        <f>VLOOKUP(BA38,'PGD04'!C:G,5,0)</f>
        <v>GEMÜ</v>
      </c>
      <c r="BQ38" s="83" t="str">
        <f>VLOOKUP(BA38,'PGD05'!C:E,1,0)</f>
        <v xml:space="preserve">Entrada bloco BV alimentação CIP </v>
      </c>
      <c r="BR38" s="85"/>
      <c r="BS38" s="84" t="str">
        <f>VLOOKUP(BA38,'PGD05'!C:E,3,0)</f>
        <v>DN-25</v>
      </c>
      <c r="BT38" s="82" t="str">
        <f>VLOOKUP(BA38,'PGD05'!C:G,5,0)</f>
        <v>GEMÜ</v>
      </c>
      <c r="BU38" s="85" t="str">
        <f>VLOOKUP(BA38,'PGD06'!C:E,1,0)</f>
        <v xml:space="preserve">Entrada bloco BV alimentação CIP </v>
      </c>
      <c r="BV38" s="85"/>
      <c r="BW38" s="84" t="str">
        <f>VLOOKUP(BA38,'PGD06'!C:E,3,0)</f>
        <v>DN-25</v>
      </c>
      <c r="BX38" s="86" t="str">
        <f>VLOOKUP(BA38,'PGD06'!C:G,5,0)</f>
        <v>GEMÜ</v>
      </c>
      <c r="BY38" s="83" t="str">
        <f>VLOOKUP(BA38,'PGD07'!C:E,1,0)</f>
        <v xml:space="preserve">Entrada bloco BV alimentação CIP </v>
      </c>
      <c r="BZ38" s="85"/>
      <c r="CA38" s="84" t="str">
        <f>VLOOKUP(BA38,'PGD07'!C:E,3,0)</f>
        <v>DN-25</v>
      </c>
      <c r="CB38" s="82" t="str">
        <f>VLOOKUP(BA38,'PGD07'!C:G,5,0)</f>
        <v>GEMÜ</v>
      </c>
      <c r="CC38" s="85" t="str">
        <f>VLOOKUP(BA38,'PGD08'!C:E,1,0)</f>
        <v xml:space="preserve">Entrada bloco BV alimentação CIP </v>
      </c>
      <c r="CD38" s="85"/>
      <c r="CE38" s="84" t="str">
        <f>VLOOKUP(BA38,'PGD08'!C:E,3,0)</f>
        <v>DN-25</v>
      </c>
      <c r="CF38" s="86" t="str">
        <f>VLOOKUP(BA38,'PGD08'!C:G,5,0)</f>
        <v>GEMÜ</v>
      </c>
      <c r="CG38" s="83" t="str">
        <f>VLOOKUP(BA38,'PGD09'!C:E,1,0)</f>
        <v xml:space="preserve">Entrada bloco BV alimentação CIP </v>
      </c>
      <c r="CH38" s="85"/>
      <c r="CI38" s="84" t="str">
        <f>VLOOKUP(BA38,'PGD09'!C:E,3,0)</f>
        <v>DN-25</v>
      </c>
      <c r="CJ38" s="82" t="str">
        <f>VLOOKUP(BA38,'PGD09'!C:G,5,0)</f>
        <v>GEMÜ</v>
      </c>
      <c r="CK38" s="85" t="str">
        <f>VLOOKUP(BA38,'PGD10'!C:E,1,0)</f>
        <v xml:space="preserve">Entrada bloco BV alimentação CIP </v>
      </c>
      <c r="CL38" s="85"/>
      <c r="CM38" s="84" t="str">
        <f>VLOOKUP(BA38,'PGD10'!C:E,3,0)</f>
        <v>DN-25</v>
      </c>
      <c r="CN38" s="86" t="str">
        <f>VLOOKUP(BA38,'PGD10'!C:G,5,0)</f>
        <v>GEMÜ</v>
      </c>
      <c r="CO38" s="83" t="str">
        <f>VLOOKUP(BA38,'PGD11'!C:E,1,0)</f>
        <v xml:space="preserve">Entrada bloco BV alimentação CIP </v>
      </c>
      <c r="CP38" s="85"/>
      <c r="CQ38" s="84" t="str">
        <f>VLOOKUP(BA38,'PGD11'!C:E,3,0)</f>
        <v>DN-25</v>
      </c>
      <c r="CR38" s="82" t="str">
        <f>VLOOKUP(BA38,'PGD11'!C:G,5,0)</f>
        <v>GEMÜ</v>
      </c>
      <c r="CS38" s="85" t="str">
        <f>VLOOKUP(BA38,'PGD12'!C:E,1,0)</f>
        <v xml:space="preserve">Entrada bloco BV alimentação CIP </v>
      </c>
      <c r="CT38" s="85"/>
      <c r="CU38" s="84" t="str">
        <f>VLOOKUP(BA38,'PGD12'!C:E,3,0)</f>
        <v>DN-25</v>
      </c>
      <c r="CV38" s="84" t="str">
        <f>VLOOKUP(BA38,'PGD12'!C:G,5,0)</f>
        <v>GEMÜ</v>
      </c>
      <c r="CW38" s="82">
        <f t="shared" si="2"/>
        <v>11</v>
      </c>
    </row>
    <row r="39" spans="2:109" x14ac:dyDescent="0.25">
      <c r="B39" s="7" t="s">
        <v>105</v>
      </c>
      <c r="C39" s="7" t="s">
        <v>68</v>
      </c>
      <c r="D39" s="7" t="s">
        <v>48</v>
      </c>
      <c r="E39" s="7" t="s">
        <v>6</v>
      </c>
      <c r="F39" s="57" t="str">
        <f>VLOOKUP(B39,'FTD02'!C:E,1,0)</f>
        <v xml:space="preserve">Válvula de bloqueio vapor linha de ar pré filtro absoluto </v>
      </c>
      <c r="G39" s="122" t="str">
        <f>VLOOKUP(C39,'FTD02'!A:E,1,0)</f>
        <v>Superior</v>
      </c>
      <c r="H39" s="53" t="str">
        <f>VLOOKUP(B39,'FTD02'!C:E,3,0)</f>
        <v>DN-8</v>
      </c>
      <c r="I39" s="56" t="str">
        <f>VLOOKUP(B39,'FTD02'!C:G,5,0)</f>
        <v>ZDL</v>
      </c>
      <c r="J39" s="57" t="str">
        <f>VLOOKUP(B39,'FTD03'!C:E,1,0)</f>
        <v xml:space="preserve">Válvula de bloqueio vapor linha de ar pré filtro absoluto </v>
      </c>
      <c r="K39" s="85" t="str">
        <f>VLOOKUP(C39,'FTD03'!A:E,1,0)</f>
        <v>Superior</v>
      </c>
      <c r="L39" s="53" t="str">
        <f>VLOOKUP(B39,'FTD03'!C:E,3,0)</f>
        <v>DN-8</v>
      </c>
      <c r="M39" s="56" t="str">
        <f>VLOOKUP(B39,'FTD03'!C:G,5,0)</f>
        <v>ZDL</v>
      </c>
      <c r="N39" s="57" t="str">
        <f>VLOOKUP(B39,'FTD04'!C:E,1,0)</f>
        <v xml:space="preserve">Válvula de bloqueio vapor linha de ar pré filtro absoluto </v>
      </c>
      <c r="O39" s="85" t="str">
        <f>VLOOKUP(C39,'FTD04'!A:E,1,0)</f>
        <v>Superior</v>
      </c>
      <c r="P39" s="53" t="str">
        <f>VLOOKUP(B39,'FTD04'!C:E,3,0)</f>
        <v>DN-8</v>
      </c>
      <c r="Q39" s="56" t="str">
        <f>VLOOKUP(B39,'FTD04'!C:G,5,0)</f>
        <v>ZDL</v>
      </c>
      <c r="R39" s="57" t="str">
        <f>VLOOKUP(B39,'FTD05'!C:E,1,0)</f>
        <v xml:space="preserve">Válvula de bloqueio vapor linha de ar pré filtro absoluto </v>
      </c>
      <c r="S39" s="85" t="str">
        <f>VLOOKUP(C39,'FTD05'!A:E,1,0)</f>
        <v>Superior</v>
      </c>
      <c r="T39" s="53" t="str">
        <f>VLOOKUP(B39,'FTD05'!C:E,3,0)</f>
        <v>DN-8</v>
      </c>
      <c r="U39" s="56" t="str">
        <f>VLOOKUP(B39,'FTD05'!C:G,5,0)</f>
        <v>ZDL</v>
      </c>
      <c r="V39" s="65" t="str">
        <f>VLOOKUP(B39,'FTD06'!C:E,1,0)</f>
        <v xml:space="preserve">Válvula de bloqueio vapor linha de ar pré filtro absoluto </v>
      </c>
      <c r="W39" s="85" t="str">
        <f>VLOOKUP(C39,'FTD06'!A:E,1,0)</f>
        <v>Superior</v>
      </c>
      <c r="X39" s="53" t="str">
        <f>VLOOKUP(B39,'FTD06'!C:E,3,0)</f>
        <v>DN-8</v>
      </c>
      <c r="Y39" s="74" t="str">
        <f>VLOOKUP(B39,'FTD06'!C:G,5,0)</f>
        <v>GEMÜ</v>
      </c>
      <c r="Z39" s="57" t="str">
        <f>VLOOKUP(B39,'FTD07'!C:E,1,0)</f>
        <v xml:space="preserve">Válvula de bloqueio vapor linha de ar pré filtro absoluto </v>
      </c>
      <c r="AA39" s="85" t="str">
        <f>VLOOKUP(C39,'FTD07'!A:E,1,0)</f>
        <v>Superior</v>
      </c>
      <c r="AB39" s="53" t="str">
        <f>VLOOKUP(B39,'FTD07'!C:E,3,0)</f>
        <v>DN-8</v>
      </c>
      <c r="AC39" s="56" t="str">
        <f>VLOOKUP(B39,'FTD07'!C:G,5,0)</f>
        <v>ZDL</v>
      </c>
      <c r="AD39" s="65" t="str">
        <f>VLOOKUP(B39,'FTD08'!C:E,1,0)</f>
        <v xml:space="preserve">Válvula de bloqueio vapor linha de ar pré filtro absoluto </v>
      </c>
      <c r="AE39" s="85" t="str">
        <f>VLOOKUP(C39,'FTD08'!A:E,1,0)</f>
        <v>Superior</v>
      </c>
      <c r="AF39" s="53" t="str">
        <f>VLOOKUP(B39,'FTD08'!C:E,3,0)</f>
        <v>DN-8</v>
      </c>
      <c r="AG39" s="74" t="str">
        <f>VLOOKUP(B39,'FTD08'!C:G,5,0)</f>
        <v>ZDL</v>
      </c>
      <c r="AH39" s="57" t="str">
        <f>VLOOKUP(B39,'FTD09'!C:E,1,0)</f>
        <v xml:space="preserve">Válvula de bloqueio vapor linha de ar pré filtro absoluto </v>
      </c>
      <c r="AI39" s="85" t="str">
        <f>VLOOKUP(C39,'FTD09'!A:E,1,0)</f>
        <v>Superior</v>
      </c>
      <c r="AJ39" s="53" t="str">
        <f>VLOOKUP(B39,'FTD09'!C:E,3,0)</f>
        <v>DN-8</v>
      </c>
      <c r="AK39" s="56" t="str">
        <f>VLOOKUP(B39,'FTD09'!C:G,5,0)</f>
        <v>ZDL</v>
      </c>
      <c r="AL39" s="65" t="str">
        <f>VLOOKUP(B39,'FTD10'!C:E,1,0)</f>
        <v xml:space="preserve">Válvula de bloqueio vapor linha de ar pré filtro absoluto </v>
      </c>
      <c r="AM39" s="85" t="str">
        <f>VLOOKUP(C39,'FTD10'!A:E,1,0)</f>
        <v>Superior</v>
      </c>
      <c r="AN39" s="53" t="str">
        <f>VLOOKUP(B39,'FTD10'!C:E,3,0)</f>
        <v>DN-8</v>
      </c>
      <c r="AO39" s="74" t="str">
        <f>VLOOKUP(B39,'FTD10'!C:G,5,0)</f>
        <v>ZDL</v>
      </c>
      <c r="AP39" s="57" t="str">
        <f>VLOOKUP(B39,'FTD11'!C:E,1,0)</f>
        <v xml:space="preserve">Válvula de bloqueio vapor linha de ar pré filtro absoluto </v>
      </c>
      <c r="AQ39" s="85" t="str">
        <f>VLOOKUP(C39,'FTD11'!A:E,1,0)</f>
        <v>Superior</v>
      </c>
      <c r="AR39" s="53" t="str">
        <f>VLOOKUP(B39,'FTD11'!C:E,3,0)</f>
        <v>DN-8</v>
      </c>
      <c r="AS39" s="56" t="str">
        <f>VLOOKUP(B39,'FTD11'!C:G,5,0)</f>
        <v>ZDL</v>
      </c>
      <c r="AT39" s="65" t="str">
        <f>VLOOKUP(B39,'FTD12'!C:E,1,0)</f>
        <v xml:space="preserve">Válvula de bloqueio vapor linha de ar pré filtro absoluto </v>
      </c>
      <c r="AU39" s="85" t="str">
        <f>VLOOKUP(C39,'FTD12'!A:E,1,0)</f>
        <v>Superior</v>
      </c>
      <c r="AV39" s="53" t="str">
        <f>VLOOKUP(B39,'FTD12'!C:E,3,0)</f>
        <v>DN-8</v>
      </c>
      <c r="AW39" s="53" t="str">
        <f>VLOOKUP(B39,'FTD12'!C:G,5,0)</f>
        <v xml:space="preserve">ZDL </v>
      </c>
      <c r="AX39" s="124">
        <f t="shared" si="0"/>
        <v>11</v>
      </c>
      <c r="AY39" s="124">
        <f t="shared" si="1"/>
        <v>11</v>
      </c>
      <c r="BA39" s="16" t="s">
        <v>164</v>
      </c>
      <c r="BB39" s="16" t="s">
        <v>68</v>
      </c>
      <c r="BC39" s="16" t="s">
        <v>86</v>
      </c>
      <c r="BD39" s="78" t="s">
        <v>5</v>
      </c>
      <c r="BE39" s="65" t="str">
        <f>VLOOKUP(BA39,'PGD02'!C:E,1,0)</f>
        <v xml:space="preserve">Entrada propagador BV alimentação CIP </v>
      </c>
      <c r="BF39" s="65"/>
      <c r="BG39" s="53" t="str">
        <f>VLOOKUP(BA39,'PGD02'!C:E,3,0)</f>
        <v>DN-25</v>
      </c>
      <c r="BH39" s="74" t="str">
        <f>VLOOKUP(BA39,'PGD02'!C:G,5,0)</f>
        <v>GEMÜ</v>
      </c>
      <c r="BI39" s="57" t="str">
        <f>VLOOKUP(BA39,'PGD03'!C:E,1,0)</f>
        <v xml:space="preserve">Entrada propagador BV alimentação CIP </v>
      </c>
      <c r="BJ39" s="65"/>
      <c r="BK39" s="53" t="str">
        <f>VLOOKUP(BA39,'PGD03'!C:E,3,0)</f>
        <v>DN-25</v>
      </c>
      <c r="BL39" s="56" t="str">
        <f>VLOOKUP(BA39,'PGD03'!C:G,5,0)</f>
        <v>GEMÜ</v>
      </c>
      <c r="BM39" s="65" t="str">
        <f>VLOOKUP(BA39,'PGD03'!C:E,1,0)</f>
        <v xml:space="preserve">Entrada propagador BV alimentação CIP </v>
      </c>
      <c r="BN39" s="65"/>
      <c r="BO39" s="53" t="str">
        <f>VLOOKUP(BA39,'PGD04'!C:E,3,0)</f>
        <v>DN-25</v>
      </c>
      <c r="BP39" s="74" t="str">
        <f>VLOOKUP(BA39,'PGD04'!C:G,5,0)</f>
        <v>GEMÜ</v>
      </c>
      <c r="BQ39" s="57" t="str">
        <f>VLOOKUP(BA39,'PGD05'!C:E,1,0)</f>
        <v xml:space="preserve">Entrada propagador BV alimentação CIP </v>
      </c>
      <c r="BR39" s="65"/>
      <c r="BS39" s="53" t="str">
        <f>VLOOKUP(BA39,'PGD05'!C:E,3,0)</f>
        <v>DN-25</v>
      </c>
      <c r="BT39" s="56" t="str">
        <f>VLOOKUP(BA39,'PGD05'!C:G,5,0)</f>
        <v>GEMÜ</v>
      </c>
      <c r="BU39" s="65" t="str">
        <f>VLOOKUP(BA39,'PGD06'!C:E,1,0)</f>
        <v xml:space="preserve">Entrada propagador BV alimentação CIP </v>
      </c>
      <c r="BV39" s="65"/>
      <c r="BW39" s="53" t="str">
        <f>VLOOKUP(BA39,'PGD06'!C:E,3,0)</f>
        <v>DN-25</v>
      </c>
      <c r="BX39" s="74" t="str">
        <f>VLOOKUP(BA39,'PGD06'!C:G,5,0)</f>
        <v>GEMÜ</v>
      </c>
      <c r="BY39" s="57" t="str">
        <f>VLOOKUP(BA39,'PGD07'!C:E,1,0)</f>
        <v xml:space="preserve">Entrada propagador BV alimentação CIP </v>
      </c>
      <c r="BZ39" s="65"/>
      <c r="CA39" s="53" t="str">
        <f>VLOOKUP(BA39,'PGD07'!C:E,3,0)</f>
        <v>DN-25</v>
      </c>
      <c r="CB39" s="56" t="str">
        <f>VLOOKUP(BA39,'PGD07'!C:G,5,0)</f>
        <v>GEMÜ</v>
      </c>
      <c r="CC39" s="65" t="str">
        <f>VLOOKUP(BA39,'PGD08'!C:E,1,0)</f>
        <v xml:space="preserve">Entrada propagador BV alimentação CIP </v>
      </c>
      <c r="CD39" s="65"/>
      <c r="CE39" s="53" t="str">
        <f>VLOOKUP(BA39,'PGD08'!C:E,3,0)</f>
        <v>DN-25</v>
      </c>
      <c r="CF39" s="74" t="str">
        <f>VLOOKUP(BA39,'PGD08'!C:G,5,0)</f>
        <v>GEMÜ</v>
      </c>
      <c r="CG39" s="57" t="str">
        <f>VLOOKUP(BA39,'PGD09'!C:E,1,0)</f>
        <v xml:space="preserve">Entrada propagador BV alimentação CIP </v>
      </c>
      <c r="CH39" s="65"/>
      <c r="CI39" s="53" t="str">
        <f>VLOOKUP(BA39,'PGD09'!C:E,3,0)</f>
        <v>DN-25</v>
      </c>
      <c r="CJ39" s="56" t="str">
        <f>VLOOKUP(BA39,'PGD09'!C:G,5,0)</f>
        <v>GEMÜ</v>
      </c>
      <c r="CK39" s="65" t="str">
        <f>VLOOKUP(BA39,'PGD10'!C:E,1,0)</f>
        <v xml:space="preserve">Entrada propagador BV alimentação CIP </v>
      </c>
      <c r="CL39" s="65"/>
      <c r="CM39" s="53" t="str">
        <f>VLOOKUP(BA39,'PGD10'!C:E,3,0)</f>
        <v>DN-25</v>
      </c>
      <c r="CN39" s="74" t="str">
        <f>VLOOKUP(BA39,'PGD10'!C:G,5,0)</f>
        <v>GEMÜ</v>
      </c>
      <c r="CO39" s="57" t="str">
        <f>VLOOKUP(BA39,'PGD11'!C:E,1,0)</f>
        <v xml:space="preserve">Entrada propagador BV alimentação CIP </v>
      </c>
      <c r="CP39" s="65"/>
      <c r="CQ39" s="53" t="str">
        <f>VLOOKUP(BA39,'PGD11'!C:E,3,0)</f>
        <v>DN-25</v>
      </c>
      <c r="CR39" s="56" t="str">
        <f>VLOOKUP(BA39,'PGD11'!C:G,5,0)</f>
        <v>GEMÜ</v>
      </c>
      <c r="CS39" s="65" t="str">
        <f>VLOOKUP(BA39,'PGD12'!C:E,1,0)</f>
        <v xml:space="preserve">Entrada propagador BV alimentação CIP </v>
      </c>
      <c r="CT39" s="65"/>
      <c r="CU39" s="53" t="str">
        <f>VLOOKUP(BA39,'PGD12'!C:E,3,0)</f>
        <v>DN-25</v>
      </c>
      <c r="CV39" s="53" t="str">
        <f>VLOOKUP(BA39,'PGD12'!C:G,5,0)</f>
        <v>GEMÜ</v>
      </c>
      <c r="CW39" s="56">
        <f t="shared" si="2"/>
        <v>11</v>
      </c>
    </row>
    <row r="40" spans="2:109" x14ac:dyDescent="0.25">
      <c r="B40" s="107" t="s">
        <v>177</v>
      </c>
      <c r="C40" s="107" t="s">
        <v>68</v>
      </c>
      <c r="D40" s="107" t="s">
        <v>76</v>
      </c>
      <c r="E40" s="107" t="s">
        <v>5</v>
      </c>
      <c r="F40" s="128" t="str">
        <f>VLOOKUP(B40,'FTD02'!C:E,1,0)</f>
        <v>Bloqueio entrada de ar pós filtro absoluto</v>
      </c>
      <c r="G40" s="54" t="str">
        <f>VLOOKUP(C40,'FTD02'!A:E,1,0)</f>
        <v>Superior</v>
      </c>
      <c r="H40" s="54" t="str">
        <f>VLOOKUP(B40,'FTD02'!C:E,3,0)</f>
        <v>DN-80</v>
      </c>
      <c r="I40" s="72" t="str">
        <f>VLOOKUP(B40,'FTD02'!C:G,5,0)</f>
        <v>GEMÜ</v>
      </c>
      <c r="J40" s="128" t="str">
        <f>VLOOKUP(B40,'FTD03'!C:E,1,0)</f>
        <v>Bloqueio entrada de ar pós filtro absoluto</v>
      </c>
      <c r="K40" s="110" t="str">
        <f>VLOOKUP(C40,'FTD03'!A:E,1,0)</f>
        <v>Superior</v>
      </c>
      <c r="L40" s="54" t="str">
        <f>VLOOKUP(B40,'FTD03'!C:E,3,0)</f>
        <v>DN-80</v>
      </c>
      <c r="M40" s="72" t="str">
        <f>VLOOKUP(B40,'FTD03'!C:G,5,0)</f>
        <v>GEMÜ</v>
      </c>
      <c r="N40" s="128" t="str">
        <f>VLOOKUP(B40,'FTD04'!C:E,1,0)</f>
        <v>Bloqueio entrada de ar pós filtro absoluto</v>
      </c>
      <c r="O40" s="110" t="str">
        <f>VLOOKUP(C40,'FTD04'!A:E,1,0)</f>
        <v>Superior</v>
      </c>
      <c r="P40" s="54" t="str">
        <f>VLOOKUP(B40,'FTD04'!C:E,3,0)</f>
        <v>DN-80</v>
      </c>
      <c r="Q40" s="72" t="str">
        <f>VLOOKUP(B40,'FTD04'!C:G,5,0)</f>
        <v>GEMÜ</v>
      </c>
      <c r="R40" s="128" t="str">
        <f>VLOOKUP(B40,'FTD05'!C:E,1,0)</f>
        <v>Bloqueio entrada de ar pós filtro absoluto</v>
      </c>
      <c r="S40" s="110" t="str">
        <f>VLOOKUP(C40,'FTD05'!A:E,1,0)</f>
        <v>Superior</v>
      </c>
      <c r="T40" s="54" t="str">
        <f>VLOOKUP(B40,'FTD05'!C:E,3,0)</f>
        <v>DN-80</v>
      </c>
      <c r="U40" s="72" t="str">
        <f>VLOOKUP(B40,'FTD05'!C:G,5,0)</f>
        <v>GEMÜ</v>
      </c>
      <c r="V40" s="110" t="str">
        <f>VLOOKUP(B40,'FTD06'!C:E,1,0)</f>
        <v>Bloqueio entrada de ar pós filtro absoluto</v>
      </c>
      <c r="W40" s="110" t="str">
        <f>VLOOKUP(C40,'FTD06'!A:E,1,0)</f>
        <v>Superior</v>
      </c>
      <c r="X40" s="54" t="str">
        <f>VLOOKUP(B40,'FTD06'!C:E,3,0)</f>
        <v>DN-80</v>
      </c>
      <c r="Y40" s="75" t="str">
        <f>VLOOKUP(B40,'FTD06'!C:G,5,0)</f>
        <v>GEMÜ</v>
      </c>
      <c r="Z40" s="128" t="str">
        <f>VLOOKUP(B40,'FTD07'!C:E,1,0)</f>
        <v>Bloqueio entrada de ar pós filtro absoluto</v>
      </c>
      <c r="AA40" s="110" t="str">
        <f>VLOOKUP(C40,'FTD07'!A:E,1,0)</f>
        <v>Superior</v>
      </c>
      <c r="AB40" s="54" t="str">
        <f>VLOOKUP(B40,'FTD07'!C:E,3,0)</f>
        <v>DN-80</v>
      </c>
      <c r="AC40" s="72" t="str">
        <f>VLOOKUP(B40,'FTD07'!C:G,5,0)</f>
        <v>GEMÜ</v>
      </c>
      <c r="AD40" s="110" t="str">
        <f>VLOOKUP(B40,'FTD08'!C:E,1,0)</f>
        <v>Bloqueio entrada de ar pós filtro absoluto</v>
      </c>
      <c r="AE40" s="110" t="str">
        <f>VLOOKUP(C40,'FTD08'!A:E,1,0)</f>
        <v>Superior</v>
      </c>
      <c r="AF40" s="54" t="str">
        <f>VLOOKUP(B40,'FTD08'!C:E,3,0)</f>
        <v>DN-80</v>
      </c>
      <c r="AG40" s="75" t="str">
        <f>VLOOKUP(B40,'FTD08'!C:G,5,0)</f>
        <v>GEMÜ</v>
      </c>
      <c r="AH40" s="128" t="str">
        <f>VLOOKUP(B40,'FTD09'!C:E,1,0)</f>
        <v>Bloqueio entrada de ar pós filtro absoluto</v>
      </c>
      <c r="AI40" s="110" t="str">
        <f>VLOOKUP(C40,'FTD09'!A:E,1,0)</f>
        <v>Superior</v>
      </c>
      <c r="AJ40" s="54" t="str">
        <f>VLOOKUP(B40,'FTD09'!C:E,3,0)</f>
        <v>DN-80</v>
      </c>
      <c r="AK40" s="72" t="str">
        <f>VLOOKUP(B40,'FTD09'!C:G,5,0)</f>
        <v>GEMÜ</v>
      </c>
      <c r="AL40" s="110" t="str">
        <f>VLOOKUP(B40,'FTD10'!C:E,1,0)</f>
        <v>Bloqueio entrada de ar pós filtro absoluto</v>
      </c>
      <c r="AM40" s="110" t="str">
        <f>VLOOKUP(C40,'FTD10'!A:E,1,0)</f>
        <v>Superior</v>
      </c>
      <c r="AN40" s="54" t="str">
        <f>VLOOKUP(B40,'FTD10'!C:E,3,0)</f>
        <v>DN-80</v>
      </c>
      <c r="AO40" s="75" t="str">
        <f>VLOOKUP(B40,'FTD10'!C:G,5,0)</f>
        <v>GEMÜ</v>
      </c>
      <c r="AP40" s="128" t="str">
        <f>VLOOKUP(B40,'FTD11'!C:E,1,0)</f>
        <v>Bloqueio entrada de ar pós filtro absoluto</v>
      </c>
      <c r="AQ40" s="110" t="str">
        <f>VLOOKUP(C40,'FTD11'!A:E,1,0)</f>
        <v>Superior</v>
      </c>
      <c r="AR40" s="54" t="str">
        <f>VLOOKUP(B40,'FTD11'!C:E,3,0)</f>
        <v>DN-80</v>
      </c>
      <c r="AS40" s="72" t="str">
        <f>VLOOKUP(B40,'FTD11'!C:G,5,0)</f>
        <v>GEMÜ</v>
      </c>
      <c r="AT40" s="110" t="str">
        <f>VLOOKUP(B40,'FTD12'!C:E,1,0)</f>
        <v>Bloqueio entrada de ar pós filtro absoluto</v>
      </c>
      <c r="AU40" s="110" t="str">
        <f>VLOOKUP(C40,'FTD12'!A:E,1,0)</f>
        <v>Superior</v>
      </c>
      <c r="AV40" s="54" t="str">
        <f>VLOOKUP(B40,'FTD12'!C:E,3,0)</f>
        <v>DN-80</v>
      </c>
      <c r="AW40" s="54" t="str">
        <f>VLOOKUP(B40,'FTD12'!C:G,5,0)</f>
        <v>GEMÜ</v>
      </c>
      <c r="AX40" s="72">
        <f t="shared" si="0"/>
        <v>11</v>
      </c>
      <c r="AY40" s="72">
        <f t="shared" si="1"/>
        <v>11</v>
      </c>
      <c r="BA40" s="13" t="s">
        <v>167</v>
      </c>
      <c r="BB40" s="16" t="s">
        <v>68</v>
      </c>
      <c r="BC40" s="14" t="s">
        <v>86</v>
      </c>
      <c r="BD40" s="68" t="s">
        <v>5</v>
      </c>
      <c r="BE40" s="85" t="str">
        <f>VLOOKUP(BA40,'PGD02'!C:E,1,0)</f>
        <v xml:space="preserve">Dreno BV alimentação CIP </v>
      </c>
      <c r="BF40" s="85"/>
      <c r="BG40" s="84" t="str">
        <f>VLOOKUP(BA40,'PGD02'!C:E,3,0)</f>
        <v>DN-25</v>
      </c>
      <c r="BH40" s="86" t="str">
        <f>VLOOKUP(BA40,'PGD02'!C:G,5,0)</f>
        <v>GEMÜ</v>
      </c>
      <c r="BI40" s="83" t="str">
        <f>VLOOKUP(BA40,'PGD03'!C:E,1,0)</f>
        <v xml:space="preserve">Dreno BV alimentação CIP </v>
      </c>
      <c r="BJ40" s="85"/>
      <c r="BK40" s="84" t="str">
        <f>VLOOKUP(BA40,'PGD03'!C:E,3,0)</f>
        <v>DN-25</v>
      </c>
      <c r="BL40" s="82" t="str">
        <f>VLOOKUP(BA40,'PGD03'!C:G,5,0)</f>
        <v>GEMÜ</v>
      </c>
      <c r="BM40" s="85" t="str">
        <f>VLOOKUP(BA40,'PGD03'!C:E,1,0)</f>
        <v xml:space="preserve">Dreno BV alimentação CIP </v>
      </c>
      <c r="BN40" s="85"/>
      <c r="BO40" s="84" t="str">
        <f>VLOOKUP(BA40,'PGD04'!C:E,3,0)</f>
        <v>DN-25</v>
      </c>
      <c r="BP40" s="86" t="str">
        <f>VLOOKUP(BA40,'PGD04'!C:G,5,0)</f>
        <v>GEMÜ</v>
      </c>
      <c r="BQ40" s="83" t="str">
        <f>VLOOKUP(BA40,'PGD05'!C:E,1,0)</f>
        <v xml:space="preserve">Dreno BV alimentação CIP </v>
      </c>
      <c r="BR40" s="85"/>
      <c r="BS40" s="84" t="str">
        <f>VLOOKUP(BA40,'PGD05'!C:E,3,0)</f>
        <v>DN-25</v>
      </c>
      <c r="BT40" s="82" t="str">
        <f>VLOOKUP(BA40,'PGD05'!C:G,5,0)</f>
        <v>GEMÜ</v>
      </c>
      <c r="BU40" s="85" t="str">
        <f>VLOOKUP(BA40,'PGD06'!C:E,1,0)</f>
        <v xml:space="preserve">Dreno BV alimentação CIP </v>
      </c>
      <c r="BV40" s="85"/>
      <c r="BW40" s="84" t="str">
        <f>VLOOKUP(BA40,'PGD06'!C:E,3,0)</f>
        <v>DN-25</v>
      </c>
      <c r="BX40" s="86" t="str">
        <f>VLOOKUP(BA40,'PGD06'!C:G,5,0)</f>
        <v>GEMÜ</v>
      </c>
      <c r="BY40" s="83" t="str">
        <f>VLOOKUP(BA40,'PGD07'!C:E,1,0)</f>
        <v xml:space="preserve">Dreno BV alimentação CIP </v>
      </c>
      <c r="BZ40" s="85"/>
      <c r="CA40" s="84" t="str">
        <f>VLOOKUP(BA40,'PGD07'!C:E,3,0)</f>
        <v>DN-25</v>
      </c>
      <c r="CB40" s="82" t="str">
        <f>VLOOKUP(BA40,'PGD07'!C:G,5,0)</f>
        <v>GEMÜ</v>
      </c>
      <c r="CC40" s="85" t="str">
        <f>VLOOKUP(BA40,'PGD08'!C:E,1,0)</f>
        <v xml:space="preserve">Dreno BV alimentação CIP </v>
      </c>
      <c r="CD40" s="85"/>
      <c r="CE40" s="84" t="str">
        <f>VLOOKUP(BA40,'PGD08'!C:E,3,0)</f>
        <v>DN-25</v>
      </c>
      <c r="CF40" s="86" t="str">
        <f>VLOOKUP(BA40,'PGD08'!C:G,5,0)</f>
        <v>GEMÜ</v>
      </c>
      <c r="CG40" s="83" t="str">
        <f>VLOOKUP(BA40,'PGD09'!C:E,1,0)</f>
        <v xml:space="preserve">Dreno BV alimentação CIP </v>
      </c>
      <c r="CH40" s="85"/>
      <c r="CI40" s="84" t="str">
        <f>VLOOKUP(BA40,'PGD09'!C:E,3,0)</f>
        <v>DN-25</v>
      </c>
      <c r="CJ40" s="82" t="str">
        <f>VLOOKUP(BA40,'PGD09'!C:G,5,0)</f>
        <v>GEMÜ</v>
      </c>
      <c r="CK40" s="85" t="str">
        <f>VLOOKUP(BA40,'PGD10'!C:E,1,0)</f>
        <v xml:space="preserve">Dreno BV alimentação CIP </v>
      </c>
      <c r="CL40" s="85"/>
      <c r="CM40" s="84" t="str">
        <f>VLOOKUP(BA40,'PGD10'!C:E,3,0)</f>
        <v>DN-25</v>
      </c>
      <c r="CN40" s="86" t="str">
        <f>VLOOKUP(BA40,'PGD10'!C:G,5,0)</f>
        <v>GEMÜ</v>
      </c>
      <c r="CO40" s="83" t="str">
        <f>VLOOKUP(BA40,'PGD11'!C:E,1,0)</f>
        <v xml:space="preserve">Dreno BV alimentação CIP </v>
      </c>
      <c r="CP40" s="85"/>
      <c r="CQ40" s="84" t="str">
        <f>VLOOKUP(BA40,'PGD11'!C:E,3,0)</f>
        <v>DN-25</v>
      </c>
      <c r="CR40" s="82" t="str">
        <f>VLOOKUP(BA40,'PGD11'!C:G,5,0)</f>
        <v>GEMÜ</v>
      </c>
      <c r="CS40" s="85" t="str">
        <f>VLOOKUP(BA40,'PGD12'!C:E,1,0)</f>
        <v xml:space="preserve">Dreno BV alimentação CIP </v>
      </c>
      <c r="CT40" s="85"/>
      <c r="CU40" s="84" t="str">
        <f>VLOOKUP(BA40,'PGD12'!C:E,3,0)</f>
        <v>DN-25</v>
      </c>
      <c r="CV40" s="84" t="str">
        <f>VLOOKUP(BA40,'PGD12'!C:G,5,0)</f>
        <v>GEMÜ</v>
      </c>
      <c r="CW40" s="82">
        <f t="shared" si="2"/>
        <v>11</v>
      </c>
    </row>
    <row r="41" spans="2:109" x14ac:dyDescent="0.25">
      <c r="B41" s="7" t="s">
        <v>153</v>
      </c>
      <c r="C41" s="7" t="s">
        <v>68</v>
      </c>
      <c r="D41" s="7" t="s">
        <v>51</v>
      </c>
      <c r="E41" s="7" t="s">
        <v>5</v>
      </c>
      <c r="F41" s="57" t="str">
        <f>VLOOKUP(B41,'FTD02'!C:E,1,0)</f>
        <v>Vapor linha alimentação nitrogênio</v>
      </c>
      <c r="G41" s="122" t="str">
        <f>VLOOKUP(C41,'FTD02'!A:E,1,0)</f>
        <v>Superior</v>
      </c>
      <c r="H41" s="53" t="str">
        <f>VLOOKUP(B41,'FTD02'!C:E,3,0)</f>
        <v>DN-40</v>
      </c>
      <c r="I41" s="56" t="str">
        <f>VLOOKUP(B41,'FTD02'!C:G,5,0)</f>
        <v>GEMÜ</v>
      </c>
      <c r="J41" s="57" t="str">
        <f>VLOOKUP(B41,'FTD03'!C:E,1,0)</f>
        <v>Vapor linha alimentação nitrogênio</v>
      </c>
      <c r="K41" s="85" t="str">
        <f>VLOOKUP(C41,'FTD03'!A:E,1,0)</f>
        <v>Superior</v>
      </c>
      <c r="L41" s="53" t="str">
        <f>VLOOKUP(B41,'FTD03'!C:E,3,0)</f>
        <v>DN-40</v>
      </c>
      <c r="M41" s="56" t="str">
        <f>VLOOKUP(B41,'FTD03'!C:G,5,0)</f>
        <v>GEMÜ</v>
      </c>
      <c r="N41" s="57" t="str">
        <f>VLOOKUP(B41,'FTD04'!C:E,1,0)</f>
        <v>Vapor linha alimentação nitrogênio</v>
      </c>
      <c r="O41" s="85" t="str">
        <f>VLOOKUP(C41,'FTD04'!A:E,1,0)</f>
        <v>Superior</v>
      </c>
      <c r="P41" s="53" t="str">
        <f>VLOOKUP(B41,'FTD04'!C:E,3,0)</f>
        <v>DN-40</v>
      </c>
      <c r="Q41" s="56" t="str">
        <f>VLOOKUP(B41,'FTD04'!C:G,5,0)</f>
        <v>GEMÜ</v>
      </c>
      <c r="R41" s="57" t="str">
        <f>VLOOKUP(B41,'FTD05'!C:E,1,0)</f>
        <v>Vapor linha alimentação nitrogênio</v>
      </c>
      <c r="S41" s="85" t="str">
        <f>VLOOKUP(C41,'FTD05'!A:E,1,0)</f>
        <v>Superior</v>
      </c>
      <c r="T41" s="53" t="str">
        <f>VLOOKUP(B41,'FTD05'!C:E,3,0)</f>
        <v>DN-40</v>
      </c>
      <c r="U41" s="56" t="str">
        <f>VLOOKUP(B41,'FTD05'!C:G,5,0)</f>
        <v>GEMÜ</v>
      </c>
      <c r="V41" s="65" t="str">
        <f>VLOOKUP(B41,'FTD06'!C:E,1,0)</f>
        <v>Vapor linha alimentação nitrogênio</v>
      </c>
      <c r="W41" s="85" t="str">
        <f>VLOOKUP(C41,'FTD06'!A:E,1,0)</f>
        <v>Superior</v>
      </c>
      <c r="X41" s="53" t="str">
        <f>VLOOKUP(B41,'FTD06'!C:E,3,0)</f>
        <v>DN-40</v>
      </c>
      <c r="Y41" s="74" t="str">
        <f>VLOOKUP(B41,'FTD06'!C:G,5,0)</f>
        <v>GEMÜ</v>
      </c>
      <c r="Z41" s="57" t="str">
        <f>VLOOKUP(B41,'FTD07'!C:E,1,0)</f>
        <v>Vapor linha alimentação nitrogênio</v>
      </c>
      <c r="AA41" s="85" t="str">
        <f>VLOOKUP(C41,'FTD07'!A:E,1,0)</f>
        <v>Superior</v>
      </c>
      <c r="AB41" s="53" t="str">
        <f>VLOOKUP(B41,'FTD07'!C:E,3,0)</f>
        <v>DN-40</v>
      </c>
      <c r="AC41" s="56" t="str">
        <f>VLOOKUP(B41,'FTD07'!C:G,5,0)</f>
        <v>GEMÜ</v>
      </c>
      <c r="AD41" s="65" t="str">
        <f>VLOOKUP(B41,'FTD08'!C:E,1,0)</f>
        <v>Vapor linha alimentação nitrogênio</v>
      </c>
      <c r="AE41" s="85" t="str">
        <f>VLOOKUP(C41,'FTD08'!A:E,1,0)</f>
        <v>Superior</v>
      </c>
      <c r="AF41" s="53" t="str">
        <f>VLOOKUP(B41,'FTD08'!C:E,3,0)</f>
        <v>DN-40</v>
      </c>
      <c r="AG41" s="74" t="str">
        <f>VLOOKUP(B41,'FTD08'!C:G,5,0)</f>
        <v>GEMÜ</v>
      </c>
      <c r="AH41" s="57" t="str">
        <f>VLOOKUP(B41,'FTD09'!C:E,1,0)</f>
        <v>Vapor linha alimentação nitrogênio</v>
      </c>
      <c r="AI41" s="85" t="str">
        <f>VLOOKUP(C41,'FTD09'!A:E,1,0)</f>
        <v>Superior</v>
      </c>
      <c r="AJ41" s="53" t="str">
        <f>VLOOKUP(B41,'FTD09'!C:E,3,0)</f>
        <v>DN-40</v>
      </c>
      <c r="AK41" s="56" t="str">
        <f>VLOOKUP(B41,'FTD09'!C:G,5,0)</f>
        <v>GEMÜ</v>
      </c>
      <c r="AL41" s="65" t="str">
        <f>VLOOKUP(B41,'FTD10'!C:E,1,0)</f>
        <v>Vapor linha alimentação nitrogênio</v>
      </c>
      <c r="AM41" s="85" t="str">
        <f>VLOOKUP(C41,'FTD10'!A:E,1,0)</f>
        <v>Superior</v>
      </c>
      <c r="AN41" s="53" t="str">
        <f>VLOOKUP(B41,'FTD10'!C:E,3,0)</f>
        <v>DN-40</v>
      </c>
      <c r="AO41" s="74" t="str">
        <f>VLOOKUP(B41,'FTD10'!C:G,5,0)</f>
        <v>GEMÜ</v>
      </c>
      <c r="AP41" s="57" t="str">
        <f>VLOOKUP(B41,'FTD11'!C:E,1,0)</f>
        <v>Vapor linha alimentação nitrogênio</v>
      </c>
      <c r="AQ41" s="85" t="str">
        <f>VLOOKUP(C41,'FTD11'!A:E,1,0)</f>
        <v>Superior</v>
      </c>
      <c r="AR41" s="53" t="str">
        <f>VLOOKUP(B41,'FTD11'!C:E,3,0)</f>
        <v>DN-40</v>
      </c>
      <c r="AS41" s="56" t="str">
        <f>VLOOKUP(B41,'FTD11'!C:G,5,0)</f>
        <v>GEMÜ</v>
      </c>
      <c r="AT41" s="65" t="str">
        <f>VLOOKUP(B41,'FTD12'!C:E,1,0)</f>
        <v>Vapor linha alimentação nitrogênio</v>
      </c>
      <c r="AU41" s="85" t="str">
        <f>VLOOKUP(C41,'FTD12'!A:E,1,0)</f>
        <v>Superior</v>
      </c>
      <c r="AV41" s="53" t="str">
        <f>VLOOKUP(B41,'FTD12'!C:E,3,0)</f>
        <v>DN-40</v>
      </c>
      <c r="AW41" s="53" t="str">
        <f>VLOOKUP(B41,'FTD12'!C:G,5,0)</f>
        <v>GEMÜ</v>
      </c>
      <c r="AX41" s="124">
        <f t="shared" si="0"/>
        <v>11</v>
      </c>
      <c r="AY41" s="124">
        <f t="shared" si="1"/>
        <v>11</v>
      </c>
      <c r="BA41" s="16" t="s">
        <v>169</v>
      </c>
      <c r="BB41" s="16" t="s">
        <v>49</v>
      </c>
      <c r="BC41" s="53"/>
      <c r="BD41" s="56">
        <f>COUNTIF(BD4:BD40,"ZDL")</f>
        <v>6</v>
      </c>
      <c r="BE41" s="65"/>
      <c r="BF41" s="65"/>
      <c r="BG41" s="53"/>
      <c r="BH41" s="75">
        <f>COUNTIF(BH4:BH40,BH33)</f>
        <v>4</v>
      </c>
      <c r="BI41" s="57"/>
      <c r="BJ41" s="65"/>
      <c r="BK41" s="53"/>
      <c r="BL41" s="72">
        <f>COUNTIF(BL4:BL40,BL33)</f>
        <v>5</v>
      </c>
      <c r="BM41" s="65"/>
      <c r="BN41" s="65"/>
      <c r="BO41" s="53"/>
      <c r="BP41" s="75">
        <f>COUNTIF(BP4:BP40,"ZDL")</f>
        <v>5</v>
      </c>
      <c r="BQ41" s="57"/>
      <c r="BR41" s="65"/>
      <c r="BS41" s="53"/>
      <c r="BT41" s="72">
        <f>COUNTIF(BT4:BT40,"ZDL")</f>
        <v>5</v>
      </c>
      <c r="BU41" s="65"/>
      <c r="BV41" s="65"/>
      <c r="BW41" s="53"/>
      <c r="BX41" s="75">
        <f>COUNTIF(BX4:BX40,"ZDL")</f>
        <v>5</v>
      </c>
      <c r="BY41" s="57"/>
      <c r="BZ41" s="65"/>
      <c r="CA41" s="53"/>
      <c r="CB41" s="72">
        <f>COUNTIF(CB4:CB40,"ZDL")</f>
        <v>5</v>
      </c>
      <c r="CC41" s="65"/>
      <c r="CD41" s="65"/>
      <c r="CE41" s="53"/>
      <c r="CF41" s="75">
        <f>COUNTIF(CF4:CF40,"ZDL")</f>
        <v>6</v>
      </c>
      <c r="CG41" s="57"/>
      <c r="CH41" s="65"/>
      <c r="CI41" s="53"/>
      <c r="CJ41" s="72">
        <f>COUNTIF(CJ4:CJ40,"ZDL")</f>
        <v>5</v>
      </c>
      <c r="CK41" s="65"/>
      <c r="CL41" s="65"/>
      <c r="CM41" s="53"/>
      <c r="CN41" s="75">
        <f>COUNTIF(CN4:CN40,"ZDL")</f>
        <v>5</v>
      </c>
      <c r="CO41" s="57"/>
      <c r="CP41" s="65"/>
      <c r="CQ41" s="53"/>
      <c r="CR41" s="72">
        <f>COUNTIF(CR4:CR40,"ZDL")</f>
        <v>5</v>
      </c>
      <c r="CS41" s="65"/>
      <c r="CT41" s="65"/>
      <c r="CU41" s="53"/>
      <c r="CV41" s="54">
        <f>COUNTIF(CV4:CV40,"ZDL")</f>
        <v>5</v>
      </c>
      <c r="CW41" s="56"/>
    </row>
    <row r="42" spans="2:109" ht="15.75" thickBot="1" x14ac:dyDescent="0.3">
      <c r="B42" s="14" t="s">
        <v>156</v>
      </c>
      <c r="C42" s="14" t="s">
        <v>68</v>
      </c>
      <c r="D42" s="14" t="s">
        <v>51</v>
      </c>
      <c r="E42" s="14" t="s">
        <v>5</v>
      </c>
      <c r="F42" s="83" t="str">
        <f>VLOOKUP(B42,'FTD02'!C:E,1,0)</f>
        <v>Vapor linha de sais</v>
      </c>
      <c r="G42" s="84" t="str">
        <f>VLOOKUP(C42,'FTD02'!A:E,1,0)</f>
        <v>Superior</v>
      </c>
      <c r="H42" s="84" t="str">
        <f>VLOOKUP(B42,'FTD02'!C:E,3,0)</f>
        <v>DN-40</v>
      </c>
      <c r="I42" s="82" t="str">
        <f>VLOOKUP(B42,'FTD02'!C:G,5,0)</f>
        <v>GEMÜ</v>
      </c>
      <c r="J42" s="83" t="str">
        <f>VLOOKUP(B42,'FTD03'!C:E,1,0)</f>
        <v>Vapor linha de sais</v>
      </c>
      <c r="K42" s="85" t="str">
        <f>VLOOKUP(C42,'FTD03'!A:E,1,0)</f>
        <v>Superior</v>
      </c>
      <c r="L42" s="84" t="str">
        <f>VLOOKUP(B42,'FTD03'!C:E,3,0)</f>
        <v>DN-40</v>
      </c>
      <c r="M42" s="82" t="str">
        <f>VLOOKUP(B42,'FTD03'!C:G,5,0)</f>
        <v>GEMÜ</v>
      </c>
      <c r="N42" s="83" t="str">
        <f>VLOOKUP(B42,'FTD04'!C:E,1,0)</f>
        <v>Vapor linha de sais</v>
      </c>
      <c r="O42" s="85" t="str">
        <f>VLOOKUP(C42,'FTD04'!A:E,1,0)</f>
        <v>Superior</v>
      </c>
      <c r="P42" s="84" t="str">
        <f>VLOOKUP(B42,'FTD04'!C:E,3,0)</f>
        <v>DN-40</v>
      </c>
      <c r="Q42" s="82" t="str">
        <f>VLOOKUP(B42,'FTD04'!C:G,5,0)</f>
        <v>GEMÜ</v>
      </c>
      <c r="R42" s="83" t="str">
        <f>VLOOKUP(B42,'FTD05'!C:E,1,0)</f>
        <v>Vapor linha de sais</v>
      </c>
      <c r="S42" s="85" t="str">
        <f>VLOOKUP(C42,'FTD05'!A:E,1,0)</f>
        <v>Superior</v>
      </c>
      <c r="T42" s="84" t="str">
        <f>VLOOKUP(B42,'FTD05'!C:E,3,0)</f>
        <v>DN-40</v>
      </c>
      <c r="U42" s="82" t="str">
        <f>VLOOKUP(B42,'FTD05'!C:G,5,0)</f>
        <v>GEMÜ</v>
      </c>
      <c r="V42" s="85" t="str">
        <f>VLOOKUP(B42,'FTD06'!C:E,1,0)</f>
        <v>Vapor linha de sais</v>
      </c>
      <c r="W42" s="85" t="str">
        <f>VLOOKUP(C42,'FTD06'!A:E,1,0)</f>
        <v>Superior</v>
      </c>
      <c r="X42" s="84" t="str">
        <f>VLOOKUP(B42,'FTD06'!C:E,3,0)</f>
        <v>DN-40</v>
      </c>
      <c r="Y42" s="86" t="str">
        <f>VLOOKUP(B42,'FTD06'!C:G,5,0)</f>
        <v>GEMÜ</v>
      </c>
      <c r="Z42" s="83" t="str">
        <f>VLOOKUP(B42,'FTD07'!C:E,1,0)</f>
        <v>Vapor linha de sais</v>
      </c>
      <c r="AA42" s="85" t="str">
        <f>VLOOKUP(C42,'FTD07'!A:E,1,0)</f>
        <v>Superior</v>
      </c>
      <c r="AB42" s="84" t="str">
        <f>VLOOKUP(B42,'FTD07'!C:E,3,0)</f>
        <v>DN-40</v>
      </c>
      <c r="AC42" s="82" t="str">
        <f>VLOOKUP(B42,'FTD07'!C:G,5,0)</f>
        <v>GEMÜ</v>
      </c>
      <c r="AD42" s="85" t="str">
        <f>VLOOKUP(B42,'FTD08'!C:E,1,0)</f>
        <v>Vapor linha de sais</v>
      </c>
      <c r="AE42" s="85" t="str">
        <f>VLOOKUP(C42,'FTD08'!A:E,1,0)</f>
        <v>Superior</v>
      </c>
      <c r="AF42" s="84" t="str">
        <f>VLOOKUP(B42,'FTD08'!C:E,3,0)</f>
        <v>DN-40</v>
      </c>
      <c r="AG42" s="86" t="str">
        <f>VLOOKUP(B42,'FTD08'!C:G,5,0)</f>
        <v>GEMÜ</v>
      </c>
      <c r="AH42" s="83" t="str">
        <f>VLOOKUP(B42,'FTD09'!C:E,1,0)</f>
        <v>Vapor linha de sais</v>
      </c>
      <c r="AI42" s="85" t="str">
        <f>VLOOKUP(C42,'FTD09'!A:E,1,0)</f>
        <v>Superior</v>
      </c>
      <c r="AJ42" s="84" t="str">
        <f>VLOOKUP(B42,'FTD09'!C:E,3,0)</f>
        <v>DN-40</v>
      </c>
      <c r="AK42" s="82" t="str">
        <f>VLOOKUP(B42,'FTD09'!C:G,5,0)</f>
        <v>GEMÜ</v>
      </c>
      <c r="AL42" s="85" t="str">
        <f>VLOOKUP(B42,'FTD10'!C:E,1,0)</f>
        <v>Vapor linha de sais</v>
      </c>
      <c r="AM42" s="85" t="str">
        <f>VLOOKUP(C42,'FTD10'!A:E,1,0)</f>
        <v>Superior</v>
      </c>
      <c r="AN42" s="84" t="str">
        <f>VLOOKUP(B42,'FTD10'!C:E,3,0)</f>
        <v>DN-40</v>
      </c>
      <c r="AO42" s="86" t="str">
        <f>VLOOKUP(B42,'FTD10'!C:G,5,0)</f>
        <v>GEMÜ</v>
      </c>
      <c r="AP42" s="83" t="str">
        <f>VLOOKUP(B42,'FTD11'!C:E,1,0)</f>
        <v>Vapor linha de sais</v>
      </c>
      <c r="AQ42" s="85" t="str">
        <f>VLOOKUP(C42,'FTD11'!A:E,1,0)</f>
        <v>Superior</v>
      </c>
      <c r="AR42" s="84" t="str">
        <f>VLOOKUP(B42,'FTD11'!C:E,3,0)</f>
        <v>DN-40</v>
      </c>
      <c r="AS42" s="82" t="str">
        <f>VLOOKUP(B42,'FTD11'!C:G,5,0)</f>
        <v>GEMÜ</v>
      </c>
      <c r="AT42" s="85" t="str">
        <f>VLOOKUP(B42,'FTD12'!C:E,1,0)</f>
        <v>Vapor linha de sais</v>
      </c>
      <c r="AU42" s="85" t="str">
        <f>VLOOKUP(C42,'FTD12'!A:E,1,0)</f>
        <v>Superior</v>
      </c>
      <c r="AV42" s="84" t="str">
        <f>VLOOKUP(B42,'FTD12'!C:E,3,0)</f>
        <v>DN-40</v>
      </c>
      <c r="AW42" s="84" t="str">
        <f>VLOOKUP(B42,'FTD12'!C:G,5,0)</f>
        <v>GEMÜ</v>
      </c>
      <c r="AX42" s="124">
        <f t="shared" si="0"/>
        <v>11</v>
      </c>
      <c r="AY42" s="124">
        <f t="shared" si="1"/>
        <v>11</v>
      </c>
      <c r="BA42" s="58"/>
      <c r="BB42" s="66"/>
      <c r="BC42" s="59"/>
      <c r="BD42" s="61">
        <f>COUNTIF(BD4:BD40,"GEMÜ")</f>
        <v>31</v>
      </c>
      <c r="BE42" s="66"/>
      <c r="BF42" s="66"/>
      <c r="BG42" s="59"/>
      <c r="BH42" s="76">
        <f>COUNTIF(BH4:BH40,BH34)</f>
        <v>33</v>
      </c>
      <c r="BI42" s="58"/>
      <c r="BJ42" s="66"/>
      <c r="BK42" s="59"/>
      <c r="BL42" s="73">
        <f>COUNTIF(BL4:BL40,BL35)</f>
        <v>32</v>
      </c>
      <c r="BM42" s="66"/>
      <c r="BN42" s="66"/>
      <c r="BO42" s="59"/>
      <c r="BP42" s="76">
        <f>COUNTIF(BP4:BP40,"GEMÜ")</f>
        <v>32</v>
      </c>
      <c r="BQ42" s="58"/>
      <c r="BR42" s="66"/>
      <c r="BS42" s="59"/>
      <c r="BT42" s="73">
        <f>COUNTIF(BT4:BT40,"GEMÜ")</f>
        <v>32</v>
      </c>
      <c r="BU42" s="66"/>
      <c r="BV42" s="66"/>
      <c r="BW42" s="59"/>
      <c r="BX42" s="76">
        <f>COUNTIF(BX4:BX40,"GEMÜ")</f>
        <v>32</v>
      </c>
      <c r="BY42" s="58"/>
      <c r="BZ42" s="66"/>
      <c r="CA42" s="59"/>
      <c r="CB42" s="73">
        <f>COUNTIF(CB4:CB40,"GEMÜ")</f>
        <v>32</v>
      </c>
      <c r="CC42" s="66"/>
      <c r="CD42" s="66"/>
      <c r="CE42" s="59"/>
      <c r="CF42" s="76">
        <f>COUNTIF(CF4:CF40,"GEMÜ")</f>
        <v>31</v>
      </c>
      <c r="CG42" s="58"/>
      <c r="CH42" s="66"/>
      <c r="CI42" s="59"/>
      <c r="CJ42" s="73">
        <f>COUNTIF(CJ4:CJ40,"GEMÜ")</f>
        <v>32</v>
      </c>
      <c r="CK42" s="66"/>
      <c r="CL42" s="66"/>
      <c r="CM42" s="59"/>
      <c r="CN42" s="76">
        <f>COUNTIF(CN4:CN40,"GEMÜ")</f>
        <v>32</v>
      </c>
      <c r="CO42" s="58"/>
      <c r="CP42" s="66"/>
      <c r="CQ42" s="59"/>
      <c r="CR42" s="73">
        <f>COUNTIF(CR4:CR40,"GEMÜ")</f>
        <v>32</v>
      </c>
      <c r="CS42" s="66"/>
      <c r="CT42" s="66"/>
      <c r="CU42" s="59"/>
      <c r="CV42" s="60">
        <f>COUNTIF(CV4:CV40,"GEMÜ")</f>
        <v>32</v>
      </c>
      <c r="CW42" s="61"/>
    </row>
    <row r="43" spans="2:109" x14ac:dyDescent="0.25">
      <c r="B43" s="7" t="s">
        <v>159</v>
      </c>
      <c r="C43" s="7" t="s">
        <v>68</v>
      </c>
      <c r="D43" s="7" t="s">
        <v>51</v>
      </c>
      <c r="E43" s="7" t="s">
        <v>5</v>
      </c>
      <c r="F43" s="57" t="str">
        <f>VLOOKUP(B43,'FTD02'!C:E,1,0)</f>
        <v>Vapor linha transferência</v>
      </c>
      <c r="G43" s="122" t="str">
        <f>VLOOKUP(C43,'FTD02'!A:E,1,0)</f>
        <v>Superior</v>
      </c>
      <c r="H43" s="53" t="str">
        <f>VLOOKUP(B43,'FTD02'!C:E,3,0)</f>
        <v>DN-40</v>
      </c>
      <c r="I43" s="56" t="str">
        <f>VLOOKUP(B43,'FTD02'!C:G,5,0)</f>
        <v>GEMÜ</v>
      </c>
      <c r="J43" s="57" t="str">
        <f>VLOOKUP(B43,'FTD03'!C:E,1,0)</f>
        <v>Vapor linha transferência</v>
      </c>
      <c r="K43" s="85" t="str">
        <f>VLOOKUP(C43,'FTD03'!A:E,1,0)</f>
        <v>Superior</v>
      </c>
      <c r="L43" s="53" t="str">
        <f>VLOOKUP(B43,'FTD03'!C:E,3,0)</f>
        <v>DN-40</v>
      </c>
      <c r="M43" s="56" t="str">
        <f>VLOOKUP(B43,'FTD03'!C:G,5,0)</f>
        <v>GEMÜ</v>
      </c>
      <c r="N43" s="57" t="str">
        <f>VLOOKUP(B43,'FTD04'!C:E,1,0)</f>
        <v>Vapor linha transferência</v>
      </c>
      <c r="O43" s="85" t="str">
        <f>VLOOKUP(C43,'FTD04'!A:E,1,0)</f>
        <v>Superior</v>
      </c>
      <c r="P43" s="53" t="str">
        <f>VLOOKUP(B43,'FTD04'!C:E,3,0)</f>
        <v>DN-40</v>
      </c>
      <c r="Q43" s="56" t="str">
        <f>VLOOKUP(B43,'FTD04'!C:G,5,0)</f>
        <v>GEMÜ</v>
      </c>
      <c r="R43" s="57" t="str">
        <f>VLOOKUP(B43,'FTD05'!C:E,1,0)</f>
        <v>Vapor linha transferência</v>
      </c>
      <c r="S43" s="85" t="str">
        <f>VLOOKUP(C43,'FTD05'!A:E,1,0)</f>
        <v>Superior</v>
      </c>
      <c r="T43" s="53" t="str">
        <f>VLOOKUP(B43,'FTD05'!C:E,3,0)</f>
        <v>DN-40</v>
      </c>
      <c r="U43" s="56" t="str">
        <f>VLOOKUP(B43,'FTD05'!C:G,5,0)</f>
        <v>GEMÜ</v>
      </c>
      <c r="V43" s="65" t="str">
        <f>VLOOKUP(B43,'FTD06'!C:E,1,0)</f>
        <v>Vapor linha transferência</v>
      </c>
      <c r="W43" s="85" t="str">
        <f>VLOOKUP(C43,'FTD06'!A:E,1,0)</f>
        <v>Superior</v>
      </c>
      <c r="X43" s="53" t="str">
        <f>VLOOKUP(B43,'FTD06'!C:E,3,0)</f>
        <v>DN-40</v>
      </c>
      <c r="Y43" s="74" t="str">
        <f>VLOOKUP(B43,'FTD06'!C:G,5,0)</f>
        <v>GEMÜ</v>
      </c>
      <c r="Z43" s="57" t="str">
        <f>VLOOKUP(B43,'FTD07'!C:E,1,0)</f>
        <v>Vapor linha transferência</v>
      </c>
      <c r="AA43" s="85" t="str">
        <f>VLOOKUP(C43,'FTD07'!A:E,1,0)</f>
        <v>Superior</v>
      </c>
      <c r="AB43" s="53" t="str">
        <f>VLOOKUP(B43,'FTD07'!C:E,3,0)</f>
        <v>DN-40</v>
      </c>
      <c r="AC43" s="56" t="str">
        <f>VLOOKUP(B43,'FTD07'!C:G,5,0)</f>
        <v>GEMÜ</v>
      </c>
      <c r="AD43" s="65" t="str">
        <f>VLOOKUP(B43,'FTD08'!C:E,1,0)</f>
        <v>Vapor linha transferência</v>
      </c>
      <c r="AE43" s="85" t="str">
        <f>VLOOKUP(C43,'FTD08'!A:E,1,0)</f>
        <v>Superior</v>
      </c>
      <c r="AF43" s="53" t="str">
        <f>VLOOKUP(B43,'FTD08'!C:E,3,0)</f>
        <v>DN-40</v>
      </c>
      <c r="AG43" s="74" t="str">
        <f>VLOOKUP(B43,'FTD08'!C:G,5,0)</f>
        <v>GEMÜ</v>
      </c>
      <c r="AH43" s="57" t="str">
        <f>VLOOKUP(B43,'FTD09'!C:E,1,0)</f>
        <v>Vapor linha transferência</v>
      </c>
      <c r="AI43" s="85" t="str">
        <f>VLOOKUP(C43,'FTD09'!A:E,1,0)</f>
        <v>Superior</v>
      </c>
      <c r="AJ43" s="53" t="str">
        <f>VLOOKUP(B43,'FTD09'!C:E,3,0)</f>
        <v>DN-40</v>
      </c>
      <c r="AK43" s="56" t="str">
        <f>VLOOKUP(B43,'FTD09'!C:G,5,0)</f>
        <v>GEMÜ</v>
      </c>
      <c r="AL43" s="65" t="str">
        <f>VLOOKUP(B43,'FTD10'!C:E,1,0)</f>
        <v>Vapor linha transferência</v>
      </c>
      <c r="AM43" s="85" t="str">
        <f>VLOOKUP(C43,'FTD10'!A:E,1,0)</f>
        <v>Superior</v>
      </c>
      <c r="AN43" s="53" t="str">
        <f>VLOOKUP(B43,'FTD10'!C:E,3,0)</f>
        <v>DN-40</v>
      </c>
      <c r="AO43" s="74" t="str">
        <f>VLOOKUP(B43,'FTD10'!C:G,5,0)</f>
        <v>GEMÜ</v>
      </c>
      <c r="AP43" s="57" t="str">
        <f>VLOOKUP(B43,'FTD11'!C:E,1,0)</f>
        <v>Vapor linha transferência</v>
      </c>
      <c r="AQ43" s="85" t="str">
        <f>VLOOKUP(C43,'FTD11'!A:E,1,0)</f>
        <v>Superior</v>
      </c>
      <c r="AR43" s="53" t="str">
        <f>VLOOKUP(B43,'FTD11'!C:E,3,0)</f>
        <v>DN-40</v>
      </c>
      <c r="AS43" s="56" t="str">
        <f>VLOOKUP(B43,'FTD11'!C:G,5,0)</f>
        <v>GEMÜ</v>
      </c>
      <c r="AT43" s="65" t="str">
        <f>VLOOKUP(B43,'FTD12'!C:E,1,0)</f>
        <v>Vapor linha transferência</v>
      </c>
      <c r="AU43" s="85" t="str">
        <f>VLOOKUP(C43,'FTD12'!A:E,1,0)</f>
        <v>Superior</v>
      </c>
      <c r="AV43" s="53" t="str">
        <f>VLOOKUP(B43,'FTD12'!C:E,3,0)</f>
        <v>DN-40</v>
      </c>
      <c r="AW43" s="53" t="str">
        <f>VLOOKUP(B43,'FTD12'!C:G,5,0)</f>
        <v>GEMÜ</v>
      </c>
      <c r="AX43" s="124">
        <f t="shared" si="0"/>
        <v>11</v>
      </c>
      <c r="AY43" s="124">
        <f t="shared" si="1"/>
        <v>11</v>
      </c>
    </row>
    <row r="44" spans="2:109" x14ac:dyDescent="0.25">
      <c r="B44" s="14" t="s">
        <v>178</v>
      </c>
      <c r="C44" s="14" t="s">
        <v>68</v>
      </c>
      <c r="D44" s="14" t="s">
        <v>48</v>
      </c>
      <c r="E44" s="14" t="s">
        <v>5</v>
      </c>
      <c r="F44" s="57" t="str">
        <f>VLOOKUP(B44,'FTD02'!C:E,1,0)</f>
        <v xml:space="preserve">Dreno linha de ar pós filtro absoluto </v>
      </c>
      <c r="G44" s="122" t="str">
        <f>VLOOKUP(C44,'FTD02'!A:E,1,0)</f>
        <v>Superior</v>
      </c>
      <c r="H44" s="53" t="str">
        <f>VLOOKUP(B44,'FTD02'!C:E,3,0)</f>
        <v>DN-8</v>
      </c>
      <c r="I44" s="56" t="str">
        <f>VLOOKUP(B44,'FTD02'!C:G,5,0)</f>
        <v>GEMÜ</v>
      </c>
      <c r="J44" s="57" t="str">
        <f>VLOOKUP(B44,'FTD03'!C:E,1,0)</f>
        <v xml:space="preserve">Dreno linha de ar pós filtro absoluto </v>
      </c>
      <c r="K44" s="85" t="str">
        <f>VLOOKUP(C44,'FTD03'!A:E,1,0)</f>
        <v>Superior</v>
      </c>
      <c r="L44" s="53" t="str">
        <f>VLOOKUP(B44,'FTD03'!C:E,3,0)</f>
        <v>DN-8</v>
      </c>
      <c r="M44" s="56" t="str">
        <f>VLOOKUP(B44,'FTD03'!C:G,5,0)</f>
        <v>GEMÜ</v>
      </c>
      <c r="N44" s="57" t="str">
        <f>VLOOKUP(B44,'FTD04'!C:E,1,0)</f>
        <v xml:space="preserve">Dreno linha de ar pós filtro absoluto </v>
      </c>
      <c r="O44" s="85" t="str">
        <f>VLOOKUP(C44,'FTD04'!A:E,1,0)</f>
        <v>Superior</v>
      </c>
      <c r="P44" s="53" t="str">
        <f>VLOOKUP(B44,'FTD04'!C:E,3,0)</f>
        <v>DN-8</v>
      </c>
      <c r="Q44" s="56" t="str">
        <f>VLOOKUP(B44,'FTD04'!C:G,5,0)</f>
        <v>GEMÜ</v>
      </c>
      <c r="R44" s="57" t="str">
        <f>VLOOKUP(B44,'FTD05'!C:E,1,0)</f>
        <v xml:space="preserve">Dreno linha de ar pós filtro absoluto </v>
      </c>
      <c r="S44" s="85" t="str">
        <f>VLOOKUP(C44,'FTD05'!A:E,1,0)</f>
        <v>Superior</v>
      </c>
      <c r="T44" s="53" t="str">
        <f>VLOOKUP(B44,'FTD05'!C:E,3,0)</f>
        <v>DN-8</v>
      </c>
      <c r="U44" s="56" t="str">
        <f>VLOOKUP(B44,'FTD05'!C:G,5,0)</f>
        <v>GEMÜ</v>
      </c>
      <c r="V44" s="65" t="str">
        <f>VLOOKUP(B44,'FTD06'!C:E,1,0)</f>
        <v xml:space="preserve">Dreno linha de ar pós filtro absoluto </v>
      </c>
      <c r="W44" s="85" t="str">
        <f>VLOOKUP(C44,'FTD06'!A:E,1,0)</f>
        <v>Superior</v>
      </c>
      <c r="X44" s="53" t="str">
        <f>VLOOKUP(B44,'FTD06'!C:E,3,0)</f>
        <v>DN-8</v>
      </c>
      <c r="Y44" s="74" t="str">
        <f>VLOOKUP(B44,'FTD06'!C:G,5,0)</f>
        <v>GEMÜ</v>
      </c>
      <c r="Z44" s="57" t="str">
        <f>VLOOKUP(B44,'FTD07'!C:E,1,0)</f>
        <v xml:space="preserve">Dreno linha de ar pós filtro absoluto </v>
      </c>
      <c r="AA44" s="85" t="str">
        <f>VLOOKUP(C44,'FTD07'!A:E,1,0)</f>
        <v>Superior</v>
      </c>
      <c r="AB44" s="53" t="str">
        <f>VLOOKUP(B44,'FTD07'!C:E,3,0)</f>
        <v>DN-8</v>
      </c>
      <c r="AC44" s="56" t="str">
        <f>VLOOKUP(B44,'FTD07'!C:G,5,0)</f>
        <v>GEMÜ</v>
      </c>
      <c r="AD44" s="65" t="str">
        <f>VLOOKUP(B44,'FTD08'!C:E,1,0)</f>
        <v xml:space="preserve">Dreno linha de ar pós filtro absoluto </v>
      </c>
      <c r="AE44" s="85" t="str">
        <f>VLOOKUP(C44,'FTD08'!A:E,1,0)</f>
        <v>Superior</v>
      </c>
      <c r="AF44" s="53" t="str">
        <f>VLOOKUP(B44,'FTD08'!C:E,3,0)</f>
        <v>DN-8</v>
      </c>
      <c r="AG44" s="74" t="str">
        <f>VLOOKUP(B44,'FTD08'!C:G,5,0)</f>
        <v>GEMÜ</v>
      </c>
      <c r="AH44" s="57" t="str">
        <f>VLOOKUP(B44,'FTD09'!C:E,1,0)</f>
        <v xml:space="preserve">Dreno linha de ar pós filtro absoluto </v>
      </c>
      <c r="AI44" s="85" t="str">
        <f>VLOOKUP(C44,'FTD09'!A:E,1,0)</f>
        <v>Superior</v>
      </c>
      <c r="AJ44" s="53" t="str">
        <f>VLOOKUP(B44,'FTD09'!C:E,3,0)</f>
        <v>DN-8</v>
      </c>
      <c r="AK44" s="56" t="str">
        <f>VLOOKUP(B44,'FTD09'!C:G,5,0)</f>
        <v>GEMÜ</v>
      </c>
      <c r="AL44" s="65" t="str">
        <f>VLOOKUP(B44,'FTD10'!C:E,1,0)</f>
        <v xml:space="preserve">Dreno linha de ar pós filtro absoluto </v>
      </c>
      <c r="AM44" s="85" t="str">
        <f>VLOOKUP(C44,'FTD10'!A:E,1,0)</f>
        <v>Superior</v>
      </c>
      <c r="AN44" s="53" t="str">
        <f>VLOOKUP(B44,'FTD10'!C:E,3,0)</f>
        <v>DN-8</v>
      </c>
      <c r="AO44" s="74" t="str">
        <f>VLOOKUP(B44,'FTD10'!C:G,5,0)</f>
        <v>GEMÜ</v>
      </c>
      <c r="AP44" s="57" t="str">
        <f>VLOOKUP(B44,'FTD11'!C:E,1,0)</f>
        <v xml:space="preserve">Dreno linha de ar pós filtro absoluto </v>
      </c>
      <c r="AQ44" s="85" t="str">
        <f>VLOOKUP(C44,'FTD11'!A:E,1,0)</f>
        <v>Superior</v>
      </c>
      <c r="AR44" s="53" t="str">
        <f>VLOOKUP(B44,'FTD11'!C:E,3,0)</f>
        <v>DN-8</v>
      </c>
      <c r="AS44" s="56" t="str">
        <f>VLOOKUP(B44,'FTD11'!C:G,5,0)</f>
        <v>GEMÜ</v>
      </c>
      <c r="AT44" s="65" t="str">
        <f>VLOOKUP(B44,'FTD12'!C:E,1,0)</f>
        <v xml:space="preserve">Dreno linha de ar pós filtro absoluto </v>
      </c>
      <c r="AU44" s="85" t="str">
        <f>VLOOKUP(C44,'FTD12'!A:E,1,0)</f>
        <v>Superior</v>
      </c>
      <c r="AV44" s="53" t="str">
        <f>VLOOKUP(B44,'FTD12'!C:E,3,0)</f>
        <v>DN-8</v>
      </c>
      <c r="AW44" s="53" t="str">
        <f>VLOOKUP(B44,'FTD12'!C:G,5,0)</f>
        <v>GEMÜ</v>
      </c>
      <c r="AX44" s="124">
        <f t="shared" ref="AX44:AX45" si="4">COUNTIF(E44:AU44,AU44)</f>
        <v>11</v>
      </c>
      <c r="AY44" s="124">
        <f t="shared" ref="AY44:AY45" si="5">COUNTIF(F44:AV44,AV44)</f>
        <v>11</v>
      </c>
    </row>
    <row r="45" spans="2:109" x14ac:dyDescent="0.25">
      <c r="B45" s="7" t="s">
        <v>179</v>
      </c>
      <c r="C45" s="7" t="s">
        <v>68</v>
      </c>
      <c r="D45" s="7" t="s">
        <v>48</v>
      </c>
      <c r="E45" s="7" t="s">
        <v>5</v>
      </c>
      <c r="F45" s="57" t="str">
        <f>VLOOKUP(B45,'FTD02'!C:E,1,0)</f>
        <v xml:space="preserve">Dreno linha de ar pré filtro absoluto </v>
      </c>
      <c r="G45" s="122" t="str">
        <f>VLOOKUP(C45,'FTD02'!A:E,1,0)</f>
        <v>Superior</v>
      </c>
      <c r="H45" s="53" t="str">
        <f>VLOOKUP(B45,'FTD02'!C:E,3,0)</f>
        <v>DN-8</v>
      </c>
      <c r="I45" s="56" t="str">
        <f>VLOOKUP(B45,'FTD02'!C:G,5,0)</f>
        <v>GEMÜ</v>
      </c>
      <c r="J45" s="57" t="str">
        <f>VLOOKUP(B45,'FTD03'!C:E,1,0)</f>
        <v xml:space="preserve">Dreno linha de ar pré filtro absoluto </v>
      </c>
      <c r="K45" s="85" t="str">
        <f>VLOOKUP(C45,'FTD03'!A:E,1,0)</f>
        <v>Superior</v>
      </c>
      <c r="L45" s="53" t="str">
        <f>VLOOKUP(B45,'FTD03'!C:E,3,0)</f>
        <v>DN-8</v>
      </c>
      <c r="M45" s="56" t="str">
        <f>VLOOKUP(B45,'FTD03'!C:G,5,0)</f>
        <v>GEMÜ</v>
      </c>
      <c r="N45" s="57" t="str">
        <f>VLOOKUP(B45,'FTD04'!C:E,1,0)</f>
        <v xml:space="preserve">Dreno linha de ar pré filtro absoluto </v>
      </c>
      <c r="O45" s="85" t="str">
        <f>VLOOKUP(C45,'FTD04'!A:E,1,0)</f>
        <v>Superior</v>
      </c>
      <c r="P45" s="53" t="str">
        <f>VLOOKUP(B45,'FTD04'!C:E,3,0)</f>
        <v>DN-8</v>
      </c>
      <c r="Q45" s="56" t="str">
        <f>VLOOKUP(B45,'FTD04'!C:G,5,0)</f>
        <v>GEMÜ</v>
      </c>
      <c r="R45" s="57" t="str">
        <f>VLOOKUP(B45,'FTD05'!C:E,1,0)</f>
        <v xml:space="preserve">Dreno linha de ar pré filtro absoluto </v>
      </c>
      <c r="S45" s="85" t="str">
        <f>VLOOKUP(C45,'FTD05'!A:E,1,0)</f>
        <v>Superior</v>
      </c>
      <c r="T45" s="53" t="str">
        <f>VLOOKUP(B45,'FTD05'!C:E,3,0)</f>
        <v>DN-8</v>
      </c>
      <c r="U45" s="56" t="str">
        <f>VLOOKUP(B45,'FTD05'!C:G,5,0)</f>
        <v>GEMÜ</v>
      </c>
      <c r="V45" s="65" t="str">
        <f>VLOOKUP(B45,'FTD06'!C:E,1,0)</f>
        <v xml:space="preserve">Dreno linha de ar pré filtro absoluto </v>
      </c>
      <c r="W45" s="85" t="str">
        <f>VLOOKUP(C45,'FTD06'!A:E,1,0)</f>
        <v>Superior</v>
      </c>
      <c r="X45" s="53" t="str">
        <f>VLOOKUP(B45,'FTD06'!C:E,3,0)</f>
        <v>DN-8</v>
      </c>
      <c r="Y45" s="74" t="str">
        <f>VLOOKUP(B45,'FTD06'!C:G,5,0)</f>
        <v>GEMÜ</v>
      </c>
      <c r="Z45" s="57" t="str">
        <f>VLOOKUP(B45,'FTD07'!C:E,1,0)</f>
        <v xml:space="preserve">Dreno linha de ar pré filtro absoluto </v>
      </c>
      <c r="AA45" s="85" t="str">
        <f>VLOOKUP(C45,'FTD07'!A:E,1,0)</f>
        <v>Superior</v>
      </c>
      <c r="AB45" s="53" t="str">
        <f>VLOOKUP(B45,'FTD07'!C:E,3,0)</f>
        <v>DN-8</v>
      </c>
      <c r="AC45" s="56" t="str">
        <f>VLOOKUP(B45,'FTD07'!C:G,5,0)</f>
        <v>GEMÜ</v>
      </c>
      <c r="AD45" s="65" t="str">
        <f>VLOOKUP(B45,'FTD08'!C:E,1,0)</f>
        <v xml:space="preserve">Dreno linha de ar pré filtro absoluto </v>
      </c>
      <c r="AE45" s="85" t="str">
        <f>VLOOKUP(C45,'FTD08'!A:E,1,0)</f>
        <v>Superior</v>
      </c>
      <c r="AF45" s="53" t="str">
        <f>VLOOKUP(B45,'FTD08'!C:E,3,0)</f>
        <v>DN-8</v>
      </c>
      <c r="AG45" s="74" t="str">
        <f>VLOOKUP(B45,'FTD08'!C:G,5,0)</f>
        <v>GEMÜ</v>
      </c>
      <c r="AH45" s="57" t="str">
        <f>VLOOKUP(B45,'FTD09'!C:E,1,0)</f>
        <v xml:space="preserve">Dreno linha de ar pré filtro absoluto </v>
      </c>
      <c r="AI45" s="85" t="str">
        <f>VLOOKUP(C45,'FTD09'!A:E,1,0)</f>
        <v>Superior</v>
      </c>
      <c r="AJ45" s="53" t="str">
        <f>VLOOKUP(B45,'FTD09'!C:E,3,0)</f>
        <v>DN-8</v>
      </c>
      <c r="AK45" s="56" t="str">
        <f>VLOOKUP(B45,'FTD09'!C:G,5,0)</f>
        <v>GEMÜ</v>
      </c>
      <c r="AL45" s="65" t="str">
        <f>VLOOKUP(B45,'FTD10'!C:E,1,0)</f>
        <v xml:space="preserve">Dreno linha de ar pré filtro absoluto </v>
      </c>
      <c r="AM45" s="85" t="str">
        <f>VLOOKUP(C45,'FTD10'!A:E,1,0)</f>
        <v>Superior</v>
      </c>
      <c r="AN45" s="53" t="str">
        <f>VLOOKUP(B45,'FTD10'!C:E,3,0)</f>
        <v>DN-8</v>
      </c>
      <c r="AO45" s="74" t="str">
        <f>VLOOKUP(B45,'FTD10'!C:G,5,0)</f>
        <v>GEMÜ</v>
      </c>
      <c r="AP45" s="57" t="str">
        <f>VLOOKUP(B45,'FTD11'!C:E,1,0)</f>
        <v xml:space="preserve">Dreno linha de ar pré filtro absoluto </v>
      </c>
      <c r="AQ45" s="85" t="str">
        <f>VLOOKUP(C45,'FTD11'!A:E,1,0)</f>
        <v>Superior</v>
      </c>
      <c r="AR45" s="53" t="str">
        <f>VLOOKUP(B45,'FTD11'!C:E,3,0)</f>
        <v>DN-8</v>
      </c>
      <c r="AS45" s="56" t="str">
        <f>VLOOKUP(B45,'FTD11'!C:G,5,0)</f>
        <v>GEMÜ</v>
      </c>
      <c r="AT45" s="65" t="str">
        <f>VLOOKUP(B45,'FTD12'!C:E,1,0)</f>
        <v xml:space="preserve">Dreno linha de ar pré filtro absoluto </v>
      </c>
      <c r="AU45" s="85" t="str">
        <f>VLOOKUP(C45,'FTD12'!A:E,1,0)</f>
        <v>Superior</v>
      </c>
      <c r="AV45" s="53" t="str">
        <f>VLOOKUP(B45,'FTD12'!C:E,3,0)</f>
        <v>DN-8</v>
      </c>
      <c r="AW45" s="53" t="str">
        <f>VLOOKUP(B45,'FTD12'!C:G,5,0)</f>
        <v>GEMÜ</v>
      </c>
      <c r="AX45" s="124">
        <f t="shared" si="4"/>
        <v>11</v>
      </c>
      <c r="AY45" s="124">
        <f t="shared" si="5"/>
        <v>11</v>
      </c>
    </row>
    <row r="47" spans="2:109" x14ac:dyDescent="0.25">
      <c r="B47" s="120" t="s">
        <v>180</v>
      </c>
      <c r="C47" s="120" t="s">
        <v>181</v>
      </c>
      <c r="D47" s="121" t="s">
        <v>182</v>
      </c>
    </row>
    <row r="48" spans="2:109" x14ac:dyDescent="0.25">
      <c r="B48" s="120" t="s">
        <v>75</v>
      </c>
      <c r="C48" s="120" t="s">
        <v>181</v>
      </c>
      <c r="D48" s="121" t="s">
        <v>182</v>
      </c>
    </row>
    <row r="49" spans="2:4" x14ac:dyDescent="0.25">
      <c r="B49" s="120" t="s">
        <v>183</v>
      </c>
      <c r="C49" s="120" t="s">
        <v>184</v>
      </c>
      <c r="D49" s="121" t="s">
        <v>185</v>
      </c>
    </row>
    <row r="50" spans="2:4" x14ac:dyDescent="0.25">
      <c r="B50" s="120" t="s">
        <v>115</v>
      </c>
      <c r="C50" s="120" t="s">
        <v>186</v>
      </c>
      <c r="D50" s="189" t="s">
        <v>187</v>
      </c>
    </row>
    <row r="51" spans="2:4" x14ac:dyDescent="0.25">
      <c r="B51" s="120" t="s">
        <v>103</v>
      </c>
      <c r="C51" s="120" t="s">
        <v>186</v>
      </c>
      <c r="D51" s="189"/>
    </row>
    <row r="52" spans="2:4" x14ac:dyDescent="0.25">
      <c r="B52" s="120" t="s">
        <v>147</v>
      </c>
      <c r="C52" s="120" t="s">
        <v>188</v>
      </c>
      <c r="D52" s="189"/>
    </row>
    <row r="53" spans="2:4" x14ac:dyDescent="0.25">
      <c r="B53" s="120" t="s">
        <v>189</v>
      </c>
      <c r="C53" s="120" t="s">
        <v>190</v>
      </c>
      <c r="D53" s="121" t="s">
        <v>185</v>
      </c>
    </row>
    <row r="54" spans="2:4" x14ac:dyDescent="0.25">
      <c r="B54" s="120" t="s">
        <v>191</v>
      </c>
      <c r="C54" s="120" t="s">
        <v>75</v>
      </c>
      <c r="D54" s="121"/>
    </row>
  </sheetData>
  <autoFilter ref="B3:AV45" xr:uid="{B6E34492-B095-48CB-A573-254602AB7029}">
    <sortState xmlns:xlrd2="http://schemas.microsoft.com/office/spreadsheetml/2017/richdata2" ref="B4:AV45">
      <sortCondition ref="J3:J43"/>
    </sortState>
  </autoFilter>
  <sortState xmlns:xlrd2="http://schemas.microsoft.com/office/spreadsheetml/2017/richdata2" ref="B3:DE3">
    <sortCondition ref="B3"/>
  </sortState>
  <mergeCells count="27">
    <mergeCell ref="D50:D52"/>
    <mergeCell ref="B2:E2"/>
    <mergeCell ref="BA2:BD2"/>
    <mergeCell ref="CY2:DA2"/>
    <mergeCell ref="DB2:DE2"/>
    <mergeCell ref="CS2:CW2"/>
    <mergeCell ref="CO2:CR2"/>
    <mergeCell ref="CK2:CN2"/>
    <mergeCell ref="CG2:CJ2"/>
    <mergeCell ref="CC2:CF2"/>
    <mergeCell ref="BY2:CB2"/>
    <mergeCell ref="BU2:BX2"/>
    <mergeCell ref="BQ2:BT2"/>
    <mergeCell ref="BM2:BP2"/>
    <mergeCell ref="BI2:BL2"/>
    <mergeCell ref="BE2:BH2"/>
    <mergeCell ref="AT2:AY2"/>
    <mergeCell ref="AP2:AS2"/>
    <mergeCell ref="AL2:AO2"/>
    <mergeCell ref="AH2:AK2"/>
    <mergeCell ref="AD2:AG2"/>
    <mergeCell ref="F2:I2"/>
    <mergeCell ref="Z2:AC2"/>
    <mergeCell ref="V2:Y2"/>
    <mergeCell ref="R2:U2"/>
    <mergeCell ref="N2:Q2"/>
    <mergeCell ref="J2:M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9446-0286-4617-8ECE-ACCA81EF7D93}">
  <sheetPr codeName="Planilha4">
    <tabColor rgb="FF92D050"/>
    <pageSetUpPr fitToPage="1"/>
  </sheetPr>
  <dimension ref="A1:O130"/>
  <sheetViews>
    <sheetView showGridLines="0" view="pageBreakPreview" topLeftCell="B1" zoomScale="85" zoomScaleNormal="70" zoomScaleSheetLayoutView="85" workbookViewId="0">
      <selection activeCell="C6" sqref="C6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194</v>
      </c>
      <c r="C3" s="26"/>
      <c r="D3" s="35" t="s">
        <v>1076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>
        <v>42692</v>
      </c>
      <c r="N3" s="193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90" t="s">
        <v>198</v>
      </c>
      <c r="L5" s="191"/>
      <c r="M5" s="191"/>
      <c r="N5" s="192"/>
      <c r="O5" s="23"/>
    </row>
    <row r="6" spans="1:15" ht="32.25" customHeight="1" x14ac:dyDescent="0.25">
      <c r="A6" s="32" t="s">
        <v>199</v>
      </c>
      <c r="B6" s="32" t="s">
        <v>46</v>
      </c>
      <c r="C6" s="32" t="s">
        <v>42</v>
      </c>
      <c r="D6" s="32" t="s">
        <v>200</v>
      </c>
      <c r="E6" s="32" t="s">
        <v>43</v>
      </c>
      <c r="F6" s="32" t="s">
        <v>201</v>
      </c>
      <c r="G6" s="32" t="s">
        <v>202</v>
      </c>
      <c r="H6" s="32" t="s">
        <v>203</v>
      </c>
      <c r="I6" s="48" t="s">
        <v>204</v>
      </c>
      <c r="J6" s="48" t="s">
        <v>205</v>
      </c>
      <c r="K6" s="48">
        <v>1</v>
      </c>
      <c r="L6" s="48">
        <v>2</v>
      </c>
      <c r="M6" s="48">
        <v>3</v>
      </c>
      <c r="N6" s="48">
        <v>4</v>
      </c>
      <c r="O6" s="32" t="s">
        <v>206</v>
      </c>
    </row>
    <row r="7" spans="1:15" x14ac:dyDescent="0.25">
      <c r="A7" s="7" t="s">
        <v>174</v>
      </c>
      <c r="B7" s="7" t="s">
        <v>207</v>
      </c>
      <c r="C7" s="7" t="s">
        <v>55</v>
      </c>
      <c r="D7" s="7" t="s">
        <v>208</v>
      </c>
      <c r="E7" s="7" t="s">
        <v>51</v>
      </c>
      <c r="F7" s="7" t="s">
        <v>209</v>
      </c>
      <c r="G7" s="7" t="s">
        <v>5</v>
      </c>
      <c r="H7" s="7" t="s">
        <v>210</v>
      </c>
      <c r="I7" s="1"/>
      <c r="J7" s="1"/>
      <c r="K7" s="1"/>
      <c r="L7" s="1"/>
      <c r="M7" s="1"/>
      <c r="N7" s="1"/>
      <c r="O7" s="1"/>
    </row>
    <row r="8" spans="1:15" x14ac:dyDescent="0.25">
      <c r="A8" s="14" t="s">
        <v>174</v>
      </c>
      <c r="B8" s="14" t="s">
        <v>211</v>
      </c>
      <c r="C8" s="14" t="s">
        <v>84</v>
      </c>
      <c r="D8" s="14" t="s">
        <v>208</v>
      </c>
      <c r="E8" s="14" t="s">
        <v>51</v>
      </c>
      <c r="F8" s="14" t="s">
        <v>209</v>
      </c>
      <c r="G8" s="14" t="s">
        <v>5</v>
      </c>
      <c r="H8" s="14" t="s">
        <v>210</v>
      </c>
      <c r="I8" s="6"/>
      <c r="J8" s="6"/>
      <c r="K8" s="6"/>
      <c r="L8" s="6"/>
      <c r="M8" s="6"/>
      <c r="N8" s="6"/>
      <c r="O8" s="6"/>
    </row>
    <row r="9" spans="1:15" x14ac:dyDescent="0.25">
      <c r="A9" s="7" t="s">
        <v>174</v>
      </c>
      <c r="B9" s="7" t="s">
        <v>212</v>
      </c>
      <c r="C9" s="7" t="s">
        <v>67</v>
      </c>
      <c r="D9" s="7" t="s">
        <v>208</v>
      </c>
      <c r="E9" s="7" t="s">
        <v>51</v>
      </c>
      <c r="F9" s="7" t="s">
        <v>209</v>
      </c>
      <c r="G9" s="7" t="s">
        <v>5</v>
      </c>
      <c r="H9" s="7" t="s">
        <v>210</v>
      </c>
      <c r="I9" s="1"/>
      <c r="J9" s="1"/>
      <c r="K9" s="1"/>
      <c r="L9" s="1"/>
      <c r="M9" s="1"/>
      <c r="N9" s="1"/>
      <c r="O9" s="1"/>
    </row>
    <row r="10" spans="1:15" x14ac:dyDescent="0.25">
      <c r="A10" s="14" t="s">
        <v>174</v>
      </c>
      <c r="B10" s="14" t="s">
        <v>213</v>
      </c>
      <c r="C10" s="14" t="s">
        <v>71</v>
      </c>
      <c r="D10" s="14" t="s">
        <v>208</v>
      </c>
      <c r="E10" s="14" t="s">
        <v>51</v>
      </c>
      <c r="F10" s="14" t="s">
        <v>209</v>
      </c>
      <c r="G10" s="14" t="s">
        <v>5</v>
      </c>
      <c r="H10" s="14" t="s">
        <v>210</v>
      </c>
      <c r="I10" s="6"/>
      <c r="J10" s="6"/>
      <c r="K10" s="6"/>
      <c r="L10" s="6"/>
      <c r="M10" s="6"/>
      <c r="N10" s="6"/>
      <c r="O10" s="6"/>
    </row>
    <row r="11" spans="1:15" x14ac:dyDescent="0.25">
      <c r="A11" s="7" t="s">
        <v>174</v>
      </c>
      <c r="B11" s="7" t="s">
        <v>214</v>
      </c>
      <c r="C11" s="7" t="s">
        <v>59</v>
      </c>
      <c r="D11" s="7" t="s">
        <v>215</v>
      </c>
      <c r="E11" s="7" t="s">
        <v>48</v>
      </c>
      <c r="F11" s="7" t="s">
        <v>216</v>
      </c>
      <c r="G11" s="7" t="s">
        <v>6</v>
      </c>
      <c r="H11" s="7" t="s">
        <v>210</v>
      </c>
      <c r="I11" s="1"/>
      <c r="J11" s="1"/>
      <c r="K11" s="1"/>
      <c r="L11" s="1"/>
      <c r="M11" s="1"/>
      <c r="N11" s="1"/>
      <c r="O11" s="1"/>
    </row>
    <row r="12" spans="1:15" x14ac:dyDescent="0.25">
      <c r="A12" s="14" t="s">
        <v>174</v>
      </c>
      <c r="B12" s="14" t="s">
        <v>57</v>
      </c>
      <c r="C12" s="14" t="s">
        <v>47</v>
      </c>
      <c r="D12" s="14" t="s">
        <v>217</v>
      </c>
      <c r="E12" s="14" t="s">
        <v>48</v>
      </c>
      <c r="F12" s="14" t="s">
        <v>216</v>
      </c>
      <c r="G12" s="14" t="s">
        <v>6</v>
      </c>
      <c r="H12" s="14" t="s">
        <v>218</v>
      </c>
      <c r="I12" s="6"/>
      <c r="J12" s="6"/>
      <c r="K12" s="6"/>
      <c r="L12" s="6"/>
      <c r="M12" s="6"/>
      <c r="N12" s="6"/>
      <c r="O12" s="6"/>
    </row>
    <row r="13" spans="1:15" x14ac:dyDescent="0.25">
      <c r="A13" s="7" t="s">
        <v>174</v>
      </c>
      <c r="B13" s="7" t="s">
        <v>57</v>
      </c>
      <c r="C13" s="7" t="s">
        <v>56</v>
      </c>
      <c r="D13" s="7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1"/>
      <c r="J13" s="1"/>
      <c r="K13" s="1"/>
      <c r="L13" s="1"/>
      <c r="M13" s="1"/>
      <c r="N13" s="1"/>
      <c r="O13" s="1"/>
    </row>
    <row r="14" spans="1:15" x14ac:dyDescent="0.25">
      <c r="A14" s="14" t="s">
        <v>174</v>
      </c>
      <c r="B14" s="14" t="s">
        <v>57</v>
      </c>
      <c r="C14" s="14" t="s">
        <v>53</v>
      </c>
      <c r="D14" s="14" t="s">
        <v>217</v>
      </c>
      <c r="E14" s="14" t="s">
        <v>54</v>
      </c>
      <c r="F14" s="14" t="s">
        <v>219</v>
      </c>
      <c r="G14" s="14" t="s">
        <v>6</v>
      </c>
      <c r="H14" s="14" t="s">
        <v>210</v>
      </c>
      <c r="I14" s="6"/>
      <c r="J14" s="6"/>
      <c r="K14" s="6"/>
      <c r="L14" s="6"/>
      <c r="M14" s="6"/>
      <c r="N14" s="6"/>
      <c r="O14" s="6"/>
    </row>
    <row r="15" spans="1:15" x14ac:dyDescent="0.25">
      <c r="A15" s="7" t="s">
        <v>174</v>
      </c>
      <c r="B15" s="7" t="s">
        <v>57</v>
      </c>
      <c r="C15" s="7" t="s">
        <v>58</v>
      </c>
      <c r="D15" s="7" t="s">
        <v>217</v>
      </c>
      <c r="E15" s="7" t="s">
        <v>54</v>
      </c>
      <c r="F15" s="7" t="s">
        <v>219</v>
      </c>
      <c r="G15" s="7" t="s">
        <v>6</v>
      </c>
      <c r="H15" s="7" t="s">
        <v>218</v>
      </c>
      <c r="I15" s="1"/>
      <c r="J15" s="1"/>
      <c r="K15" s="1"/>
      <c r="L15" s="1"/>
      <c r="M15" s="1"/>
      <c r="N15" s="1"/>
      <c r="O15" s="1"/>
    </row>
    <row r="16" spans="1:15" x14ac:dyDescent="0.25">
      <c r="A16" s="14" t="s">
        <v>174</v>
      </c>
      <c r="B16" s="14" t="s">
        <v>220</v>
      </c>
      <c r="C16" s="14" t="s">
        <v>175</v>
      </c>
      <c r="D16" s="14" t="s">
        <v>221</v>
      </c>
      <c r="E16" s="14" t="s">
        <v>76</v>
      </c>
      <c r="F16" s="14" t="s">
        <v>222</v>
      </c>
      <c r="G16" s="14" t="s">
        <v>5</v>
      </c>
      <c r="H16" s="14" t="s">
        <v>210</v>
      </c>
      <c r="I16" s="6"/>
      <c r="J16" s="6"/>
      <c r="K16" s="6"/>
      <c r="L16" s="6"/>
      <c r="M16" s="6"/>
      <c r="N16" s="6"/>
      <c r="O16" s="6"/>
    </row>
    <row r="17" spans="1:15" x14ac:dyDescent="0.25">
      <c r="A17" s="7" t="s">
        <v>174</v>
      </c>
      <c r="B17" s="7" t="s">
        <v>223</v>
      </c>
      <c r="C17" s="7" t="s">
        <v>72</v>
      </c>
      <c r="D17" s="7" t="s">
        <v>221</v>
      </c>
      <c r="E17" s="7" t="s">
        <v>76</v>
      </c>
      <c r="F17" s="7" t="s">
        <v>222</v>
      </c>
      <c r="G17" s="7" t="s">
        <v>5</v>
      </c>
      <c r="H17" s="7" t="s">
        <v>210</v>
      </c>
      <c r="I17" s="1"/>
      <c r="J17" s="1"/>
      <c r="K17" s="1"/>
      <c r="L17" s="1"/>
      <c r="M17" s="1"/>
      <c r="N17" s="1"/>
      <c r="O17" s="1"/>
    </row>
    <row r="18" spans="1:15" x14ac:dyDescent="0.25">
      <c r="A18" s="14" t="s">
        <v>68</v>
      </c>
      <c r="B18" s="14" t="s">
        <v>224</v>
      </c>
      <c r="C18" s="14" t="s">
        <v>125</v>
      </c>
      <c r="D18" s="14" t="s">
        <v>225</v>
      </c>
      <c r="E18" s="14" t="s">
        <v>51</v>
      </c>
      <c r="F18" s="14" t="s">
        <v>209</v>
      </c>
      <c r="G18" s="14" t="s">
        <v>5</v>
      </c>
      <c r="H18" s="14" t="s">
        <v>218</v>
      </c>
      <c r="I18" s="6"/>
      <c r="J18" s="6"/>
      <c r="K18" s="6"/>
      <c r="L18" s="6"/>
      <c r="M18" s="6"/>
      <c r="N18" s="6"/>
      <c r="O18" s="6"/>
    </row>
    <row r="19" spans="1:15" x14ac:dyDescent="0.25">
      <c r="A19" s="7" t="s">
        <v>68</v>
      </c>
      <c r="B19" s="7" t="s">
        <v>226</v>
      </c>
      <c r="C19" s="7" t="s">
        <v>158</v>
      </c>
      <c r="D19" s="7" t="s">
        <v>208</v>
      </c>
      <c r="E19" s="7" t="s">
        <v>51</v>
      </c>
      <c r="F19" s="7" t="s">
        <v>209</v>
      </c>
      <c r="G19" s="7" t="s">
        <v>5</v>
      </c>
      <c r="H19" s="7" t="s">
        <v>210</v>
      </c>
      <c r="I19" s="1"/>
      <c r="J19" s="1"/>
      <c r="K19" s="1"/>
      <c r="L19" s="1"/>
      <c r="M19" s="1"/>
      <c r="N19" s="1"/>
      <c r="O19" s="1"/>
    </row>
    <row r="20" spans="1:15" x14ac:dyDescent="0.25">
      <c r="A20" s="14" t="s">
        <v>68</v>
      </c>
      <c r="B20" s="14" t="s">
        <v>227</v>
      </c>
      <c r="C20" s="14" t="s">
        <v>106</v>
      </c>
      <c r="D20" s="14" t="s">
        <v>225</v>
      </c>
      <c r="E20" s="14" t="s">
        <v>51</v>
      </c>
      <c r="F20" s="14" t="s">
        <v>209</v>
      </c>
      <c r="G20" s="14" t="s">
        <v>5</v>
      </c>
      <c r="H20" s="14" t="s">
        <v>218</v>
      </c>
      <c r="I20" s="6"/>
      <c r="J20" s="6"/>
      <c r="K20" s="6"/>
      <c r="L20" s="6"/>
      <c r="M20" s="6"/>
      <c r="N20" s="6"/>
      <c r="O20" s="6"/>
    </row>
    <row r="21" spans="1:15" x14ac:dyDescent="0.25">
      <c r="A21" s="7" t="s">
        <v>68</v>
      </c>
      <c r="B21" s="7" t="s">
        <v>228</v>
      </c>
      <c r="C21" s="7" t="s">
        <v>115</v>
      </c>
      <c r="D21" s="7" t="s">
        <v>229</v>
      </c>
      <c r="E21" s="7" t="s">
        <v>80</v>
      </c>
      <c r="F21" s="7" t="s">
        <v>230</v>
      </c>
      <c r="G21" s="7" t="s">
        <v>5</v>
      </c>
      <c r="H21" s="7" t="s">
        <v>218</v>
      </c>
      <c r="I21" s="1"/>
      <c r="J21" s="1"/>
      <c r="K21" s="1"/>
      <c r="L21" s="1"/>
      <c r="M21" s="1"/>
      <c r="N21" s="1"/>
      <c r="O21" s="1"/>
    </row>
    <row r="22" spans="1:15" x14ac:dyDescent="0.25">
      <c r="A22" s="14" t="s">
        <v>68</v>
      </c>
      <c r="B22" s="14" t="s">
        <v>231</v>
      </c>
      <c r="C22" s="14" t="s">
        <v>147</v>
      </c>
      <c r="D22" s="14" t="s">
        <v>229</v>
      </c>
      <c r="E22" s="14" t="s">
        <v>80</v>
      </c>
      <c r="F22" s="14" t="s">
        <v>230</v>
      </c>
      <c r="G22" s="14" t="s">
        <v>5</v>
      </c>
      <c r="H22" s="14" t="s">
        <v>210</v>
      </c>
      <c r="I22" s="6"/>
      <c r="J22" s="6"/>
      <c r="K22" s="6"/>
      <c r="L22" s="6"/>
      <c r="M22" s="6"/>
      <c r="N22" s="6"/>
      <c r="O22" s="6"/>
    </row>
    <row r="23" spans="1:15" x14ac:dyDescent="0.25">
      <c r="A23" s="7" t="s">
        <v>68</v>
      </c>
      <c r="B23" s="7" t="s">
        <v>232</v>
      </c>
      <c r="C23" s="7" t="s">
        <v>103</v>
      </c>
      <c r="D23" s="7" t="s">
        <v>229</v>
      </c>
      <c r="E23" s="7" t="s">
        <v>80</v>
      </c>
      <c r="F23" s="7" t="s">
        <v>230</v>
      </c>
      <c r="G23" s="7" t="s">
        <v>5</v>
      </c>
      <c r="H23" s="7" t="s">
        <v>218</v>
      </c>
      <c r="I23" s="1"/>
      <c r="J23" s="1"/>
      <c r="K23" s="1"/>
      <c r="L23" s="1"/>
      <c r="M23" s="1"/>
      <c r="N23" s="1"/>
      <c r="O23" s="1"/>
    </row>
    <row r="24" spans="1:15" x14ac:dyDescent="0.25">
      <c r="A24" s="14" t="s">
        <v>68</v>
      </c>
      <c r="B24" s="14" t="s">
        <v>233</v>
      </c>
      <c r="C24" s="14" t="s">
        <v>119</v>
      </c>
      <c r="D24" s="14" t="s">
        <v>208</v>
      </c>
      <c r="E24" s="14" t="s">
        <v>51</v>
      </c>
      <c r="F24" s="14" t="s">
        <v>209</v>
      </c>
      <c r="G24" s="14" t="s">
        <v>5</v>
      </c>
      <c r="H24" s="14" t="s">
        <v>218</v>
      </c>
      <c r="I24" s="6"/>
      <c r="J24" s="6"/>
      <c r="K24" s="6"/>
      <c r="L24" s="6"/>
      <c r="M24" s="6"/>
      <c r="N24" s="6"/>
      <c r="O24" s="6"/>
    </row>
    <row r="25" spans="1:15" x14ac:dyDescent="0.25">
      <c r="A25" s="7" t="s">
        <v>68</v>
      </c>
      <c r="B25" s="7" t="s">
        <v>234</v>
      </c>
      <c r="C25" s="7" t="s">
        <v>150</v>
      </c>
      <c r="D25" s="7" t="s">
        <v>208</v>
      </c>
      <c r="E25" s="7" t="s">
        <v>51</v>
      </c>
      <c r="F25" s="7" t="s">
        <v>209</v>
      </c>
      <c r="G25" s="7" t="s">
        <v>5</v>
      </c>
      <c r="H25" s="7" t="s">
        <v>210</v>
      </c>
      <c r="I25" s="1"/>
      <c r="J25" s="1"/>
      <c r="K25" s="1"/>
      <c r="L25" s="1"/>
      <c r="M25" s="1"/>
      <c r="N25" s="1"/>
      <c r="O25" s="1"/>
    </row>
    <row r="26" spans="1:15" x14ac:dyDescent="0.25">
      <c r="A26" s="14" t="s">
        <v>68</v>
      </c>
      <c r="B26" s="14" t="s">
        <v>235</v>
      </c>
      <c r="C26" s="14" t="s">
        <v>85</v>
      </c>
      <c r="D26" s="14" t="s">
        <v>208</v>
      </c>
      <c r="E26" s="14" t="s">
        <v>51</v>
      </c>
      <c r="F26" s="14" t="s">
        <v>209</v>
      </c>
      <c r="G26" s="14" t="s">
        <v>5</v>
      </c>
      <c r="H26" s="14" t="s">
        <v>218</v>
      </c>
      <c r="I26" s="6"/>
      <c r="J26" s="6"/>
      <c r="K26" s="6"/>
      <c r="L26" s="6"/>
      <c r="M26" s="6"/>
      <c r="N26" s="6"/>
      <c r="O26" s="6"/>
    </row>
    <row r="27" spans="1:15" x14ac:dyDescent="0.25">
      <c r="A27" s="7" t="s">
        <v>68</v>
      </c>
      <c r="B27" s="7" t="s">
        <v>236</v>
      </c>
      <c r="C27" s="7" t="s">
        <v>122</v>
      </c>
      <c r="D27" s="7" t="s">
        <v>208</v>
      </c>
      <c r="E27" s="7" t="s">
        <v>51</v>
      </c>
      <c r="F27" s="7" t="s">
        <v>209</v>
      </c>
      <c r="G27" s="7" t="s">
        <v>5</v>
      </c>
      <c r="H27" s="7" t="s">
        <v>218</v>
      </c>
      <c r="I27" s="1"/>
      <c r="J27" s="1"/>
      <c r="K27" s="1"/>
      <c r="L27" s="1"/>
      <c r="M27" s="1"/>
      <c r="N27" s="1"/>
      <c r="O27" s="1"/>
    </row>
    <row r="28" spans="1:15" x14ac:dyDescent="0.25">
      <c r="A28" s="14" t="s">
        <v>68</v>
      </c>
      <c r="B28" s="14" t="s">
        <v>237</v>
      </c>
      <c r="C28" s="14" t="s">
        <v>155</v>
      </c>
      <c r="D28" s="14" t="s">
        <v>208</v>
      </c>
      <c r="E28" s="14" t="s">
        <v>51</v>
      </c>
      <c r="F28" s="14" t="s">
        <v>209</v>
      </c>
      <c r="G28" s="14" t="s">
        <v>5</v>
      </c>
      <c r="H28" s="14" t="s">
        <v>210</v>
      </c>
      <c r="I28" s="6"/>
      <c r="J28" s="6"/>
      <c r="K28" s="6"/>
      <c r="L28" s="6"/>
      <c r="M28" s="6"/>
      <c r="N28" s="6"/>
      <c r="O28" s="6"/>
    </row>
    <row r="29" spans="1:15" x14ac:dyDescent="0.25">
      <c r="A29" s="7" t="s">
        <v>68</v>
      </c>
      <c r="B29" s="7" t="s">
        <v>238</v>
      </c>
      <c r="C29" s="7" t="s">
        <v>90</v>
      </c>
      <c r="D29" s="7" t="s">
        <v>208</v>
      </c>
      <c r="E29" s="7" t="s">
        <v>51</v>
      </c>
      <c r="F29" s="7" t="s">
        <v>209</v>
      </c>
      <c r="G29" s="7" t="s">
        <v>5</v>
      </c>
      <c r="H29" s="7" t="s">
        <v>218</v>
      </c>
      <c r="I29" s="1"/>
      <c r="J29" s="1"/>
      <c r="K29" s="1"/>
      <c r="L29" s="1"/>
      <c r="M29" s="1"/>
      <c r="N29" s="1"/>
      <c r="O29" s="1"/>
    </row>
    <row r="30" spans="1:15" x14ac:dyDescent="0.25">
      <c r="A30" s="14" t="s">
        <v>68</v>
      </c>
      <c r="B30" s="14" t="s">
        <v>239</v>
      </c>
      <c r="C30" s="14" t="s">
        <v>128</v>
      </c>
      <c r="D30" s="14" t="s">
        <v>240</v>
      </c>
      <c r="E30" s="14" t="s">
        <v>86</v>
      </c>
      <c r="F30" s="14" t="s">
        <v>241</v>
      </c>
      <c r="G30" s="14" t="s">
        <v>5</v>
      </c>
      <c r="H30" s="14" t="s">
        <v>218</v>
      </c>
      <c r="I30" s="6"/>
      <c r="J30" s="6"/>
      <c r="K30" s="6"/>
      <c r="L30" s="6"/>
      <c r="M30" s="6"/>
      <c r="N30" s="6"/>
      <c r="O30" s="6"/>
    </row>
    <row r="31" spans="1:15" x14ac:dyDescent="0.25">
      <c r="A31" s="7" t="s">
        <v>68</v>
      </c>
      <c r="B31" s="7" t="s">
        <v>242</v>
      </c>
      <c r="C31" s="7" t="s">
        <v>152</v>
      </c>
      <c r="D31" s="7" t="s">
        <v>240</v>
      </c>
      <c r="E31" s="7" t="s">
        <v>86</v>
      </c>
      <c r="F31" s="7" t="s">
        <v>241</v>
      </c>
      <c r="G31" s="7" t="s">
        <v>5</v>
      </c>
      <c r="H31" s="7" t="s">
        <v>210</v>
      </c>
      <c r="I31" s="1"/>
      <c r="J31" s="1"/>
      <c r="K31" s="1"/>
      <c r="L31" s="1"/>
      <c r="M31" s="1"/>
      <c r="N31" s="1"/>
      <c r="O31" s="1"/>
    </row>
    <row r="32" spans="1:15" x14ac:dyDescent="0.25">
      <c r="A32" s="14" t="s">
        <v>68</v>
      </c>
      <c r="B32" s="14" t="s">
        <v>243</v>
      </c>
      <c r="C32" s="14" t="s">
        <v>96</v>
      </c>
      <c r="D32" s="14" t="s">
        <v>240</v>
      </c>
      <c r="E32" s="14" t="s">
        <v>86</v>
      </c>
      <c r="F32" s="14" t="s">
        <v>241</v>
      </c>
      <c r="G32" s="14" t="s">
        <v>5</v>
      </c>
      <c r="H32" s="14" t="s">
        <v>218</v>
      </c>
      <c r="I32" s="6"/>
      <c r="J32" s="6"/>
      <c r="K32" s="6"/>
      <c r="L32" s="6"/>
      <c r="M32" s="6"/>
      <c r="N32" s="6"/>
      <c r="O32" s="6"/>
    </row>
    <row r="33" spans="1:15" ht="18" customHeight="1" x14ac:dyDescent="0.25">
      <c r="A33" s="7" t="s">
        <v>68</v>
      </c>
      <c r="B33" s="7" t="s">
        <v>244</v>
      </c>
      <c r="C33" s="7" t="s">
        <v>93</v>
      </c>
      <c r="D33" s="7" t="s">
        <v>208</v>
      </c>
      <c r="E33" s="7" t="s">
        <v>51</v>
      </c>
      <c r="F33" s="7" t="s">
        <v>209</v>
      </c>
      <c r="G33" s="7" t="s">
        <v>5</v>
      </c>
      <c r="H33" s="7" t="s">
        <v>210</v>
      </c>
      <c r="I33" s="1"/>
      <c r="J33" s="1"/>
      <c r="K33" s="1"/>
      <c r="L33" s="1"/>
      <c r="M33" s="1"/>
      <c r="N33" s="1"/>
      <c r="O33" s="1"/>
    </row>
    <row r="34" spans="1:15" x14ac:dyDescent="0.25">
      <c r="A34" s="14" t="s">
        <v>68</v>
      </c>
      <c r="B34" s="14" t="s">
        <v>245</v>
      </c>
      <c r="C34" s="14" t="s">
        <v>161</v>
      </c>
      <c r="D34" s="14" t="s">
        <v>208</v>
      </c>
      <c r="E34" s="14" t="s">
        <v>51</v>
      </c>
      <c r="F34" s="14" t="s">
        <v>209</v>
      </c>
      <c r="G34" s="14" t="s">
        <v>5</v>
      </c>
      <c r="H34" s="14" t="s">
        <v>210</v>
      </c>
      <c r="I34" s="6"/>
      <c r="J34" s="6"/>
      <c r="K34" s="6"/>
      <c r="L34" s="6"/>
      <c r="M34" s="6"/>
      <c r="N34" s="6"/>
      <c r="O34" s="6"/>
    </row>
    <row r="35" spans="1:15" x14ac:dyDescent="0.25">
      <c r="A35" s="7" t="s">
        <v>68</v>
      </c>
      <c r="B35" s="7" t="s">
        <v>246</v>
      </c>
      <c r="C35" s="7" t="s">
        <v>100</v>
      </c>
      <c r="D35" s="7" t="s">
        <v>208</v>
      </c>
      <c r="E35" s="7" t="s">
        <v>51</v>
      </c>
      <c r="F35" s="7" t="s">
        <v>209</v>
      </c>
      <c r="G35" s="7" t="s">
        <v>5</v>
      </c>
      <c r="H35" s="7" t="s">
        <v>210</v>
      </c>
      <c r="I35" s="1"/>
      <c r="J35" s="1"/>
      <c r="K35" s="1"/>
      <c r="L35" s="1"/>
      <c r="M35" s="1"/>
      <c r="N35" s="1"/>
      <c r="O35" s="1"/>
    </row>
    <row r="36" spans="1:15" x14ac:dyDescent="0.25">
      <c r="A36" s="14" t="s">
        <v>68</v>
      </c>
      <c r="B36" s="14" t="s">
        <v>57</v>
      </c>
      <c r="C36" s="14" t="s">
        <v>176</v>
      </c>
      <c r="D36" s="14" t="s">
        <v>221</v>
      </c>
      <c r="E36" s="14" t="s">
        <v>76</v>
      </c>
      <c r="F36" s="14" t="s">
        <v>222</v>
      </c>
      <c r="G36" s="14" t="s">
        <v>5</v>
      </c>
      <c r="H36" s="14" t="s">
        <v>218</v>
      </c>
      <c r="I36" s="6"/>
      <c r="J36" s="6"/>
      <c r="K36" s="6"/>
      <c r="L36" s="6"/>
      <c r="M36" s="6"/>
      <c r="N36" s="6"/>
      <c r="O36" s="6"/>
    </row>
    <row r="37" spans="1:15" x14ac:dyDescent="0.25">
      <c r="A37" s="7" t="s">
        <v>68</v>
      </c>
      <c r="B37" s="7" t="s">
        <v>57</v>
      </c>
      <c r="C37" s="7" t="s">
        <v>177</v>
      </c>
      <c r="D37" s="7" t="s">
        <v>221</v>
      </c>
      <c r="E37" s="7" t="s">
        <v>76</v>
      </c>
      <c r="F37" s="7" t="s">
        <v>222</v>
      </c>
      <c r="G37" s="7" t="s">
        <v>5</v>
      </c>
      <c r="H37" s="7" t="s">
        <v>210</v>
      </c>
      <c r="I37" s="1"/>
      <c r="J37" s="1"/>
      <c r="K37" s="1"/>
      <c r="L37" s="1"/>
      <c r="M37" s="1"/>
      <c r="N37" s="1"/>
      <c r="O37" s="1"/>
    </row>
    <row r="38" spans="1:15" x14ac:dyDescent="0.25">
      <c r="A38" s="14" t="s">
        <v>68</v>
      </c>
      <c r="B38" s="14" t="s">
        <v>57</v>
      </c>
      <c r="C38" s="14" t="s">
        <v>89</v>
      </c>
      <c r="D38" s="14" t="s">
        <v>208</v>
      </c>
      <c r="E38" s="14" t="s">
        <v>51</v>
      </c>
      <c r="F38" s="14" t="s">
        <v>209</v>
      </c>
      <c r="G38" s="14" t="s">
        <v>5</v>
      </c>
      <c r="H38" s="14" t="s">
        <v>218</v>
      </c>
      <c r="I38" s="6"/>
      <c r="J38" s="6"/>
      <c r="K38" s="6"/>
      <c r="L38" s="6"/>
      <c r="M38" s="6"/>
      <c r="N38" s="6"/>
      <c r="O38" s="6"/>
    </row>
    <row r="39" spans="1:15" x14ac:dyDescent="0.25">
      <c r="A39" s="7" t="s">
        <v>68</v>
      </c>
      <c r="B39" s="7" t="s">
        <v>57</v>
      </c>
      <c r="C39" s="7" t="s">
        <v>111</v>
      </c>
      <c r="D39" s="7" t="s">
        <v>217</v>
      </c>
      <c r="E39" s="7" t="s">
        <v>48</v>
      </c>
      <c r="F39" s="7" t="s">
        <v>216</v>
      </c>
      <c r="G39" s="7" t="s">
        <v>5</v>
      </c>
      <c r="H39" s="7" t="s">
        <v>218</v>
      </c>
      <c r="I39" s="1"/>
      <c r="J39" s="1"/>
      <c r="K39" s="1"/>
      <c r="L39" s="1"/>
      <c r="M39" s="1"/>
      <c r="N39" s="1"/>
      <c r="O39" s="1"/>
    </row>
    <row r="40" spans="1:15" x14ac:dyDescent="0.25">
      <c r="A40" s="14" t="s">
        <v>68</v>
      </c>
      <c r="B40" s="14" t="s">
        <v>57</v>
      </c>
      <c r="C40" s="14" t="s">
        <v>114</v>
      </c>
      <c r="D40" s="14" t="s">
        <v>208</v>
      </c>
      <c r="E40" s="14" t="s">
        <v>51</v>
      </c>
      <c r="F40" s="14" t="s">
        <v>209</v>
      </c>
      <c r="G40" s="14" t="s">
        <v>5</v>
      </c>
      <c r="H40" s="14" t="s">
        <v>218</v>
      </c>
      <c r="I40" s="6"/>
      <c r="J40" s="6"/>
      <c r="K40" s="6"/>
      <c r="L40" s="6"/>
      <c r="M40" s="6"/>
      <c r="N40" s="6"/>
      <c r="O40" s="6"/>
    </row>
    <row r="41" spans="1:15" x14ac:dyDescent="0.25">
      <c r="A41" s="7" t="s">
        <v>68</v>
      </c>
      <c r="B41" s="7" t="s">
        <v>57</v>
      </c>
      <c r="C41" s="7" t="s">
        <v>118</v>
      </c>
      <c r="D41" s="7" t="s">
        <v>217</v>
      </c>
      <c r="E41" s="7" t="s">
        <v>48</v>
      </c>
      <c r="F41" s="7" t="s">
        <v>216</v>
      </c>
      <c r="G41" s="7" t="s">
        <v>6</v>
      </c>
      <c r="H41" s="7" t="s">
        <v>210</v>
      </c>
      <c r="I41" s="1"/>
      <c r="J41" s="1"/>
      <c r="K41" s="1"/>
      <c r="L41" s="1"/>
      <c r="M41" s="1"/>
      <c r="N41" s="1"/>
      <c r="O41" s="1"/>
    </row>
    <row r="42" spans="1:15" x14ac:dyDescent="0.25">
      <c r="A42" s="14" t="s">
        <v>68</v>
      </c>
      <c r="B42" s="14" t="s">
        <v>57</v>
      </c>
      <c r="C42" s="14" t="s">
        <v>178</v>
      </c>
      <c r="D42" s="14" t="s">
        <v>217</v>
      </c>
      <c r="E42" s="14" t="s">
        <v>48</v>
      </c>
      <c r="F42" s="14" t="s">
        <v>216</v>
      </c>
      <c r="G42" s="14" t="s">
        <v>5</v>
      </c>
      <c r="H42" s="14" t="s">
        <v>218</v>
      </c>
      <c r="I42" s="6"/>
      <c r="J42" s="6"/>
      <c r="K42" s="6"/>
      <c r="L42" s="6"/>
      <c r="M42" s="6"/>
      <c r="N42" s="6"/>
      <c r="O42" s="6"/>
    </row>
    <row r="43" spans="1:15" x14ac:dyDescent="0.25">
      <c r="A43" s="7" t="s">
        <v>68</v>
      </c>
      <c r="B43" s="7" t="s">
        <v>57</v>
      </c>
      <c r="C43" s="7" t="s">
        <v>179</v>
      </c>
      <c r="D43" s="7" t="s">
        <v>217</v>
      </c>
      <c r="E43" s="7" t="s">
        <v>48</v>
      </c>
      <c r="F43" s="7" t="s">
        <v>216</v>
      </c>
      <c r="G43" s="7" t="s">
        <v>5</v>
      </c>
      <c r="H43" s="7" t="s">
        <v>218</v>
      </c>
      <c r="I43" s="1"/>
      <c r="J43" s="1"/>
      <c r="K43" s="1"/>
      <c r="L43" s="1"/>
      <c r="M43" s="1"/>
      <c r="N43" s="1"/>
      <c r="O43" s="1"/>
    </row>
    <row r="44" spans="1:15" x14ac:dyDescent="0.25">
      <c r="A44" s="14" t="s">
        <v>68</v>
      </c>
      <c r="B44" s="14" t="s">
        <v>57</v>
      </c>
      <c r="C44" s="14" t="s">
        <v>105</v>
      </c>
      <c r="D44" s="14" t="s">
        <v>217</v>
      </c>
      <c r="E44" s="14" t="s">
        <v>48</v>
      </c>
      <c r="F44" s="14" t="s">
        <v>216</v>
      </c>
      <c r="G44" s="14" t="s">
        <v>6</v>
      </c>
      <c r="H44" s="14" t="s">
        <v>218</v>
      </c>
      <c r="I44" s="6"/>
      <c r="J44" s="6"/>
      <c r="K44" s="6"/>
      <c r="L44" s="6"/>
      <c r="M44" s="6"/>
      <c r="N44" s="6"/>
      <c r="O44" s="6"/>
    </row>
    <row r="45" spans="1:15" x14ac:dyDescent="0.25">
      <c r="A45" s="7" t="s">
        <v>68</v>
      </c>
      <c r="B45" s="7" t="s">
        <v>247</v>
      </c>
      <c r="C45" s="7" t="s">
        <v>75</v>
      </c>
      <c r="D45" s="7" t="s">
        <v>208</v>
      </c>
      <c r="E45" s="7" t="s">
        <v>51</v>
      </c>
      <c r="F45" s="7" t="s">
        <v>209</v>
      </c>
      <c r="G45" s="7" t="s">
        <v>5</v>
      </c>
      <c r="H45" s="7" t="s">
        <v>210</v>
      </c>
      <c r="I45" s="1"/>
      <c r="J45" s="1"/>
      <c r="K45" s="1"/>
      <c r="L45" s="1"/>
      <c r="M45" s="1"/>
      <c r="N45" s="1"/>
      <c r="O45" s="1"/>
    </row>
    <row r="46" spans="1:15" x14ac:dyDescent="0.25">
      <c r="A46" s="14" t="s">
        <v>68</v>
      </c>
      <c r="B46" s="14" t="s">
        <v>248</v>
      </c>
      <c r="C46" s="14" t="s">
        <v>156</v>
      </c>
      <c r="D46" s="14" t="s">
        <v>225</v>
      </c>
      <c r="E46" s="14" t="s">
        <v>51</v>
      </c>
      <c r="F46" s="14" t="s">
        <v>209</v>
      </c>
      <c r="G46" s="14" t="s">
        <v>5</v>
      </c>
      <c r="H46" s="14" t="s">
        <v>218</v>
      </c>
      <c r="I46" s="6"/>
      <c r="J46" s="6"/>
      <c r="K46" s="6"/>
      <c r="L46" s="6"/>
      <c r="M46" s="6"/>
      <c r="N46" s="6"/>
      <c r="O46" s="6"/>
    </row>
    <row r="47" spans="1:15" x14ac:dyDescent="0.25">
      <c r="A47" s="7" t="s">
        <v>68</v>
      </c>
      <c r="B47" s="7" t="s">
        <v>249</v>
      </c>
      <c r="C47" s="7" t="s">
        <v>153</v>
      </c>
      <c r="D47" s="7" t="s">
        <v>208</v>
      </c>
      <c r="E47" s="7" t="s">
        <v>51</v>
      </c>
      <c r="F47" s="7" t="s">
        <v>209</v>
      </c>
      <c r="G47" s="7" t="s">
        <v>5</v>
      </c>
      <c r="H47" s="7" t="s">
        <v>218</v>
      </c>
      <c r="I47" s="1"/>
      <c r="J47" s="1"/>
      <c r="K47" s="1"/>
      <c r="L47" s="1"/>
      <c r="M47" s="1"/>
      <c r="N47" s="1"/>
      <c r="O47" s="1"/>
    </row>
    <row r="48" spans="1:15" x14ac:dyDescent="0.25">
      <c r="A48" s="14" t="s">
        <v>68</v>
      </c>
      <c r="B48" s="14" t="s">
        <v>250</v>
      </c>
      <c r="C48" s="14" t="s">
        <v>159</v>
      </c>
      <c r="D48" s="14" t="s">
        <v>208</v>
      </c>
      <c r="E48" s="14" t="s">
        <v>51</v>
      </c>
      <c r="F48" s="14" t="s">
        <v>209</v>
      </c>
      <c r="G48" s="14" t="s">
        <v>5</v>
      </c>
      <c r="H48" s="14" t="s">
        <v>210</v>
      </c>
      <c r="I48" s="6"/>
      <c r="J48" s="6"/>
      <c r="K48" s="6"/>
      <c r="L48" s="6"/>
      <c r="M48" s="6"/>
      <c r="N48" s="6"/>
      <c r="O48" s="6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11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8">
    <mergeCell ref="A113:C113"/>
    <mergeCell ref="A122:C122"/>
    <mergeCell ref="B58:I58"/>
    <mergeCell ref="B59:I59"/>
    <mergeCell ref="B60:I60"/>
    <mergeCell ref="B61:I61"/>
    <mergeCell ref="B62:I62"/>
    <mergeCell ref="A1:O1"/>
    <mergeCell ref="K5:N5"/>
    <mergeCell ref="B57:I57"/>
    <mergeCell ref="A55:O55"/>
    <mergeCell ref="A56:O56"/>
    <mergeCell ref="A51:O51"/>
    <mergeCell ref="A50:O50"/>
    <mergeCell ref="A52:O52"/>
    <mergeCell ref="A53:O53"/>
    <mergeCell ref="A54:O54"/>
    <mergeCell ref="M3:N3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9972-30F4-46B1-A910-D52EDA92A7A5}">
  <sheetPr codeName="Planilha5">
    <tabColor rgb="FF92D050"/>
    <pageSetUpPr fitToPage="1"/>
  </sheetPr>
  <dimension ref="A1:O130"/>
  <sheetViews>
    <sheetView showGridLines="0" topLeftCell="A15" zoomScale="70" zoomScaleNormal="70" workbookViewId="0">
      <selection activeCell="O49" sqref="O4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262</v>
      </c>
      <c r="C3" s="26"/>
      <c r="D3" s="35" t="s">
        <v>263</v>
      </c>
      <c r="E3" s="27"/>
      <c r="F3" s="28"/>
      <c r="G3" s="28"/>
      <c r="H3" s="35" t="s">
        <v>196</v>
      </c>
      <c r="I3" s="27"/>
      <c r="J3" s="27"/>
      <c r="K3" s="35" t="s">
        <v>264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40" t="s">
        <v>199</v>
      </c>
      <c r="B6" s="40" t="s">
        <v>46</v>
      </c>
      <c r="C6" s="40" t="s">
        <v>42</v>
      </c>
      <c r="D6" s="40" t="s">
        <v>200</v>
      </c>
      <c r="E6" s="40" t="s">
        <v>43</v>
      </c>
      <c r="F6" s="40" t="s">
        <v>201</v>
      </c>
      <c r="G6" s="40" t="s">
        <v>202</v>
      </c>
      <c r="H6" s="40" t="s">
        <v>203</v>
      </c>
      <c r="I6" s="48" t="s">
        <v>204</v>
      </c>
      <c r="J6" s="48" t="s">
        <v>205</v>
      </c>
      <c r="K6" s="48">
        <v>1</v>
      </c>
      <c r="L6" s="48">
        <v>2</v>
      </c>
      <c r="M6" s="48">
        <v>3</v>
      </c>
      <c r="N6" s="48">
        <v>4</v>
      </c>
      <c r="O6" s="32" t="s">
        <v>206</v>
      </c>
    </row>
    <row r="7" spans="1:15" x14ac:dyDescent="0.25">
      <c r="A7" s="7" t="s">
        <v>174</v>
      </c>
      <c r="B7" s="7" t="s">
        <v>265</v>
      </c>
      <c r="C7" s="7" t="s">
        <v>55</v>
      </c>
      <c r="D7" s="7" t="s">
        <v>208</v>
      </c>
      <c r="E7" s="7" t="s">
        <v>51</v>
      </c>
      <c r="F7" s="7" t="s">
        <v>209</v>
      </c>
      <c r="G7" s="7" t="s">
        <v>5</v>
      </c>
      <c r="H7" s="127" t="s">
        <v>210</v>
      </c>
      <c r="I7" s="46">
        <v>46221</v>
      </c>
      <c r="J7" s="1" t="s">
        <v>266</v>
      </c>
      <c r="K7" s="1"/>
      <c r="L7" s="1"/>
      <c r="M7" s="1" t="s">
        <v>267</v>
      </c>
      <c r="N7" s="1"/>
      <c r="O7" s="1" t="s">
        <v>268</v>
      </c>
    </row>
    <row r="8" spans="1:15" x14ac:dyDescent="0.25">
      <c r="A8" s="125" t="s">
        <v>174</v>
      </c>
      <c r="B8" s="125" t="s">
        <v>269</v>
      </c>
      <c r="C8" s="125" t="s">
        <v>84</v>
      </c>
      <c r="D8" s="125" t="s">
        <v>208</v>
      </c>
      <c r="E8" s="125" t="s">
        <v>51</v>
      </c>
      <c r="F8" s="125" t="s">
        <v>209</v>
      </c>
      <c r="G8" s="126" t="s">
        <v>5</v>
      </c>
      <c r="H8" s="125" t="s">
        <v>210</v>
      </c>
      <c r="I8" s="45">
        <v>46221</v>
      </c>
      <c r="J8" s="6" t="s">
        <v>266</v>
      </c>
      <c r="K8" s="6"/>
      <c r="L8" s="6"/>
      <c r="M8" s="6"/>
      <c r="N8" s="6" t="s">
        <v>267</v>
      </c>
      <c r="O8" s="6" t="s">
        <v>268</v>
      </c>
    </row>
    <row r="9" spans="1:15" x14ac:dyDescent="0.25">
      <c r="A9" s="7" t="s">
        <v>174</v>
      </c>
      <c r="B9" s="7" t="s">
        <v>270</v>
      </c>
      <c r="C9" s="7" t="s">
        <v>67</v>
      </c>
      <c r="D9" s="7" t="s">
        <v>208</v>
      </c>
      <c r="E9" s="7" t="s">
        <v>51</v>
      </c>
      <c r="F9" s="7" t="s">
        <v>209</v>
      </c>
      <c r="G9" s="7" t="s">
        <v>5</v>
      </c>
      <c r="H9" s="127" t="s">
        <v>210</v>
      </c>
      <c r="I9" s="46">
        <v>46221</v>
      </c>
      <c r="J9" s="1" t="s">
        <v>266</v>
      </c>
      <c r="K9" s="1"/>
      <c r="L9" s="1"/>
      <c r="M9" s="1"/>
      <c r="N9" s="1" t="s">
        <v>267</v>
      </c>
      <c r="O9" s="1" t="s">
        <v>268</v>
      </c>
    </row>
    <row r="10" spans="1:15" x14ac:dyDescent="0.25">
      <c r="A10" s="125" t="s">
        <v>174</v>
      </c>
      <c r="B10" s="125" t="s">
        <v>271</v>
      </c>
      <c r="C10" s="125" t="s">
        <v>71</v>
      </c>
      <c r="D10" s="125" t="s">
        <v>208</v>
      </c>
      <c r="E10" s="125" t="s">
        <v>51</v>
      </c>
      <c r="F10" s="125" t="s">
        <v>209</v>
      </c>
      <c r="G10" s="126" t="s">
        <v>5</v>
      </c>
      <c r="H10" s="125" t="s">
        <v>210</v>
      </c>
      <c r="I10" s="45">
        <v>46221</v>
      </c>
      <c r="J10" s="6" t="s">
        <v>266</v>
      </c>
      <c r="K10" s="6"/>
      <c r="L10" s="6"/>
      <c r="M10" s="6"/>
      <c r="N10" s="6" t="s">
        <v>267</v>
      </c>
      <c r="O10" s="6" t="s">
        <v>268</v>
      </c>
    </row>
    <row r="11" spans="1:15" x14ac:dyDescent="0.25">
      <c r="A11" s="7" t="s">
        <v>174</v>
      </c>
      <c r="B11" s="7" t="s">
        <v>272</v>
      </c>
      <c r="C11" s="7" t="s">
        <v>59</v>
      </c>
      <c r="D11" s="7" t="s">
        <v>215</v>
      </c>
      <c r="E11" s="7" t="s">
        <v>48</v>
      </c>
      <c r="F11" s="7" t="s">
        <v>216</v>
      </c>
      <c r="G11" s="7" t="s">
        <v>6</v>
      </c>
      <c r="H11" s="127" t="s">
        <v>210</v>
      </c>
      <c r="I11" s="46">
        <v>46221</v>
      </c>
      <c r="J11" s="1" t="s">
        <v>266</v>
      </c>
      <c r="K11" s="1"/>
      <c r="L11" s="1"/>
      <c r="M11" s="1" t="s">
        <v>267</v>
      </c>
      <c r="N11" s="1"/>
      <c r="O11" s="1" t="s">
        <v>268</v>
      </c>
    </row>
    <row r="12" spans="1:15" x14ac:dyDescent="0.25">
      <c r="A12" s="125" t="s">
        <v>174</v>
      </c>
      <c r="B12" s="125" t="s">
        <v>57</v>
      </c>
      <c r="C12" s="125" t="s">
        <v>47</v>
      </c>
      <c r="D12" s="125" t="s">
        <v>217</v>
      </c>
      <c r="E12" s="125" t="s">
        <v>48</v>
      </c>
      <c r="F12" s="125" t="s">
        <v>216</v>
      </c>
      <c r="G12" s="126" t="s">
        <v>6</v>
      </c>
      <c r="H12" s="125" t="s">
        <v>218</v>
      </c>
      <c r="I12" s="45">
        <v>46221</v>
      </c>
      <c r="J12" s="6" t="s">
        <v>266</v>
      </c>
      <c r="K12" s="6" t="s">
        <v>267</v>
      </c>
      <c r="L12" s="6"/>
      <c r="M12" s="6"/>
      <c r="N12" s="6"/>
      <c r="O12" s="6" t="s">
        <v>268</v>
      </c>
    </row>
    <row r="13" spans="1:15" x14ac:dyDescent="0.25">
      <c r="A13" s="7" t="s">
        <v>174</v>
      </c>
      <c r="B13" s="7" t="s">
        <v>57</v>
      </c>
      <c r="C13" s="7" t="s">
        <v>56</v>
      </c>
      <c r="D13" s="7" t="s">
        <v>215</v>
      </c>
      <c r="E13" s="7" t="s">
        <v>54</v>
      </c>
      <c r="F13" s="7" t="s">
        <v>219</v>
      </c>
      <c r="G13" s="7" t="s">
        <v>6</v>
      </c>
      <c r="H13" s="127" t="s">
        <v>218</v>
      </c>
      <c r="I13" s="46">
        <v>46221</v>
      </c>
      <c r="J13" s="1" t="s">
        <v>273</v>
      </c>
      <c r="K13" s="1"/>
      <c r="L13" s="1"/>
      <c r="M13" s="1" t="s">
        <v>267</v>
      </c>
      <c r="N13" s="1"/>
      <c r="O13" s="1" t="s">
        <v>268</v>
      </c>
    </row>
    <row r="14" spans="1:15" x14ac:dyDescent="0.25">
      <c r="A14" s="125" t="s">
        <v>174</v>
      </c>
      <c r="B14" s="125" t="s">
        <v>57</v>
      </c>
      <c r="C14" s="125" t="s">
        <v>53</v>
      </c>
      <c r="D14" s="125" t="s">
        <v>217</v>
      </c>
      <c r="E14" s="125" t="s">
        <v>54</v>
      </c>
      <c r="F14" s="125" t="s">
        <v>219</v>
      </c>
      <c r="G14" s="126" t="s">
        <v>6</v>
      </c>
      <c r="H14" s="125" t="s">
        <v>210</v>
      </c>
      <c r="I14" s="45">
        <v>46221</v>
      </c>
      <c r="J14" s="6" t="s">
        <v>266</v>
      </c>
      <c r="K14" s="6"/>
      <c r="L14" s="6" t="s">
        <v>267</v>
      </c>
      <c r="M14" s="6"/>
      <c r="N14" s="6"/>
      <c r="O14" s="6" t="s">
        <v>268</v>
      </c>
    </row>
    <row r="15" spans="1:15" x14ac:dyDescent="0.25">
      <c r="A15" s="7" t="s">
        <v>174</v>
      </c>
      <c r="B15" s="7" t="s">
        <v>57</v>
      </c>
      <c r="C15" s="7" t="s">
        <v>58</v>
      </c>
      <c r="D15" s="7" t="s">
        <v>215</v>
      </c>
      <c r="E15" s="7" t="s">
        <v>54</v>
      </c>
      <c r="F15" s="7" t="s">
        <v>219</v>
      </c>
      <c r="G15" s="7" t="s">
        <v>6</v>
      </c>
      <c r="H15" s="127" t="s">
        <v>218</v>
      </c>
      <c r="I15" s="46">
        <v>46221</v>
      </c>
      <c r="J15" s="1" t="s">
        <v>273</v>
      </c>
      <c r="K15" s="1"/>
      <c r="L15" s="1"/>
      <c r="M15" s="1" t="s">
        <v>267</v>
      </c>
      <c r="N15" s="1"/>
      <c r="O15" s="1" t="s">
        <v>268</v>
      </c>
    </row>
    <row r="16" spans="1:15" x14ac:dyDescent="0.25">
      <c r="A16" s="125" t="s">
        <v>174</v>
      </c>
      <c r="B16" s="125" t="s">
        <v>57</v>
      </c>
      <c r="C16" s="125" t="s">
        <v>176</v>
      </c>
      <c r="D16" s="125" t="s">
        <v>221</v>
      </c>
      <c r="E16" s="125" t="s">
        <v>76</v>
      </c>
      <c r="F16" s="125" t="s">
        <v>222</v>
      </c>
      <c r="G16" s="126" t="s">
        <v>5</v>
      </c>
      <c r="H16" s="125" t="s">
        <v>218</v>
      </c>
      <c r="I16" s="45">
        <v>46221</v>
      </c>
      <c r="J16" s="6" t="s">
        <v>273</v>
      </c>
      <c r="K16" s="6"/>
      <c r="L16" s="6"/>
      <c r="M16" s="6"/>
      <c r="N16" s="6" t="s">
        <v>267</v>
      </c>
      <c r="O16" s="6" t="s">
        <v>268</v>
      </c>
    </row>
    <row r="17" spans="1:15" x14ac:dyDescent="0.25">
      <c r="A17" s="7" t="s">
        <v>174</v>
      </c>
      <c r="B17" s="7" t="s">
        <v>274</v>
      </c>
      <c r="C17" s="7" t="s">
        <v>72</v>
      </c>
      <c r="D17" s="7" t="s">
        <v>221</v>
      </c>
      <c r="E17" s="7" t="s">
        <v>76</v>
      </c>
      <c r="F17" s="7" t="s">
        <v>222</v>
      </c>
      <c r="G17" s="7" t="s">
        <v>5</v>
      </c>
      <c r="H17" s="127" t="s">
        <v>210</v>
      </c>
      <c r="I17" s="46">
        <v>46221</v>
      </c>
      <c r="J17" s="1" t="s">
        <v>266</v>
      </c>
      <c r="K17" s="1"/>
      <c r="L17" s="1"/>
      <c r="M17" s="1"/>
      <c r="N17" s="1" t="s">
        <v>267</v>
      </c>
      <c r="O17" s="1" t="s">
        <v>268</v>
      </c>
    </row>
    <row r="18" spans="1:15" x14ac:dyDescent="0.25">
      <c r="A18" s="125" t="s">
        <v>68</v>
      </c>
      <c r="B18" s="125" t="s">
        <v>275</v>
      </c>
      <c r="C18" s="125" t="s">
        <v>125</v>
      </c>
      <c r="D18" s="125" t="s">
        <v>225</v>
      </c>
      <c r="E18" s="125" t="s">
        <v>51</v>
      </c>
      <c r="F18" s="125" t="s">
        <v>209</v>
      </c>
      <c r="G18" s="126" t="s">
        <v>5</v>
      </c>
      <c r="H18" s="125" t="s">
        <v>218</v>
      </c>
      <c r="I18" s="45">
        <v>46221</v>
      </c>
      <c r="J18" s="6" t="s">
        <v>273</v>
      </c>
      <c r="K18" s="6"/>
      <c r="L18" s="6"/>
      <c r="M18" s="6"/>
      <c r="N18" s="6" t="s">
        <v>267</v>
      </c>
      <c r="O18" s="6" t="s">
        <v>268</v>
      </c>
    </row>
    <row r="19" spans="1:15" x14ac:dyDescent="0.25">
      <c r="A19" s="7" t="s">
        <v>68</v>
      </c>
      <c r="B19" s="7" t="s">
        <v>276</v>
      </c>
      <c r="C19" s="7" t="s">
        <v>158</v>
      </c>
      <c r="D19" s="7" t="s">
        <v>208</v>
      </c>
      <c r="E19" s="7" t="s">
        <v>51</v>
      </c>
      <c r="F19" s="7" t="s">
        <v>209</v>
      </c>
      <c r="G19" s="7" t="s">
        <v>5</v>
      </c>
      <c r="H19" s="127" t="s">
        <v>210</v>
      </c>
      <c r="I19" s="46">
        <v>46221</v>
      </c>
      <c r="J19" s="1" t="s">
        <v>266</v>
      </c>
      <c r="K19" s="1"/>
      <c r="L19" s="1"/>
      <c r="M19" s="1" t="s">
        <v>267</v>
      </c>
      <c r="N19" s="1"/>
      <c r="O19" s="1" t="s">
        <v>268</v>
      </c>
    </row>
    <row r="20" spans="1:15" x14ac:dyDescent="0.25">
      <c r="A20" s="125" t="s">
        <v>68</v>
      </c>
      <c r="B20" s="125" t="s">
        <v>277</v>
      </c>
      <c r="C20" s="125" t="s">
        <v>106</v>
      </c>
      <c r="D20" s="125" t="s">
        <v>225</v>
      </c>
      <c r="E20" s="125" t="s">
        <v>51</v>
      </c>
      <c r="F20" s="125" t="s">
        <v>209</v>
      </c>
      <c r="G20" s="126" t="s">
        <v>5</v>
      </c>
      <c r="H20" s="125" t="s">
        <v>218</v>
      </c>
      <c r="I20" s="45">
        <v>46221</v>
      </c>
      <c r="J20" s="6" t="s">
        <v>273</v>
      </c>
      <c r="K20" s="6"/>
      <c r="L20" s="6"/>
      <c r="M20" s="6"/>
      <c r="N20" s="6" t="s">
        <v>267</v>
      </c>
      <c r="O20" s="6" t="s">
        <v>268</v>
      </c>
    </row>
    <row r="21" spans="1:15" x14ac:dyDescent="0.25">
      <c r="A21" s="7" t="s">
        <v>68</v>
      </c>
      <c r="B21" s="7" t="s">
        <v>278</v>
      </c>
      <c r="C21" s="7" t="s">
        <v>115</v>
      </c>
      <c r="D21" s="7" t="s">
        <v>229</v>
      </c>
      <c r="E21" s="7" t="s">
        <v>80</v>
      </c>
      <c r="F21" s="7" t="s">
        <v>230</v>
      </c>
      <c r="G21" s="7" t="s">
        <v>5</v>
      </c>
      <c r="H21" s="127" t="s">
        <v>218</v>
      </c>
      <c r="I21" s="46">
        <v>46221</v>
      </c>
      <c r="J21" s="1" t="s">
        <v>273</v>
      </c>
      <c r="K21" s="1"/>
      <c r="L21" s="1"/>
      <c r="M21" s="1"/>
      <c r="N21" s="1" t="s">
        <v>267</v>
      </c>
      <c r="O21" s="1" t="s">
        <v>268</v>
      </c>
    </row>
    <row r="22" spans="1:15" x14ac:dyDescent="0.25">
      <c r="A22" s="125" t="s">
        <v>68</v>
      </c>
      <c r="B22" s="125" t="s">
        <v>279</v>
      </c>
      <c r="C22" s="125" t="s">
        <v>147</v>
      </c>
      <c r="D22" s="125" t="s">
        <v>229</v>
      </c>
      <c r="E22" s="125" t="s">
        <v>80</v>
      </c>
      <c r="F22" s="125" t="s">
        <v>230</v>
      </c>
      <c r="G22" s="126" t="s">
        <v>5</v>
      </c>
      <c r="H22" s="125" t="s">
        <v>210</v>
      </c>
      <c r="I22" s="45">
        <v>46221</v>
      </c>
      <c r="J22" s="6" t="s">
        <v>266</v>
      </c>
      <c r="K22" s="6"/>
      <c r="L22" s="6"/>
      <c r="M22" s="6"/>
      <c r="N22" s="6" t="s">
        <v>267</v>
      </c>
      <c r="O22" s="6" t="s">
        <v>268</v>
      </c>
    </row>
    <row r="23" spans="1:15" x14ac:dyDescent="0.25">
      <c r="A23" s="7" t="s">
        <v>68</v>
      </c>
      <c r="B23" s="7" t="s">
        <v>280</v>
      </c>
      <c r="C23" s="7" t="s">
        <v>103</v>
      </c>
      <c r="D23" s="7" t="s">
        <v>229</v>
      </c>
      <c r="E23" s="7" t="s">
        <v>80</v>
      </c>
      <c r="F23" s="7" t="s">
        <v>230</v>
      </c>
      <c r="G23" s="7" t="s">
        <v>5</v>
      </c>
      <c r="H23" s="127" t="s">
        <v>218</v>
      </c>
      <c r="I23" s="46">
        <v>46221</v>
      </c>
      <c r="J23" s="1" t="s">
        <v>273</v>
      </c>
      <c r="K23" s="1"/>
      <c r="L23" s="1"/>
      <c r="M23" s="1"/>
      <c r="N23" s="1" t="s">
        <v>267</v>
      </c>
      <c r="O23" s="1" t="s">
        <v>268</v>
      </c>
    </row>
    <row r="24" spans="1:15" x14ac:dyDescent="0.25">
      <c r="A24" s="125" t="s">
        <v>68</v>
      </c>
      <c r="B24" s="125" t="s">
        <v>281</v>
      </c>
      <c r="C24" s="125" t="s">
        <v>119</v>
      </c>
      <c r="D24" s="125" t="s">
        <v>208</v>
      </c>
      <c r="E24" s="125" t="s">
        <v>51</v>
      </c>
      <c r="F24" s="125" t="s">
        <v>209</v>
      </c>
      <c r="G24" s="126" t="s">
        <v>5</v>
      </c>
      <c r="H24" s="125" t="s">
        <v>218</v>
      </c>
      <c r="I24" s="10"/>
      <c r="J24" s="6"/>
      <c r="K24" s="6"/>
      <c r="L24" s="6"/>
      <c r="M24" s="6"/>
      <c r="N24" s="6"/>
      <c r="O24" s="6"/>
    </row>
    <row r="25" spans="1:15" x14ac:dyDescent="0.25">
      <c r="A25" s="7" t="s">
        <v>68</v>
      </c>
      <c r="B25" s="7" t="s">
        <v>282</v>
      </c>
      <c r="C25" s="7" t="s">
        <v>150</v>
      </c>
      <c r="D25" s="7" t="s">
        <v>208</v>
      </c>
      <c r="E25" s="7" t="s">
        <v>51</v>
      </c>
      <c r="F25" s="7" t="s">
        <v>209</v>
      </c>
      <c r="G25" s="7" t="s">
        <v>5</v>
      </c>
      <c r="H25" s="127" t="s">
        <v>210</v>
      </c>
      <c r="I25" s="41"/>
      <c r="J25" s="1"/>
      <c r="K25" s="1"/>
      <c r="L25" s="1"/>
      <c r="M25" s="1"/>
      <c r="N25" s="1"/>
      <c r="O25" s="1"/>
    </row>
    <row r="26" spans="1:15" x14ac:dyDescent="0.25">
      <c r="A26" s="125" t="s">
        <v>68</v>
      </c>
      <c r="B26" s="125" t="s">
        <v>283</v>
      </c>
      <c r="C26" s="125" t="s">
        <v>85</v>
      </c>
      <c r="D26" s="125" t="s">
        <v>208</v>
      </c>
      <c r="E26" s="125" t="s">
        <v>51</v>
      </c>
      <c r="F26" s="125" t="s">
        <v>209</v>
      </c>
      <c r="G26" s="126" t="s">
        <v>5</v>
      </c>
      <c r="H26" s="125" t="s">
        <v>218</v>
      </c>
      <c r="I26" s="10"/>
      <c r="J26" s="6"/>
      <c r="K26" s="6"/>
      <c r="L26" s="6"/>
      <c r="M26" s="6"/>
      <c r="N26" s="6"/>
      <c r="O26" s="6"/>
    </row>
    <row r="27" spans="1:15" x14ac:dyDescent="0.25">
      <c r="A27" s="7" t="s">
        <v>68</v>
      </c>
      <c r="B27" s="7" t="s">
        <v>284</v>
      </c>
      <c r="C27" s="7" t="s">
        <v>122</v>
      </c>
      <c r="D27" s="7" t="s">
        <v>208</v>
      </c>
      <c r="E27" s="7" t="s">
        <v>51</v>
      </c>
      <c r="F27" s="7" t="s">
        <v>209</v>
      </c>
      <c r="G27" s="7" t="s">
        <v>5</v>
      </c>
      <c r="H27" s="127" t="s">
        <v>218</v>
      </c>
      <c r="I27" s="41"/>
      <c r="J27" s="1"/>
      <c r="K27" s="1"/>
      <c r="L27" s="1"/>
      <c r="M27" s="1"/>
      <c r="N27" s="1"/>
      <c r="O27" s="1"/>
    </row>
    <row r="28" spans="1:15" x14ac:dyDescent="0.25">
      <c r="A28" s="125" t="s">
        <v>68</v>
      </c>
      <c r="B28" s="125" t="s">
        <v>285</v>
      </c>
      <c r="C28" s="125" t="s">
        <v>155</v>
      </c>
      <c r="D28" s="125" t="s">
        <v>208</v>
      </c>
      <c r="E28" s="125" t="s">
        <v>51</v>
      </c>
      <c r="F28" s="125" t="s">
        <v>209</v>
      </c>
      <c r="G28" s="126" t="s">
        <v>5</v>
      </c>
      <c r="H28" s="125" t="s">
        <v>210</v>
      </c>
      <c r="I28" s="10"/>
      <c r="J28" s="6"/>
      <c r="K28" s="6"/>
      <c r="L28" s="6"/>
      <c r="M28" s="6"/>
      <c r="N28" s="6"/>
      <c r="O28" s="6"/>
    </row>
    <row r="29" spans="1:15" x14ac:dyDescent="0.25">
      <c r="A29" s="7" t="s">
        <v>68</v>
      </c>
      <c r="B29" s="7" t="s">
        <v>286</v>
      </c>
      <c r="C29" s="7" t="s">
        <v>90</v>
      </c>
      <c r="D29" s="7" t="s">
        <v>208</v>
      </c>
      <c r="E29" s="7" t="s">
        <v>51</v>
      </c>
      <c r="F29" s="7" t="s">
        <v>209</v>
      </c>
      <c r="G29" s="7" t="s">
        <v>5</v>
      </c>
      <c r="H29" s="127" t="s">
        <v>218</v>
      </c>
      <c r="I29" s="41"/>
      <c r="J29" s="1"/>
      <c r="K29" s="1"/>
      <c r="L29" s="1"/>
      <c r="M29" s="1"/>
      <c r="N29" s="1"/>
      <c r="O29" s="1"/>
    </row>
    <row r="30" spans="1:15" x14ac:dyDescent="0.25">
      <c r="A30" s="125" t="s">
        <v>68</v>
      </c>
      <c r="B30" s="125" t="s">
        <v>287</v>
      </c>
      <c r="C30" s="125" t="s">
        <v>128</v>
      </c>
      <c r="D30" s="125" t="s">
        <v>240</v>
      </c>
      <c r="E30" s="125" t="s">
        <v>86</v>
      </c>
      <c r="F30" s="125" t="s">
        <v>241</v>
      </c>
      <c r="G30" s="126" t="s">
        <v>5</v>
      </c>
      <c r="H30" s="125" t="s">
        <v>218</v>
      </c>
      <c r="I30" s="45">
        <v>46221</v>
      </c>
      <c r="J30" s="6" t="s">
        <v>273</v>
      </c>
      <c r="K30" s="6"/>
      <c r="L30" s="6"/>
      <c r="M30" s="6"/>
      <c r="N30" s="6" t="s">
        <v>267</v>
      </c>
      <c r="O30" s="6" t="s">
        <v>268</v>
      </c>
    </row>
    <row r="31" spans="1:15" x14ac:dyDescent="0.25">
      <c r="A31" s="7" t="s">
        <v>68</v>
      </c>
      <c r="B31" s="7" t="s">
        <v>288</v>
      </c>
      <c r="C31" s="7" t="s">
        <v>152</v>
      </c>
      <c r="D31" s="7" t="s">
        <v>240</v>
      </c>
      <c r="E31" s="7" t="s">
        <v>86</v>
      </c>
      <c r="F31" s="7" t="s">
        <v>241</v>
      </c>
      <c r="G31" s="7" t="s">
        <v>5</v>
      </c>
      <c r="H31" s="127" t="s">
        <v>210</v>
      </c>
      <c r="I31" s="46">
        <v>46221</v>
      </c>
      <c r="J31" s="1" t="s">
        <v>266</v>
      </c>
      <c r="K31" s="1"/>
      <c r="L31" s="1"/>
      <c r="M31" s="1"/>
      <c r="N31" s="1" t="s">
        <v>267</v>
      </c>
      <c r="O31" s="1" t="s">
        <v>268</v>
      </c>
    </row>
    <row r="32" spans="1:15" x14ac:dyDescent="0.25">
      <c r="A32" s="125" t="s">
        <v>68</v>
      </c>
      <c r="B32" s="125" t="s">
        <v>289</v>
      </c>
      <c r="C32" s="125" t="s">
        <v>96</v>
      </c>
      <c r="D32" s="125" t="s">
        <v>240</v>
      </c>
      <c r="E32" s="125" t="s">
        <v>86</v>
      </c>
      <c r="F32" s="125" t="s">
        <v>241</v>
      </c>
      <c r="G32" s="126" t="s">
        <v>5</v>
      </c>
      <c r="H32" s="125" t="s">
        <v>218</v>
      </c>
      <c r="I32" s="45">
        <v>46221</v>
      </c>
      <c r="J32" s="6" t="s">
        <v>273</v>
      </c>
      <c r="K32" s="6"/>
      <c r="L32" s="6"/>
      <c r="M32" s="6"/>
      <c r="N32" s="6" t="s">
        <v>267</v>
      </c>
      <c r="O32" s="6" t="s">
        <v>268</v>
      </c>
    </row>
    <row r="33" spans="1:15" ht="18" customHeight="1" x14ac:dyDescent="0.25">
      <c r="A33" s="7" t="s">
        <v>68</v>
      </c>
      <c r="B33" s="7" t="s">
        <v>290</v>
      </c>
      <c r="C33" s="7" t="s">
        <v>93</v>
      </c>
      <c r="D33" s="7" t="s">
        <v>208</v>
      </c>
      <c r="E33" s="7" t="s">
        <v>51</v>
      </c>
      <c r="F33" s="7" t="s">
        <v>209</v>
      </c>
      <c r="G33" s="7" t="s">
        <v>5</v>
      </c>
      <c r="H33" s="127" t="s">
        <v>210</v>
      </c>
      <c r="I33" s="46">
        <v>46221</v>
      </c>
      <c r="J33" s="1" t="s">
        <v>266</v>
      </c>
      <c r="K33" s="1"/>
      <c r="L33" s="1"/>
      <c r="M33" s="1"/>
      <c r="N33" s="1" t="s">
        <v>267</v>
      </c>
      <c r="O33" s="1" t="s">
        <v>268</v>
      </c>
    </row>
    <row r="34" spans="1:15" x14ac:dyDescent="0.25">
      <c r="A34" s="125" t="s">
        <v>68</v>
      </c>
      <c r="B34" s="125" t="s">
        <v>291</v>
      </c>
      <c r="C34" s="125" t="s">
        <v>161</v>
      </c>
      <c r="D34" s="125" t="s">
        <v>208</v>
      </c>
      <c r="E34" s="125" t="s">
        <v>51</v>
      </c>
      <c r="F34" s="125" t="s">
        <v>209</v>
      </c>
      <c r="G34" s="126" t="s">
        <v>5</v>
      </c>
      <c r="H34" s="125" t="s">
        <v>210</v>
      </c>
      <c r="I34" s="45">
        <v>46221</v>
      </c>
      <c r="J34" s="6" t="s">
        <v>266</v>
      </c>
      <c r="K34" s="6"/>
      <c r="L34" s="6"/>
      <c r="M34" s="6"/>
      <c r="N34" s="6" t="s">
        <v>267</v>
      </c>
      <c r="O34" s="6" t="s">
        <v>268</v>
      </c>
    </row>
    <row r="35" spans="1:15" x14ac:dyDescent="0.25">
      <c r="A35" s="7" t="s">
        <v>68</v>
      </c>
      <c r="B35" s="7" t="s">
        <v>292</v>
      </c>
      <c r="C35" s="7" t="s">
        <v>100</v>
      </c>
      <c r="D35" s="7" t="s">
        <v>208</v>
      </c>
      <c r="E35" s="7" t="s">
        <v>51</v>
      </c>
      <c r="F35" s="7" t="s">
        <v>209</v>
      </c>
      <c r="G35" s="7" t="s">
        <v>5</v>
      </c>
      <c r="H35" s="127" t="s">
        <v>210</v>
      </c>
      <c r="I35" s="46">
        <v>46221</v>
      </c>
      <c r="J35" s="1" t="s">
        <v>266</v>
      </c>
      <c r="K35" s="1"/>
      <c r="L35" s="1"/>
      <c r="M35" s="1"/>
      <c r="N35" s="1" t="s">
        <v>267</v>
      </c>
      <c r="O35" s="1" t="s">
        <v>268</v>
      </c>
    </row>
    <row r="36" spans="1:15" x14ac:dyDescent="0.25">
      <c r="A36" s="125" t="s">
        <v>68</v>
      </c>
      <c r="B36" s="125" t="s">
        <v>57</v>
      </c>
      <c r="C36" s="125" t="s">
        <v>89</v>
      </c>
      <c r="D36" s="125" t="s">
        <v>208</v>
      </c>
      <c r="E36" s="125" t="s">
        <v>51</v>
      </c>
      <c r="F36" s="125" t="s">
        <v>209</v>
      </c>
      <c r="G36" s="126" t="s">
        <v>5</v>
      </c>
      <c r="H36" s="125" t="s">
        <v>218</v>
      </c>
      <c r="I36" s="45">
        <v>46221</v>
      </c>
      <c r="J36" s="6" t="s">
        <v>273</v>
      </c>
      <c r="K36" s="6"/>
      <c r="L36" s="6"/>
      <c r="M36" s="6"/>
      <c r="N36" s="6" t="s">
        <v>267</v>
      </c>
      <c r="O36" s="6" t="s">
        <v>268</v>
      </c>
    </row>
    <row r="37" spans="1:15" x14ac:dyDescent="0.25">
      <c r="A37" s="7" t="s">
        <v>68</v>
      </c>
      <c r="B37" s="7" t="s">
        <v>57</v>
      </c>
      <c r="C37" s="7" t="s">
        <v>111</v>
      </c>
      <c r="D37" s="7" t="s">
        <v>217</v>
      </c>
      <c r="E37" s="7" t="s">
        <v>48</v>
      </c>
      <c r="F37" s="7" t="s">
        <v>216</v>
      </c>
      <c r="G37" s="7" t="s">
        <v>5</v>
      </c>
      <c r="H37" s="127" t="s">
        <v>218</v>
      </c>
      <c r="I37" s="46">
        <v>46221</v>
      </c>
      <c r="J37" s="1" t="s">
        <v>273</v>
      </c>
      <c r="K37" s="1"/>
      <c r="L37" s="1"/>
      <c r="M37" s="1" t="s">
        <v>267</v>
      </c>
      <c r="N37" s="1"/>
      <c r="O37" s="1" t="s">
        <v>268</v>
      </c>
    </row>
    <row r="38" spans="1:15" x14ac:dyDescent="0.25">
      <c r="A38" s="125" t="s">
        <v>68</v>
      </c>
      <c r="B38" s="125" t="s">
        <v>57</v>
      </c>
      <c r="C38" s="125" t="s">
        <v>114</v>
      </c>
      <c r="D38" s="125" t="s">
        <v>208</v>
      </c>
      <c r="E38" s="125" t="s">
        <v>51</v>
      </c>
      <c r="F38" s="125" t="s">
        <v>209</v>
      </c>
      <c r="G38" s="126" t="s">
        <v>5</v>
      </c>
      <c r="H38" s="125" t="s">
        <v>218</v>
      </c>
      <c r="I38" s="45">
        <v>46221</v>
      </c>
      <c r="J38" s="6" t="s">
        <v>273</v>
      </c>
      <c r="K38" s="6"/>
      <c r="L38" s="6"/>
      <c r="M38" s="6"/>
      <c r="N38" s="6" t="s">
        <v>267</v>
      </c>
      <c r="O38" s="6" t="s">
        <v>268</v>
      </c>
    </row>
    <row r="39" spans="1:15" x14ac:dyDescent="0.25">
      <c r="A39" s="7" t="s">
        <v>68</v>
      </c>
      <c r="B39" s="7" t="s">
        <v>57</v>
      </c>
      <c r="C39" s="7" t="s">
        <v>118</v>
      </c>
      <c r="D39" s="7" t="s">
        <v>217</v>
      </c>
      <c r="E39" s="7" t="s">
        <v>48</v>
      </c>
      <c r="F39" s="7" t="s">
        <v>216</v>
      </c>
      <c r="G39" s="7" t="s">
        <v>6</v>
      </c>
      <c r="H39" s="127" t="s">
        <v>210</v>
      </c>
      <c r="I39" s="46">
        <v>46221</v>
      </c>
      <c r="J39" s="1" t="s">
        <v>266</v>
      </c>
      <c r="K39" s="1"/>
      <c r="L39" s="1"/>
      <c r="M39" s="1"/>
      <c r="N39" s="1" t="s">
        <v>267</v>
      </c>
      <c r="O39" s="1" t="s">
        <v>268</v>
      </c>
    </row>
    <row r="40" spans="1:15" x14ac:dyDescent="0.25">
      <c r="A40" s="125" t="s">
        <v>68</v>
      </c>
      <c r="B40" s="125" t="s">
        <v>57</v>
      </c>
      <c r="C40" s="125" t="s">
        <v>178</v>
      </c>
      <c r="D40" s="125" t="s">
        <v>217</v>
      </c>
      <c r="E40" s="125" t="s">
        <v>48</v>
      </c>
      <c r="F40" s="125" t="s">
        <v>216</v>
      </c>
      <c r="G40" s="126" t="s">
        <v>5</v>
      </c>
      <c r="H40" s="125" t="s">
        <v>218</v>
      </c>
      <c r="I40" s="45">
        <v>46221</v>
      </c>
      <c r="J40" s="6" t="s">
        <v>273</v>
      </c>
      <c r="K40" s="6"/>
      <c r="L40" s="6"/>
      <c r="M40" s="6" t="s">
        <v>267</v>
      </c>
      <c r="N40" s="6"/>
      <c r="O40" s="6" t="s">
        <v>268</v>
      </c>
    </row>
    <row r="41" spans="1:15" x14ac:dyDescent="0.25">
      <c r="A41" s="7" t="s">
        <v>68</v>
      </c>
      <c r="B41" s="7" t="s">
        <v>57</v>
      </c>
      <c r="C41" s="7" t="s">
        <v>179</v>
      </c>
      <c r="D41" s="7" t="s">
        <v>217</v>
      </c>
      <c r="E41" s="7" t="s">
        <v>48</v>
      </c>
      <c r="F41" s="7" t="s">
        <v>216</v>
      </c>
      <c r="G41" s="7" t="s">
        <v>5</v>
      </c>
      <c r="H41" s="127" t="s">
        <v>218</v>
      </c>
      <c r="I41" s="46">
        <v>46221</v>
      </c>
      <c r="J41" s="1" t="s">
        <v>273</v>
      </c>
      <c r="K41" s="1"/>
      <c r="L41" s="1"/>
      <c r="M41" s="1" t="s">
        <v>267</v>
      </c>
      <c r="N41" s="1"/>
      <c r="O41" s="1" t="s">
        <v>268</v>
      </c>
    </row>
    <row r="42" spans="1:15" x14ac:dyDescent="0.25">
      <c r="A42" s="125" t="s">
        <v>68</v>
      </c>
      <c r="B42" s="125" t="s">
        <v>57</v>
      </c>
      <c r="C42" s="125" t="s">
        <v>105</v>
      </c>
      <c r="D42" s="125" t="s">
        <v>217</v>
      </c>
      <c r="E42" s="125" t="s">
        <v>48</v>
      </c>
      <c r="F42" s="125" t="s">
        <v>216</v>
      </c>
      <c r="G42" s="126" t="s">
        <v>6</v>
      </c>
      <c r="H42" s="125" t="s">
        <v>218</v>
      </c>
      <c r="I42" s="45">
        <v>46221</v>
      </c>
      <c r="J42" s="6" t="s">
        <v>273</v>
      </c>
      <c r="K42" s="6"/>
      <c r="L42" s="6"/>
      <c r="M42" s="6" t="s">
        <v>267</v>
      </c>
      <c r="N42" s="6"/>
      <c r="O42" s="6" t="s">
        <v>268</v>
      </c>
    </row>
    <row r="43" spans="1:15" x14ac:dyDescent="0.25">
      <c r="A43" s="7" t="s">
        <v>68</v>
      </c>
      <c r="B43" s="7" t="s">
        <v>57</v>
      </c>
      <c r="C43" s="7" t="s">
        <v>177</v>
      </c>
      <c r="D43" s="7" t="s">
        <v>221</v>
      </c>
      <c r="E43" s="7" t="s">
        <v>76</v>
      </c>
      <c r="F43" s="7" t="s">
        <v>222</v>
      </c>
      <c r="G43" s="7" t="s">
        <v>5</v>
      </c>
      <c r="H43" s="127" t="s">
        <v>210</v>
      </c>
      <c r="I43" s="46">
        <v>46221</v>
      </c>
      <c r="J43" s="1" t="s">
        <v>266</v>
      </c>
      <c r="K43" s="1"/>
      <c r="L43" s="1"/>
      <c r="M43" s="1"/>
      <c r="N43" s="1" t="s">
        <v>267</v>
      </c>
      <c r="O43" s="1" t="s">
        <v>268</v>
      </c>
    </row>
    <row r="44" spans="1:15" x14ac:dyDescent="0.25">
      <c r="A44" s="125" t="s">
        <v>68</v>
      </c>
      <c r="B44" s="125" t="s">
        <v>293</v>
      </c>
      <c r="C44" s="125" t="s">
        <v>75</v>
      </c>
      <c r="D44" s="125" t="s">
        <v>208</v>
      </c>
      <c r="E44" s="125" t="s">
        <v>51</v>
      </c>
      <c r="F44" s="125" t="s">
        <v>209</v>
      </c>
      <c r="G44" s="126" t="s">
        <v>5</v>
      </c>
      <c r="H44" s="125" t="s">
        <v>210</v>
      </c>
      <c r="I44" s="45">
        <v>46221</v>
      </c>
      <c r="J44" s="6" t="s">
        <v>266</v>
      </c>
      <c r="K44" s="6"/>
      <c r="L44" s="6"/>
      <c r="M44" s="6"/>
      <c r="N44" s="6" t="s">
        <v>267</v>
      </c>
      <c r="O44" s="6" t="s">
        <v>268</v>
      </c>
    </row>
    <row r="45" spans="1:15" x14ac:dyDescent="0.25">
      <c r="A45" s="7" t="s">
        <v>68</v>
      </c>
      <c r="B45" s="7" t="s">
        <v>294</v>
      </c>
      <c r="C45" s="7" t="s">
        <v>156</v>
      </c>
      <c r="D45" s="7" t="s">
        <v>225</v>
      </c>
      <c r="E45" s="7" t="s">
        <v>51</v>
      </c>
      <c r="F45" s="7" t="s">
        <v>209</v>
      </c>
      <c r="G45" s="7" t="s">
        <v>5</v>
      </c>
      <c r="H45" s="127" t="s">
        <v>218</v>
      </c>
      <c r="I45" s="46">
        <v>46221</v>
      </c>
      <c r="J45" s="1" t="s">
        <v>266</v>
      </c>
      <c r="K45" s="1" t="s">
        <v>267</v>
      </c>
      <c r="L45" s="1"/>
      <c r="M45" s="1"/>
      <c r="N45" s="1"/>
      <c r="O45" s="1" t="s">
        <v>268</v>
      </c>
    </row>
    <row r="46" spans="1:15" x14ac:dyDescent="0.25">
      <c r="A46" s="125" t="s">
        <v>68</v>
      </c>
      <c r="B46" s="125" t="s">
        <v>295</v>
      </c>
      <c r="C46" s="125" t="s">
        <v>153</v>
      </c>
      <c r="D46" s="125" t="s">
        <v>208</v>
      </c>
      <c r="E46" s="125" t="s">
        <v>51</v>
      </c>
      <c r="F46" s="125" t="s">
        <v>209</v>
      </c>
      <c r="G46" s="126" t="s">
        <v>5</v>
      </c>
      <c r="H46" s="125" t="s">
        <v>218</v>
      </c>
      <c r="I46" s="45">
        <v>46221</v>
      </c>
      <c r="J46" s="6" t="s">
        <v>273</v>
      </c>
      <c r="K46" s="6"/>
      <c r="L46" s="6"/>
      <c r="M46" s="6" t="s">
        <v>267</v>
      </c>
      <c r="N46" s="6"/>
      <c r="O46" s="6" t="s">
        <v>268</v>
      </c>
    </row>
    <row r="47" spans="1:15" x14ac:dyDescent="0.25">
      <c r="A47" s="7" t="s">
        <v>68</v>
      </c>
      <c r="B47" s="7" t="s">
        <v>296</v>
      </c>
      <c r="C47" s="7" t="s">
        <v>159</v>
      </c>
      <c r="D47" s="7" t="s">
        <v>208</v>
      </c>
      <c r="E47" s="7" t="s">
        <v>51</v>
      </c>
      <c r="F47" s="7" t="s">
        <v>209</v>
      </c>
      <c r="G47" s="7" t="s">
        <v>5</v>
      </c>
      <c r="H47" s="127" t="s">
        <v>210</v>
      </c>
      <c r="I47" s="46">
        <v>46221</v>
      </c>
      <c r="J47" s="1" t="s">
        <v>266</v>
      </c>
      <c r="K47" s="1" t="s">
        <v>267</v>
      </c>
      <c r="L47" s="1"/>
      <c r="M47" s="1"/>
      <c r="N47" s="1"/>
      <c r="O47" s="1" t="s">
        <v>268</v>
      </c>
    </row>
    <row r="48" spans="1:15" x14ac:dyDescent="0.25">
      <c r="A48" s="125" t="s">
        <v>68</v>
      </c>
      <c r="B48" s="125" t="s">
        <v>297</v>
      </c>
      <c r="C48" s="125" t="s">
        <v>175</v>
      </c>
      <c r="D48" s="125" t="s">
        <v>221</v>
      </c>
      <c r="E48" s="125" t="s">
        <v>76</v>
      </c>
      <c r="F48" s="125" t="s">
        <v>222</v>
      </c>
      <c r="G48" s="126" t="s">
        <v>5</v>
      </c>
      <c r="H48" s="125" t="s">
        <v>210</v>
      </c>
      <c r="I48" s="45">
        <v>46221</v>
      </c>
      <c r="J48" s="6" t="s">
        <v>266</v>
      </c>
      <c r="K48" s="6"/>
      <c r="L48" s="6"/>
      <c r="M48" s="6"/>
      <c r="N48" s="6" t="s">
        <v>267</v>
      </c>
      <c r="O48" s="6" t="s">
        <v>268</v>
      </c>
    </row>
    <row r="49" spans="1:15" x14ac:dyDescent="0.25">
      <c r="A49" s="7"/>
      <c r="B49" s="7"/>
      <c r="C49" s="7"/>
      <c r="D49" s="7"/>
      <c r="E49" s="7"/>
      <c r="F49" s="7"/>
      <c r="G49" s="7"/>
      <c r="H49" s="127"/>
      <c r="I49" s="4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21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3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11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2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ADAC-0FBA-44A0-8272-E9516909DFE9}">
  <sheetPr codeName="Planilha6">
    <tabColor rgb="FF92D050"/>
    <pageSetUpPr fitToPage="1"/>
  </sheetPr>
  <dimension ref="A1:O130"/>
  <sheetViews>
    <sheetView showGridLines="0" view="pageBreakPreview" zoomScale="60" zoomScaleNormal="70" workbookViewId="0">
      <selection activeCell="F13" sqref="F13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298</v>
      </c>
      <c r="C3" s="26"/>
      <c r="D3" s="35" t="s">
        <v>299</v>
      </c>
      <c r="E3" s="27"/>
      <c r="F3" s="28"/>
      <c r="G3" s="28"/>
      <c r="H3" s="35" t="s">
        <v>196</v>
      </c>
      <c r="I3" s="27"/>
      <c r="J3" s="27"/>
      <c r="K3" s="35" t="s">
        <v>300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9" t="s">
        <v>199</v>
      </c>
      <c r="B6" s="119" t="s">
        <v>46</v>
      </c>
      <c r="C6" s="117" t="s">
        <v>42</v>
      </c>
      <c r="D6" s="119" t="s">
        <v>200</v>
      </c>
      <c r="E6" s="119" t="s">
        <v>43</v>
      </c>
      <c r="F6" s="119" t="s">
        <v>201</v>
      </c>
      <c r="G6" s="119" t="s">
        <v>202</v>
      </c>
      <c r="H6" s="119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0" t="s">
        <v>174</v>
      </c>
      <c r="B7" s="8" t="s">
        <v>301</v>
      </c>
      <c r="C7" s="42" t="s">
        <v>55</v>
      </c>
      <c r="D7" s="8" t="s">
        <v>208</v>
      </c>
      <c r="E7" s="8" t="s">
        <v>51</v>
      </c>
      <c r="F7" s="8" t="s">
        <v>209</v>
      </c>
      <c r="G7" s="11" t="s">
        <v>5</v>
      </c>
      <c r="H7" s="8" t="s">
        <v>210</v>
      </c>
      <c r="I7" s="45">
        <v>46217</v>
      </c>
      <c r="J7" s="6" t="s">
        <v>266</v>
      </c>
      <c r="K7" s="6"/>
      <c r="L7" s="6"/>
      <c r="M7" s="6"/>
      <c r="N7" s="6" t="s">
        <v>267</v>
      </c>
      <c r="O7" s="6" t="s">
        <v>268</v>
      </c>
    </row>
    <row r="8" spans="1:15" x14ac:dyDescent="0.25">
      <c r="A8" s="50" t="s">
        <v>174</v>
      </c>
      <c r="B8" s="9" t="s">
        <v>302</v>
      </c>
      <c r="C8" s="19" t="s">
        <v>84</v>
      </c>
      <c r="D8" s="9" t="s">
        <v>208</v>
      </c>
      <c r="E8" s="9" t="s">
        <v>51</v>
      </c>
      <c r="F8" s="7" t="s">
        <v>209</v>
      </c>
      <c r="G8" s="12" t="s">
        <v>5</v>
      </c>
      <c r="H8" s="9" t="s">
        <v>210</v>
      </c>
      <c r="I8" s="46">
        <v>46217</v>
      </c>
      <c r="J8" s="1" t="s">
        <v>266</v>
      </c>
      <c r="K8" s="1"/>
      <c r="L8" s="1"/>
      <c r="M8" s="1"/>
      <c r="N8" s="1" t="s">
        <v>267</v>
      </c>
      <c r="O8" s="1" t="s">
        <v>268</v>
      </c>
    </row>
    <row r="9" spans="1:15" x14ac:dyDescent="0.25">
      <c r="A9" s="10" t="s">
        <v>174</v>
      </c>
      <c r="B9" s="8" t="s">
        <v>303</v>
      </c>
      <c r="C9" s="42" t="s">
        <v>67</v>
      </c>
      <c r="D9" s="8" t="s">
        <v>208</v>
      </c>
      <c r="E9" s="8" t="s">
        <v>51</v>
      </c>
      <c r="F9" s="8" t="s">
        <v>209</v>
      </c>
      <c r="G9" s="11" t="s">
        <v>5</v>
      </c>
      <c r="H9" s="8" t="s">
        <v>210</v>
      </c>
      <c r="I9" s="45">
        <v>46217</v>
      </c>
      <c r="J9" s="6" t="s">
        <v>266</v>
      </c>
      <c r="K9" s="6"/>
      <c r="L9" s="6"/>
      <c r="M9" s="6"/>
      <c r="N9" s="6" t="s">
        <v>267</v>
      </c>
      <c r="O9" s="6" t="s">
        <v>268</v>
      </c>
    </row>
    <row r="10" spans="1:15" x14ac:dyDescent="0.25">
      <c r="A10" s="50" t="s">
        <v>174</v>
      </c>
      <c r="B10" s="9" t="s">
        <v>304</v>
      </c>
      <c r="C10" s="19" t="s">
        <v>71</v>
      </c>
      <c r="D10" s="9" t="s">
        <v>208</v>
      </c>
      <c r="E10" s="9" t="s">
        <v>51</v>
      </c>
      <c r="F10" s="7" t="s">
        <v>209</v>
      </c>
      <c r="G10" s="12" t="s">
        <v>5</v>
      </c>
      <c r="H10" s="9" t="s">
        <v>210</v>
      </c>
      <c r="I10" s="46">
        <v>46217</v>
      </c>
      <c r="J10" s="1" t="s">
        <v>266</v>
      </c>
      <c r="K10" s="1"/>
      <c r="L10" s="1"/>
      <c r="M10" s="1"/>
      <c r="N10" s="1" t="s">
        <v>267</v>
      </c>
      <c r="O10" s="1" t="s">
        <v>268</v>
      </c>
    </row>
    <row r="11" spans="1:15" x14ac:dyDescent="0.25">
      <c r="A11" s="10" t="s">
        <v>174</v>
      </c>
      <c r="B11" s="8" t="s">
        <v>305</v>
      </c>
      <c r="C11" s="42" t="s">
        <v>59</v>
      </c>
      <c r="D11" s="8" t="s">
        <v>215</v>
      </c>
      <c r="E11" s="8" t="s">
        <v>48</v>
      </c>
      <c r="F11" s="8" t="s">
        <v>216</v>
      </c>
      <c r="G11" s="11" t="s">
        <v>6</v>
      </c>
      <c r="H11" s="8" t="s">
        <v>210</v>
      </c>
      <c r="I11" s="45">
        <v>46217</v>
      </c>
      <c r="J11" s="6" t="s">
        <v>266</v>
      </c>
      <c r="K11" s="6"/>
      <c r="L11" s="6"/>
      <c r="M11" s="6"/>
      <c r="N11" s="6" t="s">
        <v>267</v>
      </c>
      <c r="O11" s="6" t="s">
        <v>268</v>
      </c>
    </row>
    <row r="12" spans="1:15" x14ac:dyDescent="0.25">
      <c r="A12" s="50" t="s">
        <v>174</v>
      </c>
      <c r="B12" s="9" t="s">
        <v>57</v>
      </c>
      <c r="C12" s="19" t="s">
        <v>56</v>
      </c>
      <c r="D12" s="9" t="s">
        <v>215</v>
      </c>
      <c r="E12" s="9" t="s">
        <v>54</v>
      </c>
      <c r="F12" s="7" t="s">
        <v>219</v>
      </c>
      <c r="G12" s="12" t="s">
        <v>6</v>
      </c>
      <c r="H12" s="9" t="s">
        <v>218</v>
      </c>
      <c r="I12" s="46">
        <v>46217</v>
      </c>
      <c r="J12" s="1" t="s">
        <v>273</v>
      </c>
      <c r="K12" s="1"/>
      <c r="L12" s="1"/>
      <c r="M12" s="1" t="s">
        <v>267</v>
      </c>
      <c r="N12" s="1"/>
      <c r="O12" s="1" t="s">
        <v>268</v>
      </c>
    </row>
    <row r="13" spans="1:15" x14ac:dyDescent="0.25">
      <c r="A13" s="10" t="s">
        <v>174</v>
      </c>
      <c r="B13" s="8" t="s">
        <v>57</v>
      </c>
      <c r="C13" s="42" t="s">
        <v>53</v>
      </c>
      <c r="D13" s="8" t="s">
        <v>217</v>
      </c>
      <c r="E13" s="8" t="s">
        <v>54</v>
      </c>
      <c r="F13" s="8" t="s">
        <v>219</v>
      </c>
      <c r="G13" s="11" t="s">
        <v>6</v>
      </c>
      <c r="H13" s="8" t="s">
        <v>210</v>
      </c>
      <c r="I13" s="45">
        <v>46217</v>
      </c>
      <c r="J13" s="6" t="s">
        <v>266</v>
      </c>
      <c r="K13" s="6"/>
      <c r="L13" s="6"/>
      <c r="M13" s="6" t="s">
        <v>267</v>
      </c>
      <c r="N13" s="6"/>
      <c r="O13" s="6" t="s">
        <v>268</v>
      </c>
    </row>
    <row r="14" spans="1:15" x14ac:dyDescent="0.25">
      <c r="A14" s="50" t="s">
        <v>174</v>
      </c>
      <c r="B14" s="9" t="s">
        <v>57</v>
      </c>
      <c r="C14" s="19" t="s">
        <v>58</v>
      </c>
      <c r="D14" s="9" t="s">
        <v>215</v>
      </c>
      <c r="E14" s="9" t="s">
        <v>54</v>
      </c>
      <c r="F14" s="7" t="s">
        <v>219</v>
      </c>
      <c r="G14" s="12" t="s">
        <v>6</v>
      </c>
      <c r="H14" s="9" t="s">
        <v>218</v>
      </c>
      <c r="I14" s="46">
        <v>46217</v>
      </c>
      <c r="J14" s="1" t="s">
        <v>273</v>
      </c>
      <c r="K14" s="1"/>
      <c r="L14" s="1"/>
      <c r="M14" s="1" t="s">
        <v>267</v>
      </c>
      <c r="N14" s="1"/>
      <c r="O14" s="1" t="s">
        <v>268</v>
      </c>
    </row>
    <row r="15" spans="1:15" x14ac:dyDescent="0.25">
      <c r="A15" s="10" t="s">
        <v>174</v>
      </c>
      <c r="B15" s="8" t="s">
        <v>306</v>
      </c>
      <c r="C15" s="42" t="s">
        <v>175</v>
      </c>
      <c r="D15" s="8" t="s">
        <v>221</v>
      </c>
      <c r="E15" s="8" t="s">
        <v>76</v>
      </c>
      <c r="F15" s="8" t="s">
        <v>222</v>
      </c>
      <c r="G15" s="11" t="s">
        <v>5</v>
      </c>
      <c r="H15" s="8" t="s">
        <v>210</v>
      </c>
      <c r="I15" s="45">
        <v>46217</v>
      </c>
      <c r="J15" s="6" t="s">
        <v>266</v>
      </c>
      <c r="K15" s="6"/>
      <c r="L15" s="6"/>
      <c r="M15" s="6"/>
      <c r="N15" s="6" t="s">
        <v>267</v>
      </c>
      <c r="O15" s="6" t="s">
        <v>268</v>
      </c>
    </row>
    <row r="16" spans="1:15" x14ac:dyDescent="0.25">
      <c r="A16" s="50" t="s">
        <v>174</v>
      </c>
      <c r="B16" s="9" t="s">
        <v>307</v>
      </c>
      <c r="C16" s="19" t="s">
        <v>72</v>
      </c>
      <c r="D16" s="9" t="s">
        <v>221</v>
      </c>
      <c r="E16" s="9" t="s">
        <v>76</v>
      </c>
      <c r="F16" s="7" t="s">
        <v>222</v>
      </c>
      <c r="G16" s="12" t="s">
        <v>5</v>
      </c>
      <c r="H16" s="9" t="s">
        <v>210</v>
      </c>
      <c r="I16" s="46">
        <v>46217</v>
      </c>
      <c r="J16" s="1" t="s">
        <v>266</v>
      </c>
      <c r="K16" s="1"/>
      <c r="L16" s="1"/>
      <c r="M16" s="1"/>
      <c r="N16" s="1" t="s">
        <v>267</v>
      </c>
      <c r="O16" s="1" t="s">
        <v>268</v>
      </c>
    </row>
    <row r="17" spans="1:15" x14ac:dyDescent="0.25">
      <c r="A17" s="10" t="s">
        <v>68</v>
      </c>
      <c r="B17" s="8" t="s">
        <v>308</v>
      </c>
      <c r="C17" s="42" t="s">
        <v>125</v>
      </c>
      <c r="D17" s="8" t="s">
        <v>225</v>
      </c>
      <c r="E17" s="8" t="s">
        <v>51</v>
      </c>
      <c r="F17" s="8" t="s">
        <v>209</v>
      </c>
      <c r="G17" s="11" t="s">
        <v>5</v>
      </c>
      <c r="H17" s="8" t="s">
        <v>218</v>
      </c>
      <c r="I17" s="45">
        <v>46217</v>
      </c>
      <c r="J17" s="6" t="s">
        <v>273</v>
      </c>
      <c r="K17" s="6"/>
      <c r="L17" s="6"/>
      <c r="M17" s="6"/>
      <c r="N17" s="6" t="s">
        <v>267</v>
      </c>
      <c r="O17" s="6" t="s">
        <v>309</v>
      </c>
    </row>
    <row r="18" spans="1:15" x14ac:dyDescent="0.25">
      <c r="A18" s="50" t="s">
        <v>68</v>
      </c>
      <c r="B18" s="9" t="s">
        <v>310</v>
      </c>
      <c r="C18" s="19" t="s">
        <v>158</v>
      </c>
      <c r="D18" s="9" t="s">
        <v>208</v>
      </c>
      <c r="E18" s="9" t="s">
        <v>51</v>
      </c>
      <c r="F18" s="7" t="s">
        <v>209</v>
      </c>
      <c r="G18" s="12" t="s">
        <v>5</v>
      </c>
      <c r="H18" s="9" t="s">
        <v>210</v>
      </c>
      <c r="I18" s="46">
        <v>46217</v>
      </c>
      <c r="J18" s="1" t="s">
        <v>266</v>
      </c>
      <c r="K18" s="1"/>
      <c r="L18" s="1"/>
      <c r="M18" s="1"/>
      <c r="N18" s="1" t="s">
        <v>267</v>
      </c>
      <c r="O18" s="1" t="s">
        <v>309</v>
      </c>
    </row>
    <row r="19" spans="1:15" x14ac:dyDescent="0.25">
      <c r="A19" s="10" t="s">
        <v>68</v>
      </c>
      <c r="B19" s="8" t="s">
        <v>311</v>
      </c>
      <c r="C19" s="42" t="s">
        <v>106</v>
      </c>
      <c r="D19" s="8" t="s">
        <v>225</v>
      </c>
      <c r="E19" s="8" t="s">
        <v>51</v>
      </c>
      <c r="F19" s="8" t="s">
        <v>209</v>
      </c>
      <c r="G19" s="11" t="s">
        <v>5</v>
      </c>
      <c r="H19" s="8" t="s">
        <v>218</v>
      </c>
      <c r="I19" s="45">
        <v>46217</v>
      </c>
      <c r="J19" s="6" t="s">
        <v>273</v>
      </c>
      <c r="K19" s="6"/>
      <c r="L19" s="6"/>
      <c r="M19" s="6"/>
      <c r="N19" s="6" t="s">
        <v>267</v>
      </c>
      <c r="O19" s="6" t="s">
        <v>309</v>
      </c>
    </row>
    <row r="20" spans="1:15" x14ac:dyDescent="0.25">
      <c r="A20" s="50" t="s">
        <v>68</v>
      </c>
      <c r="B20" s="9" t="s">
        <v>312</v>
      </c>
      <c r="C20" s="19" t="s">
        <v>115</v>
      </c>
      <c r="D20" s="9" t="s">
        <v>229</v>
      </c>
      <c r="E20" s="9" t="s">
        <v>80</v>
      </c>
      <c r="F20" s="7" t="s">
        <v>230</v>
      </c>
      <c r="G20" s="12" t="s">
        <v>5</v>
      </c>
      <c r="H20" s="9" t="s">
        <v>218</v>
      </c>
      <c r="I20" s="46">
        <v>46217</v>
      </c>
      <c r="J20" s="1" t="s">
        <v>273</v>
      </c>
      <c r="K20" s="1"/>
      <c r="L20" s="1"/>
      <c r="M20" s="1"/>
      <c r="N20" s="1" t="s">
        <v>267</v>
      </c>
      <c r="O20" s="1" t="s">
        <v>309</v>
      </c>
    </row>
    <row r="21" spans="1:15" x14ac:dyDescent="0.25">
      <c r="A21" s="10" t="s">
        <v>68</v>
      </c>
      <c r="B21" s="8" t="s">
        <v>313</v>
      </c>
      <c r="C21" s="42" t="s">
        <v>147</v>
      </c>
      <c r="D21" s="8" t="s">
        <v>229</v>
      </c>
      <c r="E21" s="8" t="s">
        <v>80</v>
      </c>
      <c r="F21" s="8" t="s">
        <v>230</v>
      </c>
      <c r="G21" s="11" t="s">
        <v>5</v>
      </c>
      <c r="H21" s="8" t="s">
        <v>210</v>
      </c>
      <c r="I21" s="45">
        <v>46217</v>
      </c>
      <c r="J21" s="6" t="s">
        <v>266</v>
      </c>
      <c r="K21" s="6"/>
      <c r="L21" s="6"/>
      <c r="M21" s="6"/>
      <c r="N21" s="6" t="s">
        <v>267</v>
      </c>
      <c r="O21" s="6" t="s">
        <v>309</v>
      </c>
    </row>
    <row r="22" spans="1:15" x14ac:dyDescent="0.25">
      <c r="A22" s="50" t="s">
        <v>68</v>
      </c>
      <c r="B22" s="9" t="s">
        <v>314</v>
      </c>
      <c r="C22" s="19" t="s">
        <v>103</v>
      </c>
      <c r="D22" s="9" t="s">
        <v>229</v>
      </c>
      <c r="E22" s="9" t="s">
        <v>80</v>
      </c>
      <c r="F22" s="7" t="s">
        <v>230</v>
      </c>
      <c r="G22" s="12" t="s">
        <v>5</v>
      </c>
      <c r="H22" s="9" t="s">
        <v>218</v>
      </c>
      <c r="I22" s="46">
        <v>46217</v>
      </c>
      <c r="J22" s="1" t="s">
        <v>273</v>
      </c>
      <c r="K22" s="1"/>
      <c r="L22" s="1"/>
      <c r="M22" s="1" t="s">
        <v>267</v>
      </c>
      <c r="N22" s="1"/>
      <c r="O22" s="1" t="s">
        <v>309</v>
      </c>
    </row>
    <row r="23" spans="1:15" x14ac:dyDescent="0.25">
      <c r="A23" s="10" t="s">
        <v>68</v>
      </c>
      <c r="B23" s="8" t="s">
        <v>315</v>
      </c>
      <c r="C23" s="42" t="s">
        <v>119</v>
      </c>
      <c r="D23" s="8" t="s">
        <v>208</v>
      </c>
      <c r="E23" s="8" t="s">
        <v>51</v>
      </c>
      <c r="F23" s="8" t="s">
        <v>209</v>
      </c>
      <c r="G23" s="11" t="s">
        <v>5</v>
      </c>
      <c r="H23" s="8" t="s">
        <v>218</v>
      </c>
      <c r="I23" s="45">
        <v>46217</v>
      </c>
      <c r="J23" s="6" t="s">
        <v>273</v>
      </c>
      <c r="K23" s="6"/>
      <c r="L23" s="6"/>
      <c r="M23" s="6"/>
      <c r="N23" s="6" t="s">
        <v>267</v>
      </c>
      <c r="O23" s="6" t="s">
        <v>309</v>
      </c>
    </row>
    <row r="24" spans="1:15" x14ac:dyDescent="0.25">
      <c r="A24" s="50" t="s">
        <v>68</v>
      </c>
      <c r="B24" s="9" t="s">
        <v>316</v>
      </c>
      <c r="C24" s="19" t="s">
        <v>150</v>
      </c>
      <c r="D24" s="9" t="s">
        <v>208</v>
      </c>
      <c r="E24" s="9" t="s">
        <v>51</v>
      </c>
      <c r="F24" s="7" t="s">
        <v>209</v>
      </c>
      <c r="G24" s="12" t="s">
        <v>5</v>
      </c>
      <c r="H24" s="9" t="s">
        <v>210</v>
      </c>
      <c r="I24" s="46">
        <v>46217</v>
      </c>
      <c r="J24" s="1" t="s">
        <v>266</v>
      </c>
      <c r="K24" s="1"/>
      <c r="L24" s="1"/>
      <c r="M24" s="1"/>
      <c r="N24" s="1" t="s">
        <v>267</v>
      </c>
      <c r="O24" s="1" t="s">
        <v>309</v>
      </c>
    </row>
    <row r="25" spans="1:15" x14ac:dyDescent="0.25">
      <c r="A25" s="10" t="s">
        <v>68</v>
      </c>
      <c r="B25" s="8" t="s">
        <v>317</v>
      </c>
      <c r="C25" s="42" t="s">
        <v>85</v>
      </c>
      <c r="D25" s="8" t="s">
        <v>208</v>
      </c>
      <c r="E25" s="8" t="s">
        <v>51</v>
      </c>
      <c r="F25" s="8" t="s">
        <v>209</v>
      </c>
      <c r="G25" s="11" t="s">
        <v>5</v>
      </c>
      <c r="H25" s="8" t="s">
        <v>218</v>
      </c>
      <c r="I25" s="45">
        <v>46217</v>
      </c>
      <c r="J25" s="6" t="s">
        <v>273</v>
      </c>
      <c r="K25" s="6"/>
      <c r="L25" s="6"/>
      <c r="M25" s="6"/>
      <c r="N25" s="6" t="s">
        <v>267</v>
      </c>
      <c r="O25" s="6" t="s">
        <v>309</v>
      </c>
    </row>
    <row r="26" spans="1:15" x14ac:dyDescent="0.25">
      <c r="A26" s="139" t="s">
        <v>68</v>
      </c>
      <c r="B26" s="140" t="s">
        <v>318</v>
      </c>
      <c r="C26" s="141" t="s">
        <v>122</v>
      </c>
      <c r="D26" s="140" t="s">
        <v>208</v>
      </c>
      <c r="E26" s="140" t="s">
        <v>51</v>
      </c>
      <c r="F26" s="142" t="s">
        <v>209</v>
      </c>
      <c r="G26" s="143" t="s">
        <v>5</v>
      </c>
      <c r="H26" s="140" t="s">
        <v>218</v>
      </c>
      <c r="I26" s="144"/>
      <c r="J26" s="145"/>
      <c r="K26" s="145"/>
      <c r="L26" s="145"/>
      <c r="M26" s="145"/>
      <c r="N26" s="145"/>
      <c r="O26" s="145"/>
    </row>
    <row r="27" spans="1:15" x14ac:dyDescent="0.25">
      <c r="A27" s="146" t="s">
        <v>68</v>
      </c>
      <c r="B27" s="147" t="s">
        <v>319</v>
      </c>
      <c r="C27" s="148" t="s">
        <v>155</v>
      </c>
      <c r="D27" s="147" t="s">
        <v>208</v>
      </c>
      <c r="E27" s="147" t="s">
        <v>51</v>
      </c>
      <c r="F27" s="147" t="s">
        <v>209</v>
      </c>
      <c r="G27" s="149" t="s">
        <v>5</v>
      </c>
      <c r="H27" s="147" t="s">
        <v>210</v>
      </c>
      <c r="I27" s="146"/>
      <c r="J27" s="150"/>
      <c r="K27" s="150"/>
      <c r="L27" s="150"/>
      <c r="M27" s="150"/>
      <c r="N27" s="150"/>
      <c r="O27" s="150"/>
    </row>
    <row r="28" spans="1:15" x14ac:dyDescent="0.25">
      <c r="A28" s="139" t="s">
        <v>68</v>
      </c>
      <c r="B28" s="140" t="s">
        <v>320</v>
      </c>
      <c r="C28" s="141" t="s">
        <v>90</v>
      </c>
      <c r="D28" s="140" t="s">
        <v>208</v>
      </c>
      <c r="E28" s="140" t="s">
        <v>51</v>
      </c>
      <c r="F28" s="142" t="s">
        <v>209</v>
      </c>
      <c r="G28" s="143" t="s">
        <v>5</v>
      </c>
      <c r="H28" s="140" t="s">
        <v>218</v>
      </c>
      <c r="I28" s="144"/>
      <c r="J28" s="145"/>
      <c r="K28" s="145"/>
      <c r="L28" s="145"/>
      <c r="M28" s="145"/>
      <c r="N28" s="145"/>
      <c r="O28" s="145"/>
    </row>
    <row r="29" spans="1:15" x14ac:dyDescent="0.25">
      <c r="A29" s="10" t="s">
        <v>68</v>
      </c>
      <c r="B29" s="8" t="s">
        <v>321</v>
      </c>
      <c r="C29" s="42" t="s">
        <v>128</v>
      </c>
      <c r="D29" s="8" t="s">
        <v>240</v>
      </c>
      <c r="E29" s="8" t="s">
        <v>86</v>
      </c>
      <c r="F29" s="8" t="s">
        <v>241</v>
      </c>
      <c r="G29" s="11" t="s">
        <v>5</v>
      </c>
      <c r="H29" s="8" t="s">
        <v>218</v>
      </c>
      <c r="I29" s="45">
        <v>46217</v>
      </c>
      <c r="J29" s="6" t="s">
        <v>273</v>
      </c>
      <c r="K29" s="6"/>
      <c r="L29" s="6"/>
      <c r="M29" s="6"/>
      <c r="N29" s="6" t="s">
        <v>267</v>
      </c>
      <c r="O29" s="6" t="s">
        <v>309</v>
      </c>
    </row>
    <row r="30" spans="1:15" x14ac:dyDescent="0.25">
      <c r="A30" s="50" t="s">
        <v>68</v>
      </c>
      <c r="B30" s="9" t="s">
        <v>322</v>
      </c>
      <c r="C30" s="19" t="s">
        <v>152</v>
      </c>
      <c r="D30" s="9" t="s">
        <v>240</v>
      </c>
      <c r="E30" s="9" t="s">
        <v>86</v>
      </c>
      <c r="F30" s="7" t="s">
        <v>241</v>
      </c>
      <c r="G30" s="12" t="s">
        <v>5</v>
      </c>
      <c r="H30" s="9" t="s">
        <v>210</v>
      </c>
      <c r="I30" s="46">
        <v>46217</v>
      </c>
      <c r="J30" s="1" t="s">
        <v>266</v>
      </c>
      <c r="K30" s="1"/>
      <c r="L30" s="1"/>
      <c r="M30" s="1"/>
      <c r="N30" s="1" t="s">
        <v>267</v>
      </c>
      <c r="O30" s="1" t="s">
        <v>309</v>
      </c>
    </row>
    <row r="31" spans="1:15" x14ac:dyDescent="0.25">
      <c r="A31" s="10" t="s">
        <v>68</v>
      </c>
      <c r="B31" s="8" t="s">
        <v>323</v>
      </c>
      <c r="C31" s="42" t="s">
        <v>96</v>
      </c>
      <c r="D31" s="8" t="s">
        <v>240</v>
      </c>
      <c r="E31" s="8" t="s">
        <v>86</v>
      </c>
      <c r="F31" s="8" t="s">
        <v>241</v>
      </c>
      <c r="G31" s="11" t="s">
        <v>5</v>
      </c>
      <c r="H31" s="8" t="s">
        <v>218</v>
      </c>
      <c r="I31" s="45">
        <v>46217</v>
      </c>
      <c r="J31" s="6" t="s">
        <v>273</v>
      </c>
      <c r="K31" s="6"/>
      <c r="L31" s="6"/>
      <c r="M31" s="6"/>
      <c r="N31" s="6" t="s">
        <v>267</v>
      </c>
      <c r="O31" s="6" t="s">
        <v>309</v>
      </c>
    </row>
    <row r="32" spans="1:15" x14ac:dyDescent="0.25">
      <c r="A32" s="50" t="s">
        <v>68</v>
      </c>
      <c r="B32" s="9" t="s">
        <v>324</v>
      </c>
      <c r="C32" s="19" t="s">
        <v>93</v>
      </c>
      <c r="D32" s="9" t="s">
        <v>208</v>
      </c>
      <c r="E32" s="9" t="s">
        <v>51</v>
      </c>
      <c r="F32" s="7" t="s">
        <v>209</v>
      </c>
      <c r="G32" s="12" t="s">
        <v>5</v>
      </c>
      <c r="H32" s="9" t="s">
        <v>210</v>
      </c>
      <c r="I32" s="46">
        <v>46217</v>
      </c>
      <c r="J32" s="1" t="s">
        <v>266</v>
      </c>
      <c r="K32" s="1"/>
      <c r="L32" s="1"/>
      <c r="M32" s="1"/>
      <c r="N32" s="1" t="s">
        <v>267</v>
      </c>
      <c r="O32" s="1" t="s">
        <v>325</v>
      </c>
    </row>
    <row r="33" spans="1:15" ht="18" customHeight="1" x14ac:dyDescent="0.25">
      <c r="A33" s="10" t="s">
        <v>68</v>
      </c>
      <c r="B33" s="8" t="s">
        <v>326</v>
      </c>
      <c r="C33" s="42" t="s">
        <v>161</v>
      </c>
      <c r="D33" s="8" t="s">
        <v>208</v>
      </c>
      <c r="E33" s="8" t="s">
        <v>51</v>
      </c>
      <c r="F33" s="8" t="s">
        <v>209</v>
      </c>
      <c r="G33" s="11" t="s">
        <v>5</v>
      </c>
      <c r="H33" s="8" t="s">
        <v>210</v>
      </c>
      <c r="I33" s="45">
        <v>46217</v>
      </c>
      <c r="J33" s="6" t="s">
        <v>266</v>
      </c>
      <c r="K33" s="6"/>
      <c r="L33" s="6"/>
      <c r="M33" s="6"/>
      <c r="N33" s="6" t="s">
        <v>267</v>
      </c>
      <c r="O33" s="6" t="s">
        <v>325</v>
      </c>
    </row>
    <row r="34" spans="1:15" x14ac:dyDescent="0.25">
      <c r="A34" s="50" t="s">
        <v>68</v>
      </c>
      <c r="B34" s="9" t="s">
        <v>327</v>
      </c>
      <c r="C34" s="19" t="s">
        <v>100</v>
      </c>
      <c r="D34" s="9" t="s">
        <v>208</v>
      </c>
      <c r="E34" s="9" t="s">
        <v>51</v>
      </c>
      <c r="F34" s="7" t="s">
        <v>209</v>
      </c>
      <c r="G34" s="12" t="s">
        <v>5</v>
      </c>
      <c r="H34" s="9" t="s">
        <v>210</v>
      </c>
      <c r="I34" s="46">
        <v>46217</v>
      </c>
      <c r="J34" s="1" t="s">
        <v>266</v>
      </c>
      <c r="K34" s="1"/>
      <c r="L34" s="1"/>
      <c r="M34" s="1"/>
      <c r="N34" s="1" t="s">
        <v>267</v>
      </c>
      <c r="O34" s="1" t="s">
        <v>325</v>
      </c>
    </row>
    <row r="35" spans="1:15" x14ac:dyDescent="0.25">
      <c r="A35" s="10" t="s">
        <v>68</v>
      </c>
      <c r="B35" s="8" t="s">
        <v>57</v>
      </c>
      <c r="C35" s="42" t="s">
        <v>47</v>
      </c>
      <c r="D35" s="8" t="str">
        <f>$D$31</f>
        <v>1"</v>
      </c>
      <c r="E35" s="8" t="s">
        <v>48</v>
      </c>
      <c r="F35" s="8" t="s">
        <v>216</v>
      </c>
      <c r="G35" s="11" t="s">
        <v>6</v>
      </c>
      <c r="H35" s="8" t="s">
        <v>218</v>
      </c>
      <c r="I35" s="45">
        <v>46217</v>
      </c>
      <c r="J35" s="6" t="s">
        <v>273</v>
      </c>
      <c r="K35" s="6"/>
      <c r="L35" s="6"/>
      <c r="M35" s="6" t="s">
        <v>267</v>
      </c>
      <c r="N35" s="6"/>
      <c r="O35" s="6" t="s">
        <v>268</v>
      </c>
    </row>
    <row r="36" spans="1:15" x14ac:dyDescent="0.25">
      <c r="A36" s="50" t="s">
        <v>68</v>
      </c>
      <c r="B36" s="9" t="s">
        <v>57</v>
      </c>
      <c r="C36" s="19" t="s">
        <v>89</v>
      </c>
      <c r="D36" s="9" t="s">
        <v>208</v>
      </c>
      <c r="E36" s="9" t="s">
        <v>51</v>
      </c>
      <c r="F36" s="7" t="s">
        <v>209</v>
      </c>
      <c r="G36" s="12" t="s">
        <v>5</v>
      </c>
      <c r="H36" s="9" t="s">
        <v>218</v>
      </c>
      <c r="I36" s="46">
        <v>46217</v>
      </c>
      <c r="J36" s="1" t="s">
        <v>273</v>
      </c>
      <c r="K36" s="1"/>
      <c r="L36" s="1"/>
      <c r="M36" s="1"/>
      <c r="N36" s="1" t="s">
        <v>267</v>
      </c>
      <c r="O36" s="1" t="s">
        <v>309</v>
      </c>
    </row>
    <row r="37" spans="1:15" x14ac:dyDescent="0.25">
      <c r="A37" s="10" t="s">
        <v>68</v>
      </c>
      <c r="B37" s="8" t="s">
        <v>57</v>
      </c>
      <c r="C37" s="42" t="s">
        <v>111</v>
      </c>
      <c r="D37" s="8" t="str">
        <f>$D$31</f>
        <v>1"</v>
      </c>
      <c r="E37" s="8" t="s">
        <v>48</v>
      </c>
      <c r="F37" s="8" t="s">
        <v>216</v>
      </c>
      <c r="G37" s="11" t="s">
        <v>5</v>
      </c>
      <c r="H37" s="8" t="s">
        <v>218</v>
      </c>
      <c r="I37" s="45">
        <v>46217</v>
      </c>
      <c r="J37" s="6" t="s">
        <v>273</v>
      </c>
      <c r="K37" s="6"/>
      <c r="L37" s="6"/>
      <c r="M37" s="6" t="s">
        <v>267</v>
      </c>
      <c r="N37" s="6"/>
      <c r="O37" s="6" t="s">
        <v>309</v>
      </c>
    </row>
    <row r="38" spans="1:15" x14ac:dyDescent="0.25">
      <c r="A38" s="50" t="s">
        <v>68</v>
      </c>
      <c r="B38" s="9" t="s">
        <v>57</v>
      </c>
      <c r="C38" s="19" t="s">
        <v>114</v>
      </c>
      <c r="D38" s="9" t="s">
        <v>208</v>
      </c>
      <c r="E38" s="9" t="s">
        <v>51</v>
      </c>
      <c r="F38" s="7" t="s">
        <v>209</v>
      </c>
      <c r="G38" s="12" t="s">
        <v>5</v>
      </c>
      <c r="H38" s="9" t="s">
        <v>218</v>
      </c>
      <c r="I38" s="46">
        <v>46217</v>
      </c>
      <c r="J38" s="1" t="s">
        <v>273</v>
      </c>
      <c r="K38" s="1"/>
      <c r="L38" s="1"/>
      <c r="M38" s="1"/>
      <c r="N38" s="1" t="s">
        <v>267</v>
      </c>
      <c r="O38" s="1" t="s">
        <v>309</v>
      </c>
    </row>
    <row r="39" spans="1:15" x14ac:dyDescent="0.25">
      <c r="A39" s="10" t="s">
        <v>68</v>
      </c>
      <c r="B39" s="8" t="s">
        <v>57</v>
      </c>
      <c r="C39" s="42" t="s">
        <v>118</v>
      </c>
      <c r="D39" s="8" t="s">
        <v>217</v>
      </c>
      <c r="E39" s="8" t="s">
        <v>48</v>
      </c>
      <c r="F39" s="8" t="s">
        <v>216</v>
      </c>
      <c r="G39" s="11" t="s">
        <v>6</v>
      </c>
      <c r="H39" s="8" t="s">
        <v>210</v>
      </c>
      <c r="I39" s="45">
        <v>46217</v>
      </c>
      <c r="J39" s="6" t="s">
        <v>266</v>
      </c>
      <c r="K39" s="6"/>
      <c r="L39" s="6"/>
      <c r="M39" s="6"/>
      <c r="N39" s="6" t="s">
        <v>267</v>
      </c>
      <c r="O39" s="6" t="s">
        <v>325</v>
      </c>
    </row>
    <row r="40" spans="1:15" x14ac:dyDescent="0.25">
      <c r="A40" s="50" t="s">
        <v>68</v>
      </c>
      <c r="B40" s="9" t="s">
        <v>57</v>
      </c>
      <c r="C40" s="19" t="s">
        <v>178</v>
      </c>
      <c r="D40" s="9" t="s">
        <v>217</v>
      </c>
      <c r="E40" s="9" t="s">
        <v>48</v>
      </c>
      <c r="F40" s="7" t="s">
        <v>216</v>
      </c>
      <c r="G40" s="12" t="s">
        <v>5</v>
      </c>
      <c r="H40" s="9" t="s">
        <v>218</v>
      </c>
      <c r="I40" s="46">
        <v>46217</v>
      </c>
      <c r="J40" s="1" t="s">
        <v>273</v>
      </c>
      <c r="K40" s="1"/>
      <c r="L40" s="1"/>
      <c r="M40" s="1"/>
      <c r="N40" s="1" t="s">
        <v>267</v>
      </c>
      <c r="O40" s="1" t="s">
        <v>309</v>
      </c>
    </row>
    <row r="41" spans="1:15" x14ac:dyDescent="0.25">
      <c r="A41" s="10" t="s">
        <v>68</v>
      </c>
      <c r="B41" s="8" t="s">
        <v>57</v>
      </c>
      <c r="C41" s="42" t="s">
        <v>179</v>
      </c>
      <c r="D41" s="8" t="s">
        <v>217</v>
      </c>
      <c r="E41" s="8" t="s">
        <v>48</v>
      </c>
      <c r="F41" s="8" t="s">
        <v>216</v>
      </c>
      <c r="G41" s="11" t="s">
        <v>5</v>
      </c>
      <c r="H41" s="8" t="s">
        <v>218</v>
      </c>
      <c r="I41" s="45">
        <v>46217</v>
      </c>
      <c r="J41" s="6" t="s">
        <v>273</v>
      </c>
      <c r="K41" s="6"/>
      <c r="L41" s="6"/>
      <c r="M41" s="6"/>
      <c r="N41" s="6" t="s">
        <v>267</v>
      </c>
      <c r="O41" s="6" t="s">
        <v>309</v>
      </c>
    </row>
    <row r="42" spans="1:15" x14ac:dyDescent="0.25">
      <c r="A42" s="50" t="s">
        <v>68</v>
      </c>
      <c r="B42" s="9" t="s">
        <v>57</v>
      </c>
      <c r="C42" s="19" t="s">
        <v>176</v>
      </c>
      <c r="D42" s="9" t="s">
        <v>221</v>
      </c>
      <c r="E42" s="9" t="s">
        <v>76</v>
      </c>
      <c r="F42" s="7" t="s">
        <v>222</v>
      </c>
      <c r="G42" s="12" t="s">
        <v>5</v>
      </c>
      <c r="H42" s="9" t="s">
        <v>218</v>
      </c>
      <c r="I42" s="46">
        <v>46217</v>
      </c>
      <c r="J42" s="1" t="s">
        <v>266</v>
      </c>
      <c r="K42" s="1"/>
      <c r="L42" s="1" t="s">
        <v>267</v>
      </c>
      <c r="M42" s="1"/>
      <c r="N42" s="1"/>
      <c r="O42" s="1" t="s">
        <v>325</v>
      </c>
    </row>
    <row r="43" spans="1:15" x14ac:dyDescent="0.25">
      <c r="A43" s="10" t="s">
        <v>68</v>
      </c>
      <c r="B43" s="8" t="s">
        <v>57</v>
      </c>
      <c r="C43" s="42" t="s">
        <v>105</v>
      </c>
      <c r="D43" s="8" t="str">
        <f>$D$31</f>
        <v>1"</v>
      </c>
      <c r="E43" s="8" t="s">
        <v>48</v>
      </c>
      <c r="F43" s="8" t="s">
        <v>216</v>
      </c>
      <c r="G43" s="11" t="s">
        <v>6</v>
      </c>
      <c r="H43" s="8" t="s">
        <v>218</v>
      </c>
      <c r="I43" s="45">
        <v>46217</v>
      </c>
      <c r="J43" s="6" t="s">
        <v>273</v>
      </c>
      <c r="K43" s="6"/>
      <c r="L43" s="6"/>
      <c r="M43" s="6"/>
      <c r="N43" s="6" t="s">
        <v>267</v>
      </c>
      <c r="O43" s="6" t="s">
        <v>309</v>
      </c>
    </row>
    <row r="44" spans="1:15" x14ac:dyDescent="0.25">
      <c r="A44" s="50" t="s">
        <v>68</v>
      </c>
      <c r="B44" s="9" t="s">
        <v>57</v>
      </c>
      <c r="C44" s="19" t="s">
        <v>177</v>
      </c>
      <c r="D44" s="9" t="s">
        <v>221</v>
      </c>
      <c r="E44" s="9" t="s">
        <v>76</v>
      </c>
      <c r="F44" s="7" t="s">
        <v>222</v>
      </c>
      <c r="G44" s="12" t="s">
        <v>5</v>
      </c>
      <c r="H44" s="9" t="s">
        <v>210</v>
      </c>
      <c r="I44" s="46">
        <v>46217</v>
      </c>
      <c r="J44" s="1" t="s">
        <v>266</v>
      </c>
      <c r="K44" s="1"/>
      <c r="L44" s="1"/>
      <c r="M44" s="1"/>
      <c r="N44" s="1" t="s">
        <v>267</v>
      </c>
      <c r="O44" s="1" t="s">
        <v>309</v>
      </c>
    </row>
    <row r="45" spans="1:15" x14ac:dyDescent="0.25">
      <c r="A45" s="10" t="s">
        <v>68</v>
      </c>
      <c r="B45" s="8" t="s">
        <v>328</v>
      </c>
      <c r="C45" s="42" t="s">
        <v>156</v>
      </c>
      <c r="D45" s="8" t="s">
        <v>225</v>
      </c>
      <c r="E45" s="8" t="s">
        <v>51</v>
      </c>
      <c r="F45" s="8" t="s">
        <v>209</v>
      </c>
      <c r="G45" s="11" t="s">
        <v>5</v>
      </c>
      <c r="H45" s="8" t="s">
        <v>218</v>
      </c>
      <c r="I45" s="45">
        <v>46217</v>
      </c>
      <c r="J45" s="6" t="s">
        <v>273</v>
      </c>
      <c r="K45" s="6"/>
      <c r="L45" s="6"/>
      <c r="M45" s="6"/>
      <c r="N45" s="6" t="s">
        <v>267</v>
      </c>
      <c r="O45" s="6" t="s">
        <v>309</v>
      </c>
    </row>
    <row r="46" spans="1:15" x14ac:dyDescent="0.25">
      <c r="A46" s="139" t="s">
        <v>68</v>
      </c>
      <c r="B46" s="140" t="s">
        <v>329</v>
      </c>
      <c r="C46" s="141" t="s">
        <v>153</v>
      </c>
      <c r="D46" s="140" t="s">
        <v>208</v>
      </c>
      <c r="E46" s="140" t="s">
        <v>51</v>
      </c>
      <c r="F46" s="142" t="s">
        <v>209</v>
      </c>
      <c r="G46" s="143" t="s">
        <v>5</v>
      </c>
      <c r="H46" s="140" t="s">
        <v>218</v>
      </c>
      <c r="I46" s="144"/>
      <c r="J46" s="145"/>
      <c r="K46" s="145"/>
      <c r="L46" s="145"/>
      <c r="M46" s="145"/>
      <c r="N46" s="145"/>
      <c r="O46" s="145"/>
    </row>
    <row r="47" spans="1:15" x14ac:dyDescent="0.25">
      <c r="A47" s="10" t="s">
        <v>68</v>
      </c>
      <c r="B47" s="8" t="s">
        <v>330</v>
      </c>
      <c r="C47" s="42" t="s">
        <v>159</v>
      </c>
      <c r="D47" s="8" t="s">
        <v>208</v>
      </c>
      <c r="E47" s="8" t="s">
        <v>51</v>
      </c>
      <c r="F47" s="8" t="s">
        <v>209</v>
      </c>
      <c r="G47" s="11" t="s">
        <v>5</v>
      </c>
      <c r="H47" s="8" t="s">
        <v>210</v>
      </c>
      <c r="I47" s="10"/>
      <c r="J47" s="6"/>
      <c r="K47" s="6"/>
      <c r="L47" s="6"/>
      <c r="M47" s="6"/>
      <c r="N47" s="6"/>
      <c r="O47" s="6"/>
    </row>
    <row r="48" spans="1:15" x14ac:dyDescent="0.25">
      <c r="A48" s="50" t="s">
        <v>68</v>
      </c>
      <c r="B48" s="9" t="s">
        <v>331</v>
      </c>
      <c r="C48" s="19" t="s">
        <v>75</v>
      </c>
      <c r="D48" s="9" t="s">
        <v>208</v>
      </c>
      <c r="E48" s="9" t="s">
        <v>51</v>
      </c>
      <c r="F48" s="7" t="s">
        <v>209</v>
      </c>
      <c r="G48" s="12" t="s">
        <v>5</v>
      </c>
      <c r="H48" s="9" t="s">
        <v>210</v>
      </c>
      <c r="I48" s="41"/>
      <c r="J48" s="1"/>
      <c r="K48" s="1"/>
      <c r="L48" s="1"/>
      <c r="M48" s="1"/>
      <c r="N48" s="1"/>
      <c r="O48" s="1"/>
    </row>
    <row r="49" spans="1:15" x14ac:dyDescent="0.25">
      <c r="A49" s="10"/>
      <c r="B49" s="8"/>
      <c r="C49" s="42"/>
      <c r="D49" s="8"/>
      <c r="E49" s="8"/>
      <c r="F49" s="8"/>
      <c r="G49" s="11"/>
      <c r="H49" s="8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BC06-0DCD-4E7D-BF25-E32EA4103039}">
  <sheetPr codeName="Planilha7">
    <tabColor rgb="FF92D050"/>
    <pageSetUpPr fitToPage="1"/>
  </sheetPr>
  <dimension ref="A1:AE130"/>
  <sheetViews>
    <sheetView showGridLines="0" view="pageBreakPreview" topLeftCell="B1" zoomScale="70" zoomScaleNormal="70" zoomScaleSheetLayoutView="70" workbookViewId="0">
      <selection activeCell="AE53" sqref="AE53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2.42578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6.42578125" style="3" bestFit="1" customWidth="1"/>
    <col min="19" max="22" width="9.140625" style="3"/>
    <col min="23" max="23" width="10.28515625" style="3" bestFit="1" customWidth="1"/>
    <col min="24" max="30" width="9.140625" style="3"/>
    <col min="31" max="31" width="14" style="3" bestFit="1" customWidth="1"/>
    <col min="32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332</v>
      </c>
      <c r="C3" s="26"/>
      <c r="D3" s="35" t="s">
        <v>333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31" s="2" customFormat="1" x14ac:dyDescent="0.25">
      <c r="C4" s="24"/>
      <c r="I4" s="20"/>
    </row>
    <row r="5" spans="1:31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  <c r="Y5" s="22">
        <v>45655</v>
      </c>
      <c r="Z5" s="22"/>
      <c r="AA5" s="165" t="s">
        <v>198</v>
      </c>
      <c r="AB5" s="165"/>
      <c r="AC5" s="165"/>
      <c r="AD5" s="165"/>
      <c r="AE5" s="23"/>
    </row>
    <row r="6" spans="1:31" ht="31.5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  <c r="Y6" s="118" t="s">
        <v>204</v>
      </c>
      <c r="Z6" s="118" t="s">
        <v>205</v>
      </c>
      <c r="AA6" s="118">
        <v>1</v>
      </c>
      <c r="AB6" s="118">
        <v>2</v>
      </c>
      <c r="AC6" s="118">
        <v>3</v>
      </c>
      <c r="AD6" s="118">
        <v>4</v>
      </c>
      <c r="AE6" s="119" t="s">
        <v>206</v>
      </c>
    </row>
    <row r="7" spans="1:31" ht="15" customHeight="1" x14ac:dyDescent="0.25">
      <c r="A7" s="7" t="s">
        <v>174</v>
      </c>
      <c r="B7" s="9" t="s">
        <v>334</v>
      </c>
      <c r="C7" s="9" t="s">
        <v>55</v>
      </c>
      <c r="D7" s="9" t="s">
        <v>208</v>
      </c>
      <c r="E7" s="9" t="s">
        <v>51</v>
      </c>
      <c r="F7" s="7" t="s">
        <v>209</v>
      </c>
      <c r="G7" s="7" t="s">
        <v>5</v>
      </c>
      <c r="H7" s="9" t="s">
        <v>210</v>
      </c>
      <c r="I7" s="46"/>
      <c r="J7" s="1"/>
      <c r="K7" s="1"/>
      <c r="L7" s="1"/>
      <c r="M7" s="1"/>
      <c r="N7" s="1"/>
      <c r="O7" s="1"/>
      <c r="Q7" s="46">
        <v>46148</v>
      </c>
      <c r="R7" s="1" t="s">
        <v>210</v>
      </c>
      <c r="S7" s="1"/>
      <c r="T7" s="1"/>
      <c r="U7" s="1"/>
      <c r="V7" s="1" t="s">
        <v>267</v>
      </c>
      <c r="W7" s="1" t="s">
        <v>268</v>
      </c>
      <c r="Y7" s="46">
        <v>46255</v>
      </c>
      <c r="Z7" s="1" t="s">
        <v>266</v>
      </c>
      <c r="AA7" s="1"/>
      <c r="AB7" s="1"/>
      <c r="AC7" s="1"/>
      <c r="AD7" s="155" t="b">
        <v>1</v>
      </c>
      <c r="AE7" s="1" t="s">
        <v>341</v>
      </c>
    </row>
    <row r="8" spans="1:31" ht="15" customHeight="1" x14ac:dyDescent="0.25">
      <c r="A8" s="14" t="s">
        <v>174</v>
      </c>
      <c r="B8" s="18" t="s">
        <v>335</v>
      </c>
      <c r="C8" s="18" t="s">
        <v>84</v>
      </c>
      <c r="D8" s="18" t="s">
        <v>208</v>
      </c>
      <c r="E8" s="18" t="s">
        <v>51</v>
      </c>
      <c r="F8" s="18" t="s">
        <v>209</v>
      </c>
      <c r="G8" s="14" t="s">
        <v>5</v>
      </c>
      <c r="H8" s="18" t="s">
        <v>210</v>
      </c>
      <c r="I8" s="129"/>
      <c r="J8" s="44"/>
      <c r="K8" s="44"/>
      <c r="L8" s="44"/>
      <c r="M8" s="44"/>
      <c r="N8" s="44"/>
      <c r="O8" s="44"/>
      <c r="Q8" s="129">
        <v>46148</v>
      </c>
      <c r="R8" s="44" t="s">
        <v>210</v>
      </c>
      <c r="S8" s="44"/>
      <c r="T8" s="44"/>
      <c r="U8" s="44"/>
      <c r="V8" s="44" t="s">
        <v>267</v>
      </c>
      <c r="W8" s="44" t="s">
        <v>268</v>
      </c>
      <c r="Y8" s="46">
        <v>46255</v>
      </c>
      <c r="Z8" s="1" t="s">
        <v>266</v>
      </c>
      <c r="AA8" s="1"/>
      <c r="AB8" s="44"/>
      <c r="AC8" s="44"/>
      <c r="AD8" s="156" t="b">
        <v>1</v>
      </c>
      <c r="AE8" s="44" t="s">
        <v>341</v>
      </c>
    </row>
    <row r="9" spans="1:31" ht="15" customHeight="1" x14ac:dyDescent="0.25">
      <c r="A9" s="7" t="s">
        <v>174</v>
      </c>
      <c r="B9" s="9" t="s">
        <v>336</v>
      </c>
      <c r="C9" s="9" t="s">
        <v>67</v>
      </c>
      <c r="D9" s="9" t="s">
        <v>208</v>
      </c>
      <c r="E9" s="9" t="s">
        <v>51</v>
      </c>
      <c r="F9" s="9" t="s">
        <v>209</v>
      </c>
      <c r="G9" s="7" t="s">
        <v>5</v>
      </c>
      <c r="H9" s="9" t="s">
        <v>210</v>
      </c>
      <c r="I9" s="46"/>
      <c r="J9" s="1"/>
      <c r="K9" s="1"/>
      <c r="L9" s="1"/>
      <c r="M9" s="1"/>
      <c r="N9" s="1"/>
      <c r="O9" s="1"/>
      <c r="Q9" s="46">
        <v>46148</v>
      </c>
      <c r="R9" s="1" t="s">
        <v>210</v>
      </c>
      <c r="S9" s="1"/>
      <c r="T9" s="1"/>
      <c r="U9" s="1"/>
      <c r="V9" s="1" t="s">
        <v>267</v>
      </c>
      <c r="W9" s="1" t="s">
        <v>268</v>
      </c>
      <c r="Y9" s="46"/>
      <c r="Z9" s="1" t="s">
        <v>493</v>
      </c>
      <c r="AA9" s="1"/>
      <c r="AB9" s="1"/>
      <c r="AC9" s="1"/>
      <c r="AD9" s="1"/>
      <c r="AE9" s="1"/>
    </row>
    <row r="10" spans="1:31" ht="15" customHeight="1" x14ac:dyDescent="0.25">
      <c r="A10" s="14" t="s">
        <v>174</v>
      </c>
      <c r="B10" s="18" t="s">
        <v>337</v>
      </c>
      <c r="C10" s="18" t="s">
        <v>71</v>
      </c>
      <c r="D10" s="18" t="s">
        <v>208</v>
      </c>
      <c r="E10" s="18" t="s">
        <v>51</v>
      </c>
      <c r="F10" s="18" t="s">
        <v>209</v>
      </c>
      <c r="G10" s="14" t="s">
        <v>5</v>
      </c>
      <c r="H10" s="18" t="s">
        <v>210</v>
      </c>
      <c r="I10" s="129"/>
      <c r="J10" s="44"/>
      <c r="K10" s="44"/>
      <c r="L10" s="44"/>
      <c r="M10" s="44"/>
      <c r="N10" s="44"/>
      <c r="O10" s="44"/>
      <c r="Q10" s="129">
        <v>46148</v>
      </c>
      <c r="R10" s="44" t="s">
        <v>210</v>
      </c>
      <c r="S10" s="44"/>
      <c r="T10" s="44"/>
      <c r="U10" s="44"/>
      <c r="V10" s="44" t="s">
        <v>267</v>
      </c>
      <c r="W10" s="44" t="s">
        <v>268</v>
      </c>
      <c r="Y10" s="46">
        <v>46255</v>
      </c>
      <c r="Z10" s="1" t="s">
        <v>266</v>
      </c>
      <c r="AA10" s="1"/>
      <c r="AB10" s="44"/>
      <c r="AC10" s="44"/>
      <c r="AD10" s="156" t="b">
        <v>1</v>
      </c>
      <c r="AE10" s="44" t="s">
        <v>341</v>
      </c>
    </row>
    <row r="11" spans="1:31" ht="15" customHeight="1" x14ac:dyDescent="0.25">
      <c r="A11" s="7" t="s">
        <v>174</v>
      </c>
      <c r="B11" s="9" t="s">
        <v>338</v>
      </c>
      <c r="C11" s="9" t="s">
        <v>59</v>
      </c>
      <c r="D11" s="9" t="s">
        <v>215</v>
      </c>
      <c r="E11" s="9" t="s">
        <v>48</v>
      </c>
      <c r="F11" s="9" t="s">
        <v>216</v>
      </c>
      <c r="G11" s="7" t="s">
        <v>6</v>
      </c>
      <c r="H11" s="9" t="s">
        <v>210</v>
      </c>
      <c r="I11" s="46"/>
      <c r="J11" s="1"/>
      <c r="K11" s="1"/>
      <c r="L11" s="1"/>
      <c r="M11" s="1"/>
      <c r="N11" s="1"/>
      <c r="O11" s="1"/>
      <c r="Q11" s="46">
        <v>46148</v>
      </c>
      <c r="R11" s="1" t="s">
        <v>210</v>
      </c>
      <c r="S11" s="1"/>
      <c r="T11" s="1"/>
      <c r="U11" s="1"/>
      <c r="V11" s="1" t="s">
        <v>267</v>
      </c>
      <c r="W11" s="1" t="s">
        <v>268</v>
      </c>
      <c r="Y11" s="46">
        <v>46255</v>
      </c>
      <c r="Z11" s="1" t="s">
        <v>266</v>
      </c>
      <c r="AA11" s="1"/>
      <c r="AB11" s="155" t="b">
        <v>1</v>
      </c>
      <c r="AC11" s="1"/>
      <c r="AD11" s="1"/>
      <c r="AE11" s="1" t="s">
        <v>341</v>
      </c>
    </row>
    <row r="12" spans="1:31" ht="15" customHeight="1" x14ac:dyDescent="0.25">
      <c r="A12" s="14" t="s">
        <v>174</v>
      </c>
      <c r="B12" s="18" t="s">
        <v>57</v>
      </c>
      <c r="C12" s="18" t="s">
        <v>47</v>
      </c>
      <c r="D12" s="18" t="s">
        <v>217</v>
      </c>
      <c r="E12" s="18" t="s">
        <v>48</v>
      </c>
      <c r="F12" s="18" t="s">
        <v>216</v>
      </c>
      <c r="G12" s="14" t="s">
        <v>5</v>
      </c>
      <c r="H12" s="18" t="s">
        <v>218</v>
      </c>
      <c r="I12" s="129"/>
      <c r="J12" s="44"/>
      <c r="K12" s="44"/>
      <c r="L12" s="44"/>
      <c r="M12" s="44"/>
      <c r="N12" s="44"/>
      <c r="O12" s="44"/>
      <c r="Q12" s="129">
        <v>46148</v>
      </c>
      <c r="R12" s="44" t="s">
        <v>339</v>
      </c>
      <c r="S12" s="44"/>
      <c r="T12" s="44"/>
      <c r="U12" s="44" t="s">
        <v>267</v>
      </c>
      <c r="V12" s="44"/>
      <c r="W12" s="44" t="s">
        <v>268</v>
      </c>
      <c r="Y12" s="46">
        <v>46255</v>
      </c>
      <c r="Z12" s="1" t="s">
        <v>273</v>
      </c>
      <c r="AA12" s="1"/>
      <c r="AB12" s="44"/>
      <c r="AC12" s="44"/>
      <c r="AD12" s="44"/>
      <c r="AE12" s="44" t="s">
        <v>341</v>
      </c>
    </row>
    <row r="13" spans="1:31" ht="15" customHeight="1" x14ac:dyDescent="0.25">
      <c r="A13" s="7" t="s">
        <v>174</v>
      </c>
      <c r="B13" s="9" t="s">
        <v>57</v>
      </c>
      <c r="C13" s="9" t="s">
        <v>56</v>
      </c>
      <c r="D13" s="9" t="s">
        <v>215</v>
      </c>
      <c r="E13" s="9" t="s">
        <v>54</v>
      </c>
      <c r="F13" s="9" t="s">
        <v>219</v>
      </c>
      <c r="G13" s="7" t="s">
        <v>6</v>
      </c>
      <c r="H13" s="9" t="s">
        <v>218</v>
      </c>
      <c r="I13" s="46"/>
      <c r="J13" s="1"/>
      <c r="K13" s="1"/>
      <c r="L13" s="1"/>
      <c r="M13" s="1"/>
      <c r="N13" s="1"/>
      <c r="O13" s="1"/>
      <c r="Q13" s="46">
        <v>46148</v>
      </c>
      <c r="R13" s="1" t="s">
        <v>339</v>
      </c>
      <c r="S13" s="1"/>
      <c r="T13" s="1"/>
      <c r="U13" s="1" t="s">
        <v>267</v>
      </c>
      <c r="V13" s="1"/>
      <c r="W13" s="1" t="s">
        <v>268</v>
      </c>
      <c r="Y13" s="46">
        <v>46255</v>
      </c>
      <c r="Z13" s="1" t="s">
        <v>273</v>
      </c>
      <c r="AA13" s="1"/>
      <c r="AB13" s="1"/>
      <c r="AC13" s="1"/>
      <c r="AD13" s="1"/>
      <c r="AE13" s="1" t="s">
        <v>341</v>
      </c>
    </row>
    <row r="14" spans="1:31" ht="15" customHeight="1" x14ac:dyDescent="0.25">
      <c r="A14" s="14" t="s">
        <v>174</v>
      </c>
      <c r="B14" s="18" t="s">
        <v>57</v>
      </c>
      <c r="C14" s="18" t="s">
        <v>53</v>
      </c>
      <c r="D14" s="18" t="s">
        <v>217</v>
      </c>
      <c r="E14" s="18" t="s">
        <v>54</v>
      </c>
      <c r="F14" s="18" t="s">
        <v>219</v>
      </c>
      <c r="G14" s="14" t="s">
        <v>6</v>
      </c>
      <c r="H14" s="18" t="s">
        <v>210</v>
      </c>
      <c r="I14" s="129"/>
      <c r="J14" s="44"/>
      <c r="K14" s="44"/>
      <c r="L14" s="44"/>
      <c r="M14" s="44"/>
      <c r="N14" s="44"/>
      <c r="O14" s="44"/>
      <c r="Q14" s="129">
        <v>46148</v>
      </c>
      <c r="R14" s="44" t="s">
        <v>210</v>
      </c>
      <c r="S14" s="44"/>
      <c r="T14" s="44"/>
      <c r="U14" s="44" t="s">
        <v>267</v>
      </c>
      <c r="V14" s="44"/>
      <c r="W14" s="44" t="s">
        <v>268</v>
      </c>
      <c r="Y14" s="46">
        <v>46255</v>
      </c>
      <c r="Z14" s="1" t="s">
        <v>266</v>
      </c>
      <c r="AA14" s="1"/>
      <c r="AB14" s="156" t="b">
        <v>1</v>
      </c>
      <c r="AC14" s="44"/>
      <c r="AD14" s="44"/>
      <c r="AE14" s="44" t="s">
        <v>341</v>
      </c>
    </row>
    <row r="15" spans="1:31" ht="15" customHeight="1" x14ac:dyDescent="0.25">
      <c r="A15" s="7" t="s">
        <v>174</v>
      </c>
      <c r="B15" s="9" t="s">
        <v>57</v>
      </c>
      <c r="C15" s="9" t="s">
        <v>58</v>
      </c>
      <c r="D15" s="9" t="s">
        <v>215</v>
      </c>
      <c r="E15" s="9" t="s">
        <v>54</v>
      </c>
      <c r="F15" s="9" t="s">
        <v>219</v>
      </c>
      <c r="G15" s="7" t="s">
        <v>6</v>
      </c>
      <c r="H15" s="9" t="s">
        <v>218</v>
      </c>
      <c r="I15" s="46"/>
      <c r="J15" s="1"/>
      <c r="K15" s="1"/>
      <c r="L15" s="1"/>
      <c r="M15" s="1"/>
      <c r="N15" s="1"/>
      <c r="O15" s="1"/>
      <c r="Q15" s="46">
        <v>46148</v>
      </c>
      <c r="R15" s="1" t="s">
        <v>339</v>
      </c>
      <c r="S15" s="1"/>
      <c r="T15" s="1"/>
      <c r="U15" s="1" t="s">
        <v>267</v>
      </c>
      <c r="V15" s="1"/>
      <c r="W15" s="1" t="s">
        <v>268</v>
      </c>
      <c r="Y15" s="46">
        <v>46255</v>
      </c>
      <c r="Z15" s="1" t="s">
        <v>273</v>
      </c>
      <c r="AA15" s="1"/>
      <c r="AB15" s="1"/>
      <c r="AC15" s="1"/>
      <c r="AD15" s="155" t="b">
        <v>1</v>
      </c>
      <c r="AE15" s="1" t="s">
        <v>341</v>
      </c>
    </row>
    <row r="16" spans="1:31" ht="15" customHeight="1" x14ac:dyDescent="0.25">
      <c r="A16" s="14" t="s">
        <v>174</v>
      </c>
      <c r="B16" s="18" t="s">
        <v>340</v>
      </c>
      <c r="C16" s="18" t="s">
        <v>175</v>
      </c>
      <c r="D16" s="18" t="s">
        <v>221</v>
      </c>
      <c r="E16" s="18" t="s">
        <v>76</v>
      </c>
      <c r="F16" s="18" t="s">
        <v>222</v>
      </c>
      <c r="G16" s="14" t="s">
        <v>5</v>
      </c>
      <c r="H16" s="18" t="s">
        <v>210</v>
      </c>
      <c r="I16" s="129"/>
      <c r="J16" s="44"/>
      <c r="K16" s="44"/>
      <c r="L16" s="44"/>
      <c r="M16" s="44"/>
      <c r="N16" s="44"/>
      <c r="O16" s="44"/>
      <c r="Q16" s="129">
        <v>46147</v>
      </c>
      <c r="R16" s="44" t="s">
        <v>210</v>
      </c>
      <c r="S16" s="44"/>
      <c r="T16" s="44"/>
      <c r="U16" s="44" t="s">
        <v>267</v>
      </c>
      <c r="V16" s="44"/>
      <c r="W16" s="44" t="s">
        <v>341</v>
      </c>
      <c r="Y16" s="46">
        <v>46255</v>
      </c>
      <c r="Z16" s="1" t="s">
        <v>266</v>
      </c>
      <c r="AA16" s="1"/>
      <c r="AB16" s="44"/>
      <c r="AC16" s="44"/>
      <c r="AD16" s="156" t="b">
        <v>1</v>
      </c>
      <c r="AE16" s="44" t="s">
        <v>341</v>
      </c>
    </row>
    <row r="17" spans="1:31" ht="15" customHeight="1" x14ac:dyDescent="0.25">
      <c r="A17" s="7" t="s">
        <v>174</v>
      </c>
      <c r="B17" s="9" t="s">
        <v>342</v>
      </c>
      <c r="C17" s="9" t="s">
        <v>72</v>
      </c>
      <c r="D17" s="9" t="s">
        <v>221</v>
      </c>
      <c r="E17" s="9" t="s">
        <v>76</v>
      </c>
      <c r="F17" s="9" t="s">
        <v>222</v>
      </c>
      <c r="G17" s="7" t="s">
        <v>5</v>
      </c>
      <c r="H17" s="9" t="s">
        <v>210</v>
      </c>
      <c r="I17" s="46"/>
      <c r="J17" s="1"/>
      <c r="K17" s="1"/>
      <c r="L17" s="1"/>
      <c r="M17" s="1"/>
      <c r="N17" s="1"/>
      <c r="O17" s="1"/>
      <c r="Q17" s="46">
        <v>46148</v>
      </c>
      <c r="R17" s="1" t="s">
        <v>210</v>
      </c>
      <c r="S17" s="1"/>
      <c r="T17" s="1"/>
      <c r="U17" s="1"/>
      <c r="V17" s="1" t="s">
        <v>267</v>
      </c>
      <c r="W17" s="1" t="s">
        <v>268</v>
      </c>
      <c r="Y17" s="46">
        <v>46255</v>
      </c>
      <c r="Z17" s="1" t="s">
        <v>266</v>
      </c>
      <c r="AA17" s="1"/>
      <c r="AB17" s="1"/>
      <c r="AC17" s="1"/>
      <c r="AD17" s="155" t="b">
        <v>1</v>
      </c>
      <c r="AE17" s="1" t="s">
        <v>341</v>
      </c>
    </row>
    <row r="18" spans="1:31" ht="15" customHeight="1" x14ac:dyDescent="0.25">
      <c r="A18" s="14" t="s">
        <v>68</v>
      </c>
      <c r="B18" s="18" t="s">
        <v>343</v>
      </c>
      <c r="C18" s="18" t="s">
        <v>125</v>
      </c>
      <c r="D18" s="18" t="s">
        <v>225</v>
      </c>
      <c r="E18" s="18" t="s">
        <v>51</v>
      </c>
      <c r="F18" s="18" t="s">
        <v>209</v>
      </c>
      <c r="G18" s="14" t="s">
        <v>5</v>
      </c>
      <c r="H18" s="18" t="s">
        <v>218</v>
      </c>
      <c r="I18" s="129"/>
      <c r="J18" s="44"/>
      <c r="K18" s="44"/>
      <c r="L18" s="44"/>
      <c r="M18" s="44"/>
      <c r="N18" s="44"/>
      <c r="O18" s="44"/>
      <c r="Q18" s="129">
        <v>46147</v>
      </c>
      <c r="R18" s="44" t="s">
        <v>218</v>
      </c>
      <c r="S18" s="44"/>
      <c r="T18" s="44"/>
      <c r="U18" s="44"/>
      <c r="V18" s="44" t="s">
        <v>267</v>
      </c>
      <c r="W18" s="44" t="s">
        <v>341</v>
      </c>
      <c r="Y18" s="46">
        <v>46255</v>
      </c>
      <c r="Z18" s="1" t="s">
        <v>273</v>
      </c>
      <c r="AA18" s="1"/>
      <c r="AB18" s="44"/>
      <c r="AC18" s="156" t="b">
        <v>1</v>
      </c>
      <c r="AD18" s="44"/>
      <c r="AE18" s="44" t="s">
        <v>1071</v>
      </c>
    </row>
    <row r="19" spans="1:31" ht="15" customHeight="1" x14ac:dyDescent="0.25">
      <c r="A19" s="7" t="s">
        <v>68</v>
      </c>
      <c r="B19" s="9" t="s">
        <v>344</v>
      </c>
      <c r="C19" s="9" t="s">
        <v>158</v>
      </c>
      <c r="D19" s="9" t="s">
        <v>208</v>
      </c>
      <c r="E19" s="9" t="s">
        <v>51</v>
      </c>
      <c r="F19" s="9" t="s">
        <v>209</v>
      </c>
      <c r="G19" s="7" t="s">
        <v>5</v>
      </c>
      <c r="H19" s="9" t="s">
        <v>210</v>
      </c>
      <c r="I19" s="46"/>
      <c r="J19" s="1"/>
      <c r="K19" s="1"/>
      <c r="L19" s="1"/>
      <c r="M19" s="1"/>
      <c r="N19" s="1"/>
      <c r="O19" s="1"/>
      <c r="Q19" s="46">
        <v>46147</v>
      </c>
      <c r="R19" s="1" t="s">
        <v>210</v>
      </c>
      <c r="S19" s="1"/>
      <c r="T19" s="1"/>
      <c r="U19" s="1"/>
      <c r="V19" s="1" t="s">
        <v>267</v>
      </c>
      <c r="W19" s="1" t="s">
        <v>341</v>
      </c>
      <c r="Y19" s="46">
        <v>46255</v>
      </c>
      <c r="Z19" s="1" t="s">
        <v>266</v>
      </c>
      <c r="AA19" s="1"/>
      <c r="AB19" s="1"/>
      <c r="AC19" s="155" t="b">
        <v>1</v>
      </c>
      <c r="AD19" s="1"/>
      <c r="AE19" s="1" t="s">
        <v>1072</v>
      </c>
    </row>
    <row r="20" spans="1:31" ht="15" customHeight="1" x14ac:dyDescent="0.25">
      <c r="A20" s="14" t="s">
        <v>68</v>
      </c>
      <c r="B20" s="18" t="s">
        <v>345</v>
      </c>
      <c r="C20" s="18" t="s">
        <v>106</v>
      </c>
      <c r="D20" s="18" t="s">
        <v>225</v>
      </c>
      <c r="E20" s="18" t="s">
        <v>51</v>
      </c>
      <c r="F20" s="18" t="s">
        <v>209</v>
      </c>
      <c r="G20" s="14" t="s">
        <v>5</v>
      </c>
      <c r="H20" s="18" t="s">
        <v>218</v>
      </c>
      <c r="I20" s="129"/>
      <c r="J20" s="44"/>
      <c r="K20" s="44"/>
      <c r="L20" s="44"/>
      <c r="M20" s="44"/>
      <c r="N20" s="44"/>
      <c r="O20" s="44"/>
      <c r="Q20" s="129">
        <v>46147</v>
      </c>
      <c r="R20" s="44" t="s">
        <v>218</v>
      </c>
      <c r="S20" s="44"/>
      <c r="T20" s="44"/>
      <c r="U20" s="44"/>
      <c r="V20" s="44" t="s">
        <v>267</v>
      </c>
      <c r="W20" s="44" t="s">
        <v>341</v>
      </c>
      <c r="Y20" s="46">
        <v>46255</v>
      </c>
      <c r="Z20" s="1" t="s">
        <v>273</v>
      </c>
      <c r="AA20" s="1"/>
      <c r="AB20" s="44"/>
      <c r="AC20" s="156" t="b">
        <v>1</v>
      </c>
      <c r="AD20" s="44"/>
      <c r="AE20" s="44" t="s">
        <v>529</v>
      </c>
    </row>
    <row r="21" spans="1:31" ht="15" customHeight="1" x14ac:dyDescent="0.25">
      <c r="A21" s="7" t="s">
        <v>68</v>
      </c>
      <c r="B21" s="9" t="s">
        <v>346</v>
      </c>
      <c r="C21" s="9" t="s">
        <v>115</v>
      </c>
      <c r="D21" s="9" t="s">
        <v>229</v>
      </c>
      <c r="E21" s="9" t="s">
        <v>80</v>
      </c>
      <c r="F21" s="9" t="s">
        <v>230</v>
      </c>
      <c r="G21" s="7" t="s">
        <v>5</v>
      </c>
      <c r="H21" s="9" t="s">
        <v>218</v>
      </c>
      <c r="I21" s="46"/>
      <c r="J21" s="1"/>
      <c r="K21" s="1"/>
      <c r="L21" s="1"/>
      <c r="M21" s="1"/>
      <c r="N21" s="1"/>
      <c r="O21" s="1"/>
      <c r="Q21" s="46">
        <v>46147</v>
      </c>
      <c r="R21" s="1" t="s">
        <v>218</v>
      </c>
      <c r="S21" s="1"/>
      <c r="T21" s="1"/>
      <c r="U21" s="1"/>
      <c r="V21" s="1" t="s">
        <v>267</v>
      </c>
      <c r="W21" s="1" t="s">
        <v>341</v>
      </c>
      <c r="Y21" s="46">
        <v>46255</v>
      </c>
      <c r="Z21" s="1" t="s">
        <v>273</v>
      </c>
      <c r="AA21" s="1"/>
      <c r="AB21" s="1"/>
      <c r="AC21" s="155" t="b">
        <v>1</v>
      </c>
      <c r="AD21" s="1"/>
      <c r="AE21" s="44" t="s">
        <v>529</v>
      </c>
    </row>
    <row r="22" spans="1:31" ht="15" customHeight="1" x14ac:dyDescent="0.25">
      <c r="A22" s="14" t="s">
        <v>68</v>
      </c>
      <c r="B22" s="18" t="s">
        <v>347</v>
      </c>
      <c r="C22" s="18" t="s">
        <v>147</v>
      </c>
      <c r="D22" s="18" t="s">
        <v>229</v>
      </c>
      <c r="E22" s="18" t="s">
        <v>80</v>
      </c>
      <c r="F22" s="18" t="s">
        <v>230</v>
      </c>
      <c r="G22" s="14" t="s">
        <v>5</v>
      </c>
      <c r="H22" s="18" t="s">
        <v>210</v>
      </c>
      <c r="I22" s="129"/>
      <c r="J22" s="44"/>
      <c r="K22" s="44"/>
      <c r="L22" s="44"/>
      <c r="M22" s="44"/>
      <c r="N22" s="44"/>
      <c r="O22" s="44"/>
      <c r="Q22" s="129">
        <v>46147</v>
      </c>
      <c r="R22" s="44" t="s">
        <v>210</v>
      </c>
      <c r="S22" s="44"/>
      <c r="T22" s="44"/>
      <c r="U22" s="44" t="s">
        <v>267</v>
      </c>
      <c r="V22" s="44"/>
      <c r="W22" s="44" t="s">
        <v>341</v>
      </c>
      <c r="Y22" s="46">
        <v>46255</v>
      </c>
      <c r="Z22" s="1" t="s">
        <v>266</v>
      </c>
      <c r="AA22" s="1"/>
      <c r="AB22" s="44"/>
      <c r="AC22" s="156" t="b">
        <v>1</v>
      </c>
      <c r="AD22" s="44"/>
      <c r="AE22" s="44" t="s">
        <v>529</v>
      </c>
    </row>
    <row r="23" spans="1:31" ht="15" customHeight="1" x14ac:dyDescent="0.25">
      <c r="A23" s="7" t="s">
        <v>68</v>
      </c>
      <c r="B23" s="9" t="s">
        <v>348</v>
      </c>
      <c r="C23" s="9" t="s">
        <v>103</v>
      </c>
      <c r="D23" s="9" t="s">
        <v>229</v>
      </c>
      <c r="E23" s="9" t="s">
        <v>80</v>
      </c>
      <c r="F23" s="9" t="s">
        <v>230</v>
      </c>
      <c r="G23" s="7" t="s">
        <v>5</v>
      </c>
      <c r="H23" s="9" t="s">
        <v>218</v>
      </c>
      <c r="I23" s="46"/>
      <c r="J23" s="1"/>
      <c r="K23" s="1"/>
      <c r="L23" s="1"/>
      <c r="M23" s="1"/>
      <c r="N23" s="1"/>
      <c r="O23" s="1"/>
      <c r="Q23" s="46">
        <v>46147</v>
      </c>
      <c r="R23" s="1" t="s">
        <v>218</v>
      </c>
      <c r="S23" s="1"/>
      <c r="T23" s="1"/>
      <c r="U23" s="1"/>
      <c r="V23" s="1" t="s">
        <v>267</v>
      </c>
      <c r="W23" s="1" t="s">
        <v>341</v>
      </c>
      <c r="Y23" s="46">
        <v>46255</v>
      </c>
      <c r="Z23" s="1" t="s">
        <v>273</v>
      </c>
      <c r="AA23" s="1"/>
      <c r="AB23" s="1"/>
      <c r="AC23" s="155" t="b">
        <v>1</v>
      </c>
      <c r="AD23" s="1"/>
      <c r="AE23" s="44" t="s">
        <v>529</v>
      </c>
    </row>
    <row r="24" spans="1:31" ht="15" customHeight="1" x14ac:dyDescent="0.25">
      <c r="A24" s="14" t="s">
        <v>68</v>
      </c>
      <c r="B24" s="18" t="s">
        <v>349</v>
      </c>
      <c r="C24" s="18" t="s">
        <v>119</v>
      </c>
      <c r="D24" s="18" t="s">
        <v>208</v>
      </c>
      <c r="E24" s="18" t="s">
        <v>51</v>
      </c>
      <c r="F24" s="18" t="s">
        <v>209</v>
      </c>
      <c r="G24" s="14" t="s">
        <v>5</v>
      </c>
      <c r="H24" s="18" t="s">
        <v>218</v>
      </c>
      <c r="I24" s="129"/>
      <c r="J24" s="44"/>
      <c r="K24" s="44"/>
      <c r="L24" s="44"/>
      <c r="M24" s="44"/>
      <c r="N24" s="44"/>
      <c r="O24" s="44"/>
      <c r="Q24" s="129">
        <v>46147</v>
      </c>
      <c r="R24" s="44" t="s">
        <v>210</v>
      </c>
      <c r="S24" s="44"/>
      <c r="T24" s="44"/>
      <c r="U24" s="44"/>
      <c r="V24" s="44" t="s">
        <v>267</v>
      </c>
      <c r="W24" s="44" t="s">
        <v>341</v>
      </c>
      <c r="Y24" s="46"/>
      <c r="Z24" s="1"/>
      <c r="AA24" s="1"/>
      <c r="AB24" s="44"/>
      <c r="AC24" s="44"/>
      <c r="AD24" s="44"/>
      <c r="AE24" s="44"/>
    </row>
    <row r="25" spans="1:31" ht="15" customHeight="1" x14ac:dyDescent="0.25">
      <c r="A25" s="7" t="s">
        <v>68</v>
      </c>
      <c r="B25" s="9" t="s">
        <v>350</v>
      </c>
      <c r="C25" s="9" t="s">
        <v>150</v>
      </c>
      <c r="D25" s="9" t="s">
        <v>208</v>
      </c>
      <c r="E25" s="9" t="s">
        <v>51</v>
      </c>
      <c r="F25" s="9" t="s">
        <v>209</v>
      </c>
      <c r="G25" s="7" t="s">
        <v>5</v>
      </c>
      <c r="H25" s="9" t="s">
        <v>210</v>
      </c>
      <c r="I25" s="46"/>
      <c r="J25" s="1"/>
      <c r="K25" s="1"/>
      <c r="L25" s="1"/>
      <c r="M25" s="1"/>
      <c r="N25" s="1"/>
      <c r="O25" s="1"/>
      <c r="Q25" s="46">
        <v>46147</v>
      </c>
      <c r="R25" s="1" t="s">
        <v>210</v>
      </c>
      <c r="S25" s="1"/>
      <c r="T25" s="1"/>
      <c r="U25" s="1"/>
      <c r="V25" s="1" t="s">
        <v>267</v>
      </c>
      <c r="W25" s="1" t="s">
        <v>341</v>
      </c>
      <c r="Y25" s="46"/>
      <c r="Z25" s="1"/>
      <c r="AA25" s="1"/>
      <c r="AB25" s="1"/>
      <c r="AC25" s="1"/>
      <c r="AD25" s="1"/>
      <c r="AE25" s="1"/>
    </row>
    <row r="26" spans="1:31" ht="15" customHeight="1" x14ac:dyDescent="0.25">
      <c r="A26" s="14" t="s">
        <v>68</v>
      </c>
      <c r="B26" s="18" t="s">
        <v>351</v>
      </c>
      <c r="C26" s="18" t="s">
        <v>85</v>
      </c>
      <c r="D26" s="18" t="s">
        <v>208</v>
      </c>
      <c r="E26" s="18" t="s">
        <v>51</v>
      </c>
      <c r="F26" s="18" t="s">
        <v>209</v>
      </c>
      <c r="G26" s="14" t="s">
        <v>5</v>
      </c>
      <c r="H26" s="18" t="s">
        <v>218</v>
      </c>
      <c r="I26" s="129"/>
      <c r="J26" s="44"/>
      <c r="K26" s="44"/>
      <c r="L26" s="44"/>
      <c r="M26" s="44"/>
      <c r="N26" s="44"/>
      <c r="O26" s="44"/>
      <c r="Q26" s="129">
        <v>46147</v>
      </c>
      <c r="R26" s="44" t="s">
        <v>210</v>
      </c>
      <c r="S26" s="44"/>
      <c r="T26" s="44"/>
      <c r="U26" s="44"/>
      <c r="V26" s="44" t="s">
        <v>267</v>
      </c>
      <c r="W26" s="44" t="s">
        <v>341</v>
      </c>
      <c r="Y26" s="46"/>
      <c r="Z26" s="1"/>
      <c r="AA26" s="1"/>
      <c r="AB26" s="44"/>
      <c r="AC26" s="44"/>
      <c r="AD26" s="44"/>
      <c r="AE26" s="44"/>
    </row>
    <row r="27" spans="1:31" ht="15" customHeight="1" x14ac:dyDescent="0.25">
      <c r="A27" s="7" t="s">
        <v>68</v>
      </c>
      <c r="B27" s="9" t="s">
        <v>352</v>
      </c>
      <c r="C27" s="9" t="s">
        <v>122</v>
      </c>
      <c r="D27" s="9" t="s">
        <v>208</v>
      </c>
      <c r="E27" s="9" t="s">
        <v>51</v>
      </c>
      <c r="F27" s="9" t="s">
        <v>209</v>
      </c>
      <c r="G27" s="7" t="s">
        <v>5</v>
      </c>
      <c r="H27" s="9" t="s">
        <v>218</v>
      </c>
      <c r="I27" s="46"/>
      <c r="J27" s="1"/>
      <c r="K27" s="1"/>
      <c r="L27" s="1"/>
      <c r="M27" s="1"/>
      <c r="N27" s="1"/>
      <c r="O27" s="1"/>
      <c r="Q27" s="46">
        <v>46147</v>
      </c>
      <c r="R27" s="1" t="s">
        <v>218</v>
      </c>
      <c r="S27" s="1"/>
      <c r="T27" s="1"/>
      <c r="U27" s="1"/>
      <c r="V27" s="1" t="s">
        <v>267</v>
      </c>
      <c r="W27" s="1" t="s">
        <v>341</v>
      </c>
      <c r="Y27" s="46"/>
      <c r="Z27" s="1"/>
      <c r="AA27" s="1"/>
      <c r="AB27" s="1"/>
      <c r="AC27" s="1"/>
      <c r="AD27" s="1"/>
      <c r="AE27" s="1"/>
    </row>
    <row r="28" spans="1:31" ht="15" customHeight="1" x14ac:dyDescent="0.25">
      <c r="A28" s="14" t="s">
        <v>68</v>
      </c>
      <c r="B28" s="18" t="s">
        <v>353</v>
      </c>
      <c r="C28" s="18" t="s">
        <v>155</v>
      </c>
      <c r="D28" s="18" t="s">
        <v>208</v>
      </c>
      <c r="E28" s="18" t="s">
        <v>51</v>
      </c>
      <c r="F28" s="18" t="s">
        <v>209</v>
      </c>
      <c r="G28" s="14" t="s">
        <v>5</v>
      </c>
      <c r="H28" s="18" t="s">
        <v>210</v>
      </c>
      <c r="I28" s="129"/>
      <c r="J28" s="44"/>
      <c r="K28" s="44"/>
      <c r="L28" s="44"/>
      <c r="M28" s="44"/>
      <c r="N28" s="44"/>
      <c r="O28" s="44"/>
      <c r="Q28" s="129">
        <v>46147</v>
      </c>
      <c r="R28" s="44" t="s">
        <v>210</v>
      </c>
      <c r="S28" s="44"/>
      <c r="T28" s="44"/>
      <c r="U28" s="44"/>
      <c r="V28" s="44" t="s">
        <v>267</v>
      </c>
      <c r="W28" s="44" t="s">
        <v>341</v>
      </c>
      <c r="Y28" s="46"/>
      <c r="Z28" s="1"/>
      <c r="AA28" s="1"/>
      <c r="AB28" s="44"/>
      <c r="AC28" s="44"/>
      <c r="AD28" s="44"/>
      <c r="AE28" s="44"/>
    </row>
    <row r="29" spans="1:31" ht="15" customHeight="1" x14ac:dyDescent="0.25">
      <c r="A29" s="7" t="s">
        <v>68</v>
      </c>
      <c r="B29" s="9" t="s">
        <v>354</v>
      </c>
      <c r="C29" s="9" t="s">
        <v>90</v>
      </c>
      <c r="D29" s="9" t="s">
        <v>208</v>
      </c>
      <c r="E29" s="9" t="s">
        <v>51</v>
      </c>
      <c r="F29" s="9" t="s">
        <v>209</v>
      </c>
      <c r="G29" s="7" t="s">
        <v>5</v>
      </c>
      <c r="H29" s="9" t="s">
        <v>218</v>
      </c>
      <c r="I29" s="46"/>
      <c r="J29" s="1"/>
      <c r="K29" s="1"/>
      <c r="L29" s="1"/>
      <c r="M29" s="1"/>
      <c r="N29" s="1"/>
      <c r="O29" s="1"/>
      <c r="Q29" s="46">
        <v>46147</v>
      </c>
      <c r="R29" s="1" t="s">
        <v>218</v>
      </c>
      <c r="S29" s="1"/>
      <c r="T29" s="1"/>
      <c r="U29" s="1"/>
      <c r="V29" s="1" t="s">
        <v>267</v>
      </c>
      <c r="W29" s="1" t="s">
        <v>341</v>
      </c>
      <c r="Y29" s="46"/>
      <c r="Z29" s="1"/>
      <c r="AA29" s="1"/>
      <c r="AB29" s="1"/>
      <c r="AC29" s="1"/>
      <c r="AD29" s="1"/>
      <c r="AE29" s="1"/>
    </row>
    <row r="30" spans="1:31" ht="15" customHeight="1" x14ac:dyDescent="0.25">
      <c r="A30" s="14" t="s">
        <v>68</v>
      </c>
      <c r="B30" s="18" t="s">
        <v>355</v>
      </c>
      <c r="C30" s="18" t="s">
        <v>128</v>
      </c>
      <c r="D30" s="18" t="s">
        <v>240</v>
      </c>
      <c r="E30" s="18" t="s">
        <v>86</v>
      </c>
      <c r="F30" s="18" t="s">
        <v>241</v>
      </c>
      <c r="G30" s="14" t="s">
        <v>5</v>
      </c>
      <c r="H30" s="18" t="s">
        <v>218</v>
      </c>
      <c r="I30" s="129"/>
      <c r="J30" s="44"/>
      <c r="K30" s="44"/>
      <c r="L30" s="44"/>
      <c r="M30" s="44"/>
      <c r="N30" s="44"/>
      <c r="O30" s="44"/>
      <c r="Q30" s="129">
        <v>46147</v>
      </c>
      <c r="R30" s="44" t="s">
        <v>218</v>
      </c>
      <c r="S30" s="44"/>
      <c r="T30" s="44"/>
      <c r="U30" s="44"/>
      <c r="V30" s="44" t="s">
        <v>267</v>
      </c>
      <c r="W30" s="44" t="s">
        <v>341</v>
      </c>
      <c r="Y30" s="46">
        <v>46255</v>
      </c>
      <c r="Z30" s="44" t="s">
        <v>1070</v>
      </c>
      <c r="AA30" s="44"/>
      <c r="AB30" s="44"/>
      <c r="AC30" s="156" t="b">
        <v>1</v>
      </c>
      <c r="AD30" s="44"/>
      <c r="AE30" s="44" t="s">
        <v>529</v>
      </c>
    </row>
    <row r="31" spans="1:31" ht="15" customHeight="1" x14ac:dyDescent="0.25">
      <c r="A31" s="7" t="s">
        <v>68</v>
      </c>
      <c r="B31" s="9" t="s">
        <v>356</v>
      </c>
      <c r="C31" s="9" t="s">
        <v>152</v>
      </c>
      <c r="D31" s="9" t="s">
        <v>240</v>
      </c>
      <c r="E31" s="9" t="s">
        <v>86</v>
      </c>
      <c r="F31" s="9" t="s">
        <v>241</v>
      </c>
      <c r="G31" s="7" t="s">
        <v>5</v>
      </c>
      <c r="H31" s="9" t="s">
        <v>210</v>
      </c>
      <c r="I31" s="46"/>
      <c r="J31" s="1"/>
      <c r="K31" s="1"/>
      <c r="L31" s="1"/>
      <c r="M31" s="1"/>
      <c r="N31" s="1"/>
      <c r="O31" s="1"/>
      <c r="Q31" s="46">
        <v>46147</v>
      </c>
      <c r="R31" s="1" t="s">
        <v>210</v>
      </c>
      <c r="S31" s="1"/>
      <c r="T31" s="1"/>
      <c r="U31" s="1"/>
      <c r="V31" s="1" t="s">
        <v>267</v>
      </c>
      <c r="W31" s="1" t="s">
        <v>341</v>
      </c>
      <c r="Y31" s="46">
        <v>46255</v>
      </c>
      <c r="Z31" s="1" t="s">
        <v>266</v>
      </c>
      <c r="AA31" s="1"/>
      <c r="AB31" s="1"/>
      <c r="AC31" s="155" t="b">
        <v>1</v>
      </c>
      <c r="AD31" s="1"/>
      <c r="AE31" s="44" t="s">
        <v>529</v>
      </c>
    </row>
    <row r="32" spans="1:31" ht="15" customHeight="1" x14ac:dyDescent="0.25">
      <c r="A32" s="14" t="s">
        <v>68</v>
      </c>
      <c r="B32" s="18" t="s">
        <v>357</v>
      </c>
      <c r="C32" s="18" t="s">
        <v>96</v>
      </c>
      <c r="D32" s="18" t="s">
        <v>240</v>
      </c>
      <c r="E32" s="18" t="s">
        <v>86</v>
      </c>
      <c r="F32" s="18" t="s">
        <v>241</v>
      </c>
      <c r="G32" s="14" t="s">
        <v>5</v>
      </c>
      <c r="H32" s="18" t="s">
        <v>218</v>
      </c>
      <c r="I32" s="129"/>
      <c r="J32" s="44"/>
      <c r="K32" s="44"/>
      <c r="L32" s="44"/>
      <c r="M32" s="44"/>
      <c r="N32" s="44"/>
      <c r="O32" s="44"/>
      <c r="Q32" s="129">
        <v>46147</v>
      </c>
      <c r="R32" s="44" t="s">
        <v>218</v>
      </c>
      <c r="S32" s="44"/>
      <c r="T32" s="44"/>
      <c r="U32" s="44"/>
      <c r="V32" s="44" t="s">
        <v>267</v>
      </c>
      <c r="W32" s="44" t="s">
        <v>341</v>
      </c>
      <c r="Y32" s="46">
        <v>46255</v>
      </c>
      <c r="Z32" s="44" t="s">
        <v>273</v>
      </c>
      <c r="AA32" s="44"/>
      <c r="AB32" s="44"/>
      <c r="AC32" s="156" t="b">
        <v>1</v>
      </c>
      <c r="AD32" s="44"/>
      <c r="AE32" s="44" t="s">
        <v>529</v>
      </c>
    </row>
    <row r="33" spans="1:31" ht="15" customHeight="1" x14ac:dyDescent="0.25">
      <c r="A33" s="7" t="s">
        <v>68</v>
      </c>
      <c r="B33" s="9" t="s">
        <v>358</v>
      </c>
      <c r="C33" s="9" t="s">
        <v>93</v>
      </c>
      <c r="D33" s="9" t="s">
        <v>208</v>
      </c>
      <c r="E33" s="9" t="s">
        <v>51</v>
      </c>
      <c r="F33" s="9" t="s">
        <v>209</v>
      </c>
      <c r="G33" s="7" t="s">
        <v>5</v>
      </c>
      <c r="H33" s="9" t="s">
        <v>210</v>
      </c>
      <c r="I33" s="46"/>
      <c r="J33" s="1"/>
      <c r="K33" s="1"/>
      <c r="L33" s="1"/>
      <c r="M33" s="1"/>
      <c r="N33" s="1"/>
      <c r="O33" s="1"/>
      <c r="Q33" s="46">
        <v>46147</v>
      </c>
      <c r="R33" s="1" t="s">
        <v>210</v>
      </c>
      <c r="S33" s="1"/>
      <c r="T33" s="1"/>
      <c r="U33" s="1"/>
      <c r="V33" s="1" t="s">
        <v>267</v>
      </c>
      <c r="W33" s="1" t="s">
        <v>341</v>
      </c>
      <c r="Y33" s="46">
        <v>46255</v>
      </c>
      <c r="Z33" s="1" t="s">
        <v>266</v>
      </c>
      <c r="AA33" s="1"/>
      <c r="AB33" s="1"/>
      <c r="AC33" s="155" t="b">
        <v>1</v>
      </c>
      <c r="AD33" s="1"/>
      <c r="AE33" s="44" t="s">
        <v>529</v>
      </c>
    </row>
    <row r="34" spans="1:31" ht="15" customHeight="1" x14ac:dyDescent="0.25">
      <c r="A34" s="14" t="s">
        <v>68</v>
      </c>
      <c r="B34" s="18" t="s">
        <v>359</v>
      </c>
      <c r="C34" s="18" t="s">
        <v>161</v>
      </c>
      <c r="D34" s="18" t="s">
        <v>208</v>
      </c>
      <c r="E34" s="18" t="s">
        <v>51</v>
      </c>
      <c r="F34" s="18" t="s">
        <v>209</v>
      </c>
      <c r="G34" s="14" t="s">
        <v>5</v>
      </c>
      <c r="H34" s="18" t="s">
        <v>210</v>
      </c>
      <c r="I34" s="129"/>
      <c r="J34" s="44"/>
      <c r="K34" s="44"/>
      <c r="L34" s="44"/>
      <c r="M34" s="44"/>
      <c r="N34" s="44"/>
      <c r="O34" s="44"/>
      <c r="Q34" s="129">
        <v>46147</v>
      </c>
      <c r="R34" s="44" t="s">
        <v>210</v>
      </c>
      <c r="S34" s="44"/>
      <c r="T34" s="44"/>
      <c r="U34" s="44"/>
      <c r="V34" s="44" t="s">
        <v>267</v>
      </c>
      <c r="W34" s="44" t="s">
        <v>341</v>
      </c>
      <c r="Y34" s="46">
        <v>46255</v>
      </c>
      <c r="Z34" s="44" t="s">
        <v>266</v>
      </c>
      <c r="AA34" s="44"/>
      <c r="AB34" s="44"/>
      <c r="AC34" s="156" t="b">
        <v>1</v>
      </c>
      <c r="AD34" s="44"/>
      <c r="AE34" s="44" t="s">
        <v>529</v>
      </c>
    </row>
    <row r="35" spans="1:31" ht="15" customHeight="1" x14ac:dyDescent="0.25">
      <c r="A35" s="7" t="s">
        <v>68</v>
      </c>
      <c r="B35" s="9" t="s">
        <v>360</v>
      </c>
      <c r="C35" s="9" t="s">
        <v>100</v>
      </c>
      <c r="D35" s="9" t="s">
        <v>208</v>
      </c>
      <c r="E35" s="9" t="s">
        <v>51</v>
      </c>
      <c r="F35" s="9" t="s">
        <v>209</v>
      </c>
      <c r="G35" s="7" t="s">
        <v>5</v>
      </c>
      <c r="H35" s="9" t="s">
        <v>210</v>
      </c>
      <c r="I35" s="46"/>
      <c r="J35" s="1"/>
      <c r="K35" s="1"/>
      <c r="L35" s="1"/>
      <c r="M35" s="1"/>
      <c r="N35" s="1"/>
      <c r="O35" s="1"/>
      <c r="Q35" s="46">
        <v>46147</v>
      </c>
      <c r="R35" s="1" t="s">
        <v>218</v>
      </c>
      <c r="S35" s="1"/>
      <c r="T35" s="1"/>
      <c r="U35" s="1"/>
      <c r="V35" s="1" t="s">
        <v>267</v>
      </c>
      <c r="W35" s="1" t="s">
        <v>341</v>
      </c>
      <c r="Y35" s="46">
        <v>46255</v>
      </c>
      <c r="Z35" s="1" t="s">
        <v>266</v>
      </c>
      <c r="AA35" s="1"/>
      <c r="AB35" s="1"/>
      <c r="AC35" s="155" t="b">
        <v>1</v>
      </c>
      <c r="AD35" s="1"/>
      <c r="AE35" s="44" t="s">
        <v>529</v>
      </c>
    </row>
    <row r="36" spans="1:31" ht="15" customHeight="1" x14ac:dyDescent="0.25">
      <c r="A36" s="14" t="s">
        <v>68</v>
      </c>
      <c r="B36" s="18" t="s">
        <v>57</v>
      </c>
      <c r="C36" s="18" t="s">
        <v>89</v>
      </c>
      <c r="D36" s="18" t="s">
        <v>208</v>
      </c>
      <c r="E36" s="18" t="s">
        <v>51</v>
      </c>
      <c r="F36" s="18" t="s">
        <v>209</v>
      </c>
      <c r="G36" s="14" t="s">
        <v>5</v>
      </c>
      <c r="H36" s="18" t="s">
        <v>218</v>
      </c>
      <c r="I36" s="129"/>
      <c r="J36" s="44"/>
      <c r="K36" s="44"/>
      <c r="L36" s="44"/>
      <c r="M36" s="44"/>
      <c r="N36" s="44"/>
      <c r="O36" s="44"/>
      <c r="Q36" s="129">
        <v>46147</v>
      </c>
      <c r="R36" s="44" t="s">
        <v>218</v>
      </c>
      <c r="S36" s="44"/>
      <c r="T36" s="44"/>
      <c r="U36" s="44"/>
      <c r="V36" s="44" t="s">
        <v>267</v>
      </c>
      <c r="W36" s="44" t="s">
        <v>341</v>
      </c>
      <c r="Y36" s="46">
        <v>46255</v>
      </c>
      <c r="Z36" s="44" t="s">
        <v>273</v>
      </c>
      <c r="AA36" s="44"/>
      <c r="AB36" s="44"/>
      <c r="AC36" s="156" t="b">
        <v>1</v>
      </c>
      <c r="AD36" s="44"/>
      <c r="AE36" s="44" t="s">
        <v>529</v>
      </c>
    </row>
    <row r="37" spans="1:31" ht="15" customHeight="1" x14ac:dyDescent="0.25">
      <c r="A37" s="7" t="s">
        <v>68</v>
      </c>
      <c r="B37" s="9" t="s">
        <v>57</v>
      </c>
      <c r="C37" s="9" t="s">
        <v>111</v>
      </c>
      <c r="D37" s="9" t="s">
        <v>217</v>
      </c>
      <c r="E37" s="9" t="s">
        <v>48</v>
      </c>
      <c r="F37" s="9" t="s">
        <v>216</v>
      </c>
      <c r="G37" s="7" t="s">
        <v>6</v>
      </c>
      <c r="H37" s="9" t="s">
        <v>218</v>
      </c>
      <c r="I37" s="46"/>
      <c r="J37" s="1"/>
      <c r="K37" s="1"/>
      <c r="L37" s="1"/>
      <c r="M37" s="1"/>
      <c r="N37" s="1"/>
      <c r="O37" s="1"/>
      <c r="Q37" s="46">
        <v>46147</v>
      </c>
      <c r="R37" s="1" t="s">
        <v>210</v>
      </c>
      <c r="S37" s="1"/>
      <c r="T37" s="1" t="s">
        <v>267</v>
      </c>
      <c r="U37" s="1"/>
      <c r="V37" s="1"/>
      <c r="W37" s="1" t="s">
        <v>341</v>
      </c>
      <c r="Y37" s="46">
        <v>46255</v>
      </c>
      <c r="Z37" s="1" t="s">
        <v>273</v>
      </c>
      <c r="AA37" s="1"/>
      <c r="AB37" s="1"/>
      <c r="AC37" s="155" t="b">
        <v>1</v>
      </c>
      <c r="AD37" s="1"/>
      <c r="AE37" s="44" t="s">
        <v>529</v>
      </c>
    </row>
    <row r="38" spans="1:31" ht="15" customHeight="1" x14ac:dyDescent="0.25">
      <c r="A38" s="14" t="s">
        <v>68</v>
      </c>
      <c r="B38" s="18" t="s">
        <v>57</v>
      </c>
      <c r="C38" s="18" t="s">
        <v>114</v>
      </c>
      <c r="D38" s="18" t="s">
        <v>208</v>
      </c>
      <c r="E38" s="18" t="s">
        <v>51</v>
      </c>
      <c r="F38" s="18" t="s">
        <v>209</v>
      </c>
      <c r="G38" s="14" t="s">
        <v>5</v>
      </c>
      <c r="H38" s="18" t="s">
        <v>218</v>
      </c>
      <c r="I38" s="129"/>
      <c r="J38" s="44"/>
      <c r="K38" s="44"/>
      <c r="L38" s="44"/>
      <c r="M38" s="44"/>
      <c r="N38" s="44"/>
      <c r="O38" s="44"/>
      <c r="Q38" s="129">
        <v>46147</v>
      </c>
      <c r="R38" s="44" t="s">
        <v>218</v>
      </c>
      <c r="S38" s="44"/>
      <c r="T38" s="44"/>
      <c r="U38" s="44"/>
      <c r="V38" s="44" t="s">
        <v>267</v>
      </c>
      <c r="W38" s="44" t="s">
        <v>341</v>
      </c>
      <c r="Y38" s="46">
        <v>46255</v>
      </c>
      <c r="Z38" s="44" t="s">
        <v>266</v>
      </c>
      <c r="AA38" s="44"/>
      <c r="AB38" s="156" t="b">
        <v>1</v>
      </c>
      <c r="AC38" s="44"/>
      <c r="AD38" s="44"/>
      <c r="AE38" s="44" t="s">
        <v>529</v>
      </c>
    </row>
    <row r="39" spans="1:31" ht="15" customHeight="1" x14ac:dyDescent="0.25">
      <c r="A39" s="7" t="s">
        <v>68</v>
      </c>
      <c r="B39" s="9" t="s">
        <v>57</v>
      </c>
      <c r="C39" s="9" t="s">
        <v>118</v>
      </c>
      <c r="D39" s="9" t="s">
        <v>217</v>
      </c>
      <c r="E39" s="9" t="s">
        <v>48</v>
      </c>
      <c r="F39" s="9" t="s">
        <v>216</v>
      </c>
      <c r="G39" s="7" t="s">
        <v>6</v>
      </c>
      <c r="H39" s="9" t="s">
        <v>210</v>
      </c>
      <c r="I39" s="46"/>
      <c r="J39" s="1"/>
      <c r="K39" s="1"/>
      <c r="L39" s="1"/>
      <c r="M39" s="1"/>
      <c r="N39" s="1"/>
      <c r="O39" s="1"/>
      <c r="Q39" s="46">
        <v>46147</v>
      </c>
      <c r="R39" s="1" t="s">
        <v>210</v>
      </c>
      <c r="S39" s="1"/>
      <c r="T39" s="1" t="s">
        <v>267</v>
      </c>
      <c r="U39" s="1"/>
      <c r="V39" s="1"/>
      <c r="W39" s="1" t="s">
        <v>341</v>
      </c>
      <c r="Y39" s="46">
        <v>46255</v>
      </c>
      <c r="Z39" s="1" t="s">
        <v>266</v>
      </c>
      <c r="AA39" s="1"/>
      <c r="AB39" s="155" t="b">
        <v>1</v>
      </c>
      <c r="AC39" s="1"/>
      <c r="AD39" s="1"/>
      <c r="AE39" s="44" t="s">
        <v>529</v>
      </c>
    </row>
    <row r="40" spans="1:31" ht="15" customHeight="1" x14ac:dyDescent="0.25">
      <c r="A40" s="14" t="s">
        <v>68</v>
      </c>
      <c r="B40" s="18" t="s">
        <v>57</v>
      </c>
      <c r="C40" s="18" t="s">
        <v>178</v>
      </c>
      <c r="D40" s="18" t="s">
        <v>217</v>
      </c>
      <c r="E40" s="18" t="s">
        <v>48</v>
      </c>
      <c r="F40" s="18" t="s">
        <v>216</v>
      </c>
      <c r="G40" s="14" t="s">
        <v>5</v>
      </c>
      <c r="H40" s="18" t="s">
        <v>218</v>
      </c>
      <c r="I40" s="129"/>
      <c r="J40" s="44"/>
      <c r="K40" s="44"/>
      <c r="L40" s="44"/>
      <c r="M40" s="44"/>
      <c r="N40" s="44"/>
      <c r="O40" s="44"/>
      <c r="Q40" s="129"/>
      <c r="R40" s="44"/>
      <c r="S40" s="44"/>
      <c r="T40" s="44"/>
      <c r="U40" s="44"/>
      <c r="V40" s="44"/>
      <c r="W40" s="44"/>
      <c r="Y40" s="46">
        <v>46255</v>
      </c>
      <c r="Z40" s="44" t="s">
        <v>273</v>
      </c>
      <c r="AA40" s="44"/>
      <c r="AB40" s="44"/>
      <c r="AC40" s="156" t="b">
        <v>1</v>
      </c>
      <c r="AD40" s="44"/>
      <c r="AE40" s="44" t="s">
        <v>529</v>
      </c>
    </row>
    <row r="41" spans="1:31" ht="15" customHeight="1" x14ac:dyDescent="0.25">
      <c r="A41" s="7" t="s">
        <v>68</v>
      </c>
      <c r="B41" s="9" t="s">
        <v>57</v>
      </c>
      <c r="C41" s="9" t="s">
        <v>179</v>
      </c>
      <c r="D41" s="9" t="s">
        <v>217</v>
      </c>
      <c r="E41" s="9" t="s">
        <v>48</v>
      </c>
      <c r="F41" s="9" t="s">
        <v>216</v>
      </c>
      <c r="G41" s="7" t="s">
        <v>5</v>
      </c>
      <c r="H41" s="9" t="s">
        <v>218</v>
      </c>
      <c r="I41" s="46"/>
      <c r="J41" s="1"/>
      <c r="K41" s="1"/>
      <c r="L41" s="1"/>
      <c r="M41" s="1"/>
      <c r="N41" s="1"/>
      <c r="O41" s="1"/>
      <c r="Q41" s="46"/>
      <c r="R41" s="1"/>
      <c r="S41" s="1"/>
      <c r="T41" s="1"/>
      <c r="U41" s="1"/>
      <c r="V41" s="1"/>
      <c r="W41" s="1"/>
      <c r="Y41" s="46">
        <v>46255</v>
      </c>
      <c r="Z41" s="1" t="s">
        <v>266</v>
      </c>
      <c r="AA41" s="155" t="b">
        <v>1</v>
      </c>
      <c r="AB41" s="1"/>
      <c r="AC41" s="1"/>
      <c r="AD41" s="1"/>
      <c r="AE41" s="44" t="s">
        <v>529</v>
      </c>
    </row>
    <row r="42" spans="1:31" ht="15" customHeight="1" x14ac:dyDescent="0.25">
      <c r="A42" s="14" t="s">
        <v>68</v>
      </c>
      <c r="B42" s="18" t="s">
        <v>57</v>
      </c>
      <c r="C42" s="18" t="s">
        <v>176</v>
      </c>
      <c r="D42" s="18" t="s">
        <v>221</v>
      </c>
      <c r="E42" s="18" t="s">
        <v>76</v>
      </c>
      <c r="F42" s="18" t="s">
        <v>222</v>
      </c>
      <c r="G42" s="14" t="s">
        <v>5</v>
      </c>
      <c r="H42" s="18" t="s">
        <v>218</v>
      </c>
      <c r="I42" s="129"/>
      <c r="J42" s="44"/>
      <c r="K42" s="44"/>
      <c r="L42" s="44"/>
      <c r="M42" s="44"/>
      <c r="N42" s="44"/>
      <c r="O42" s="44"/>
      <c r="Q42" s="129">
        <v>46147</v>
      </c>
      <c r="R42" s="44" t="s">
        <v>210</v>
      </c>
      <c r="S42" s="44"/>
      <c r="T42" s="44"/>
      <c r="U42" s="44"/>
      <c r="V42" s="44" t="s">
        <v>267</v>
      </c>
      <c r="W42" s="44" t="s">
        <v>341</v>
      </c>
      <c r="Y42" s="46">
        <v>46255</v>
      </c>
      <c r="Z42" s="44" t="s">
        <v>273</v>
      </c>
      <c r="AA42" s="44"/>
      <c r="AB42" s="44"/>
      <c r="AC42" s="156" t="b">
        <v>1</v>
      </c>
      <c r="AD42" s="44"/>
      <c r="AE42" s="44" t="s">
        <v>529</v>
      </c>
    </row>
    <row r="43" spans="1:31" ht="15" customHeight="1" x14ac:dyDescent="0.25">
      <c r="A43" s="7" t="s">
        <v>68</v>
      </c>
      <c r="B43" s="9" t="s">
        <v>57</v>
      </c>
      <c r="C43" s="9" t="s">
        <v>105</v>
      </c>
      <c r="D43" s="9" t="s">
        <v>217</v>
      </c>
      <c r="E43" s="9" t="s">
        <v>48</v>
      </c>
      <c r="F43" s="9" t="s">
        <v>216</v>
      </c>
      <c r="G43" s="7" t="s">
        <v>6</v>
      </c>
      <c r="H43" s="9" t="s">
        <v>218</v>
      </c>
      <c r="I43" s="46"/>
      <c r="J43" s="1"/>
      <c r="K43" s="1"/>
      <c r="L43" s="1"/>
      <c r="M43" s="1"/>
      <c r="N43" s="1"/>
      <c r="O43" s="1"/>
      <c r="Q43" s="46">
        <v>46147</v>
      </c>
      <c r="R43" s="1" t="s">
        <v>210</v>
      </c>
      <c r="S43" s="1"/>
      <c r="T43" s="1"/>
      <c r="U43" s="1" t="s">
        <v>267</v>
      </c>
      <c r="V43" s="1"/>
      <c r="W43" s="1" t="s">
        <v>341</v>
      </c>
      <c r="Y43" s="46">
        <v>46255</v>
      </c>
      <c r="Z43" s="1" t="s">
        <v>273</v>
      </c>
      <c r="AA43" s="1"/>
      <c r="AB43" s="1"/>
      <c r="AC43" s="155" t="b">
        <v>1</v>
      </c>
      <c r="AD43" s="1"/>
      <c r="AE43" s="44" t="s">
        <v>529</v>
      </c>
    </row>
    <row r="44" spans="1:31" ht="15" customHeight="1" x14ac:dyDescent="0.25">
      <c r="A44" s="14" t="s">
        <v>68</v>
      </c>
      <c r="B44" s="18" t="s">
        <v>57</v>
      </c>
      <c r="C44" s="18" t="s">
        <v>177</v>
      </c>
      <c r="D44" s="18" t="s">
        <v>221</v>
      </c>
      <c r="E44" s="18" t="s">
        <v>76</v>
      </c>
      <c r="F44" s="18" t="s">
        <v>222</v>
      </c>
      <c r="G44" s="14" t="s">
        <v>5</v>
      </c>
      <c r="H44" s="18" t="s">
        <v>210</v>
      </c>
      <c r="I44" s="129"/>
      <c r="J44" s="44"/>
      <c r="K44" s="44"/>
      <c r="L44" s="44"/>
      <c r="M44" s="44"/>
      <c r="N44" s="44"/>
      <c r="O44" s="44"/>
      <c r="Q44" s="129">
        <v>46147</v>
      </c>
      <c r="R44" s="44" t="s">
        <v>210</v>
      </c>
      <c r="S44" s="44"/>
      <c r="T44" s="44"/>
      <c r="U44" s="44"/>
      <c r="V44" s="44" t="s">
        <v>267</v>
      </c>
      <c r="W44" s="44" t="s">
        <v>341</v>
      </c>
      <c r="Y44" s="46">
        <v>46255</v>
      </c>
      <c r="Z44" s="44" t="s">
        <v>266</v>
      </c>
      <c r="AA44" s="44"/>
      <c r="AB44" s="44"/>
      <c r="AC44" s="156" t="b">
        <v>1</v>
      </c>
      <c r="AD44" s="44"/>
      <c r="AE44" s="44" t="s">
        <v>529</v>
      </c>
    </row>
    <row r="45" spans="1:31" ht="15" customHeight="1" x14ac:dyDescent="0.25">
      <c r="A45" s="7" t="s">
        <v>68</v>
      </c>
      <c r="B45" s="9" t="s">
        <v>361</v>
      </c>
      <c r="C45" s="9" t="s">
        <v>156</v>
      </c>
      <c r="D45" s="9" t="s">
        <v>225</v>
      </c>
      <c r="E45" s="9" t="s">
        <v>51</v>
      </c>
      <c r="F45" s="9" t="s">
        <v>209</v>
      </c>
      <c r="G45" s="7" t="s">
        <v>5</v>
      </c>
      <c r="H45" s="9" t="s">
        <v>218</v>
      </c>
      <c r="I45" s="46"/>
      <c r="J45" s="1"/>
      <c r="K45" s="1"/>
      <c r="L45" s="1"/>
      <c r="M45" s="1"/>
      <c r="N45" s="1"/>
      <c r="O45" s="1"/>
      <c r="Q45" s="46">
        <v>46147</v>
      </c>
      <c r="R45" s="1" t="s">
        <v>210</v>
      </c>
      <c r="S45" s="1"/>
      <c r="T45" s="1"/>
      <c r="U45" s="1" t="s">
        <v>267</v>
      </c>
      <c r="V45" s="1"/>
      <c r="W45" s="1" t="s">
        <v>341</v>
      </c>
      <c r="Y45" s="46">
        <v>46255</v>
      </c>
      <c r="Z45" s="1" t="s">
        <v>266</v>
      </c>
      <c r="AA45" s="155" t="b">
        <v>1</v>
      </c>
      <c r="AB45" s="1"/>
      <c r="AC45" s="1"/>
      <c r="AD45" s="1"/>
      <c r="AE45" s="44" t="s">
        <v>529</v>
      </c>
    </row>
    <row r="46" spans="1:31" ht="15" customHeight="1" x14ac:dyDescent="0.25">
      <c r="A46" s="14" t="s">
        <v>68</v>
      </c>
      <c r="B46" s="18" t="s">
        <v>362</v>
      </c>
      <c r="C46" s="18" t="s">
        <v>153</v>
      </c>
      <c r="D46" s="18" t="s">
        <v>208</v>
      </c>
      <c r="E46" s="18" t="s">
        <v>51</v>
      </c>
      <c r="F46" s="18" t="s">
        <v>209</v>
      </c>
      <c r="G46" s="14" t="s">
        <v>5</v>
      </c>
      <c r="H46" s="18" t="s">
        <v>218</v>
      </c>
      <c r="I46" s="129"/>
      <c r="J46" s="44"/>
      <c r="K46" s="44"/>
      <c r="L46" s="44"/>
      <c r="M46" s="44"/>
      <c r="N46" s="44"/>
      <c r="O46" s="44"/>
      <c r="Q46" s="129">
        <v>46147</v>
      </c>
      <c r="R46" s="44" t="s">
        <v>210</v>
      </c>
      <c r="S46" s="44"/>
      <c r="T46" s="44"/>
      <c r="U46" s="44" t="s">
        <v>267</v>
      </c>
      <c r="V46" s="44"/>
      <c r="W46" s="44" t="s">
        <v>341</v>
      </c>
      <c r="Y46" s="46">
        <v>46255</v>
      </c>
      <c r="Z46" s="44" t="s">
        <v>266</v>
      </c>
      <c r="AA46" s="156" t="b">
        <v>1</v>
      </c>
      <c r="AB46" s="44"/>
      <c r="AC46" s="44"/>
      <c r="AD46" s="44"/>
      <c r="AE46" s="44" t="s">
        <v>529</v>
      </c>
    </row>
    <row r="47" spans="1:31" ht="15" customHeight="1" x14ac:dyDescent="0.25">
      <c r="A47" s="7" t="s">
        <v>68</v>
      </c>
      <c r="B47" s="9" t="s">
        <v>363</v>
      </c>
      <c r="C47" s="9" t="s">
        <v>159</v>
      </c>
      <c r="D47" s="9" t="s">
        <v>208</v>
      </c>
      <c r="E47" s="9" t="s">
        <v>51</v>
      </c>
      <c r="F47" s="9" t="s">
        <v>209</v>
      </c>
      <c r="G47" s="7" t="s">
        <v>5</v>
      </c>
      <c r="H47" s="9" t="s">
        <v>210</v>
      </c>
      <c r="I47" s="46"/>
      <c r="J47" s="1"/>
      <c r="K47" s="1"/>
      <c r="L47" s="1"/>
      <c r="M47" s="1"/>
      <c r="N47" s="1"/>
      <c r="O47" s="1"/>
      <c r="Q47" s="46">
        <v>46147</v>
      </c>
      <c r="R47" s="1" t="s">
        <v>210</v>
      </c>
      <c r="S47" s="1"/>
      <c r="T47" s="1"/>
      <c r="U47" s="1" t="s">
        <v>267</v>
      </c>
      <c r="V47" s="1"/>
      <c r="W47" s="1" t="s">
        <v>341</v>
      </c>
      <c r="Y47" s="46">
        <v>46255</v>
      </c>
      <c r="Z47" s="1" t="s">
        <v>266</v>
      </c>
      <c r="AA47" s="1"/>
      <c r="AB47" s="155" t="b">
        <v>1</v>
      </c>
      <c r="AC47" s="1"/>
      <c r="AD47" s="1"/>
      <c r="AE47" s="44" t="s">
        <v>529</v>
      </c>
    </row>
    <row r="48" spans="1:31" ht="15" customHeight="1" x14ac:dyDescent="0.25">
      <c r="A48" s="14" t="s">
        <v>68</v>
      </c>
      <c r="B48" s="18" t="s">
        <v>364</v>
      </c>
      <c r="C48" s="18" t="s">
        <v>75</v>
      </c>
      <c r="D48" s="18" t="s">
        <v>208</v>
      </c>
      <c r="E48" s="18" t="s">
        <v>51</v>
      </c>
      <c r="F48" s="18" t="s">
        <v>209</v>
      </c>
      <c r="G48" s="14" t="s">
        <v>5</v>
      </c>
      <c r="H48" s="18" t="s">
        <v>210</v>
      </c>
      <c r="I48" s="129"/>
      <c r="J48" s="44"/>
      <c r="K48" s="44"/>
      <c r="L48" s="44"/>
      <c r="M48" s="44"/>
      <c r="N48" s="44"/>
      <c r="O48" s="44"/>
      <c r="Q48" s="129">
        <v>46147</v>
      </c>
      <c r="R48" s="44" t="s">
        <v>210</v>
      </c>
      <c r="S48" s="44"/>
      <c r="T48" s="44"/>
      <c r="U48" s="44" t="s">
        <v>267</v>
      </c>
      <c r="V48" s="44"/>
      <c r="W48" s="44" t="s">
        <v>341</v>
      </c>
      <c r="Y48" s="46">
        <v>46255</v>
      </c>
      <c r="Z48" s="1" t="s">
        <v>266</v>
      </c>
      <c r="AA48" s="1"/>
      <c r="AB48" s="44"/>
      <c r="AC48" s="156" t="b">
        <v>1</v>
      </c>
      <c r="AD48" s="44"/>
      <c r="AE48" s="44" t="s">
        <v>529</v>
      </c>
    </row>
    <row r="49" spans="1:15" ht="15" customHeight="1" x14ac:dyDescent="0.25">
      <c r="A49" s="7"/>
      <c r="B49" s="9"/>
      <c r="C49" s="9"/>
      <c r="D49" s="9"/>
      <c r="E49" s="9"/>
      <c r="F49" s="9"/>
      <c r="G49" s="7"/>
      <c r="H49" s="9"/>
      <c r="I49" s="46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9">
    <mergeCell ref="A122:C122"/>
    <mergeCell ref="S5:V5"/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AA5:AD5"/>
    <mergeCell ref="B60:I60"/>
    <mergeCell ref="B61:I61"/>
    <mergeCell ref="B62:I62"/>
    <mergeCell ref="A113:C113"/>
  </mergeCells>
  <phoneticPr fontId="1" type="noConversion"/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34AB-9678-46C5-9399-5B24CFD56022}">
  <sheetPr codeName="Planilha8">
    <tabColor rgb="FF92D050"/>
    <pageSetUpPr fitToPage="1"/>
  </sheetPr>
  <dimension ref="A1:W130"/>
  <sheetViews>
    <sheetView showGridLines="0" view="pageBreakPreview" zoomScale="80" zoomScaleNormal="100" zoomScaleSheetLayoutView="80" workbookViewId="0">
      <selection activeCell="K42" sqref="K42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1.285156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4.85546875" style="3" bestFit="1" customWidth="1"/>
    <col min="19" max="22" width="9.140625" style="3"/>
    <col min="23" max="23" width="11.5703125" style="3" bestFit="1" customWidth="1"/>
    <col min="24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365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>
        <v>38640</v>
      </c>
      <c r="N3" s="193"/>
      <c r="O3" s="29"/>
    </row>
    <row r="4" spans="1:23" s="2" customFormat="1" x14ac:dyDescent="0.25">
      <c r="C4" s="24"/>
      <c r="I4" s="20"/>
    </row>
    <row r="5" spans="1:23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6" t="s">
        <v>174</v>
      </c>
      <c r="B7" s="8" t="s">
        <v>366</v>
      </c>
      <c r="C7" s="6" t="s">
        <v>55</v>
      </c>
      <c r="D7" s="8" t="s">
        <v>208</v>
      </c>
      <c r="E7" s="8" t="s">
        <v>51</v>
      </c>
      <c r="F7" s="8" t="s">
        <v>209</v>
      </c>
      <c r="G7" s="6" t="s">
        <v>5</v>
      </c>
      <c r="H7" s="8" t="s">
        <v>210</v>
      </c>
      <c r="I7" s="136">
        <v>46204</v>
      </c>
      <c r="J7" s="6" t="s">
        <v>266</v>
      </c>
      <c r="K7" s="6"/>
      <c r="L7" s="6"/>
      <c r="M7" s="6"/>
      <c r="N7" s="6" t="s">
        <v>267</v>
      </c>
      <c r="O7" s="6" t="s">
        <v>367</v>
      </c>
      <c r="Q7" s="45">
        <v>46149</v>
      </c>
      <c r="R7" s="6" t="s">
        <v>210</v>
      </c>
      <c r="S7" s="6"/>
      <c r="T7" s="6"/>
      <c r="U7" s="6"/>
      <c r="V7" s="6" t="s">
        <v>267</v>
      </c>
      <c r="W7" s="6" t="s">
        <v>268</v>
      </c>
    </row>
    <row r="8" spans="1:23" x14ac:dyDescent="0.25">
      <c r="A8" s="7" t="s">
        <v>174</v>
      </c>
      <c r="B8" s="9" t="s">
        <v>368</v>
      </c>
      <c r="C8" s="13" t="s">
        <v>84</v>
      </c>
      <c r="D8" s="9" t="s">
        <v>208</v>
      </c>
      <c r="E8" s="9" t="s">
        <v>51</v>
      </c>
      <c r="F8" s="9" t="s">
        <v>209</v>
      </c>
      <c r="G8" s="7" t="s">
        <v>5</v>
      </c>
      <c r="H8" s="9" t="s">
        <v>210</v>
      </c>
      <c r="I8" s="137">
        <v>46203</v>
      </c>
      <c r="J8" s="1" t="s">
        <v>266</v>
      </c>
      <c r="K8" s="1"/>
      <c r="L8" s="1"/>
      <c r="M8" s="1"/>
      <c r="N8" s="1" t="s">
        <v>267</v>
      </c>
      <c r="O8" s="1" t="s">
        <v>341</v>
      </c>
      <c r="Q8" s="46">
        <v>46149</v>
      </c>
      <c r="R8" s="1" t="s">
        <v>210</v>
      </c>
      <c r="S8" s="1"/>
      <c r="T8" s="1"/>
      <c r="U8" s="1"/>
      <c r="V8" s="1" t="s">
        <v>267</v>
      </c>
      <c r="W8" s="1" t="s">
        <v>268</v>
      </c>
    </row>
    <row r="9" spans="1:23" x14ac:dyDescent="0.25">
      <c r="A9" s="6" t="s">
        <v>174</v>
      </c>
      <c r="B9" s="8" t="s">
        <v>369</v>
      </c>
      <c r="C9" s="6" t="s">
        <v>67</v>
      </c>
      <c r="D9" s="8" t="s">
        <v>208</v>
      </c>
      <c r="E9" s="8" t="s">
        <v>51</v>
      </c>
      <c r="F9" s="8" t="s">
        <v>209</v>
      </c>
      <c r="G9" s="6" t="s">
        <v>5</v>
      </c>
      <c r="H9" s="8" t="s">
        <v>210</v>
      </c>
      <c r="I9" s="136">
        <v>46203</v>
      </c>
      <c r="J9" s="6" t="s">
        <v>266</v>
      </c>
      <c r="K9" s="6"/>
      <c r="L9" s="6"/>
      <c r="M9" s="6"/>
      <c r="N9" s="6" t="s">
        <v>267</v>
      </c>
      <c r="O9" s="6" t="s">
        <v>341</v>
      </c>
      <c r="Q9" s="45">
        <v>46149</v>
      </c>
      <c r="R9" s="6" t="s">
        <v>210</v>
      </c>
      <c r="S9" s="6"/>
      <c r="T9" s="6"/>
      <c r="U9" s="6"/>
      <c r="V9" s="6" t="s">
        <v>267</v>
      </c>
      <c r="W9" s="6" t="s">
        <v>268</v>
      </c>
    </row>
    <row r="10" spans="1:23" x14ac:dyDescent="0.25">
      <c r="A10" s="7" t="s">
        <v>174</v>
      </c>
      <c r="B10" s="9" t="s">
        <v>370</v>
      </c>
      <c r="C10" s="13" t="s">
        <v>71</v>
      </c>
      <c r="D10" s="9" t="s">
        <v>208</v>
      </c>
      <c r="E10" s="9" t="s">
        <v>51</v>
      </c>
      <c r="F10" s="9" t="s">
        <v>209</v>
      </c>
      <c r="G10" s="7" t="s">
        <v>5</v>
      </c>
      <c r="H10" s="9" t="s">
        <v>210</v>
      </c>
      <c r="I10" s="137">
        <v>46203</v>
      </c>
      <c r="J10" s="1" t="s">
        <v>266</v>
      </c>
      <c r="K10" s="1"/>
      <c r="L10" s="1"/>
      <c r="M10" s="1"/>
      <c r="N10" s="1" t="s">
        <v>267</v>
      </c>
      <c r="O10" s="1" t="s">
        <v>341</v>
      </c>
      <c r="Q10" s="46">
        <v>46149</v>
      </c>
      <c r="R10" s="1" t="s">
        <v>210</v>
      </c>
      <c r="S10" s="1"/>
      <c r="T10" s="1"/>
      <c r="U10" s="1"/>
      <c r="V10" s="1" t="s">
        <v>267</v>
      </c>
      <c r="W10" s="1" t="s">
        <v>268</v>
      </c>
    </row>
    <row r="11" spans="1:23" x14ac:dyDescent="0.25">
      <c r="A11" s="6" t="s">
        <v>174</v>
      </c>
      <c r="B11" s="8" t="s">
        <v>371</v>
      </c>
      <c r="C11" s="6" t="s">
        <v>59</v>
      </c>
      <c r="D11" s="8" t="s">
        <v>215</v>
      </c>
      <c r="E11" s="8" t="s">
        <v>48</v>
      </c>
      <c r="F11" s="8" t="s">
        <v>216</v>
      </c>
      <c r="G11" s="6" t="s">
        <v>6</v>
      </c>
      <c r="H11" s="8" t="s">
        <v>210</v>
      </c>
      <c r="I11" s="136">
        <v>46204</v>
      </c>
      <c r="J11" s="6" t="s">
        <v>266</v>
      </c>
      <c r="K11" s="6"/>
      <c r="L11" s="6"/>
      <c r="M11" s="6"/>
      <c r="N11" s="6" t="s">
        <v>267</v>
      </c>
      <c r="O11" s="6" t="s">
        <v>367</v>
      </c>
      <c r="Q11" s="45">
        <v>46149</v>
      </c>
      <c r="R11" s="6" t="s">
        <v>210</v>
      </c>
      <c r="S11" s="6"/>
      <c r="T11" s="6"/>
      <c r="U11" s="6"/>
      <c r="V11" s="6" t="s">
        <v>267</v>
      </c>
      <c r="W11" s="6" t="s">
        <v>268</v>
      </c>
    </row>
    <row r="12" spans="1:23" x14ac:dyDescent="0.25">
      <c r="A12" s="7" t="s">
        <v>174</v>
      </c>
      <c r="B12" s="9" t="s">
        <v>57</v>
      </c>
      <c r="C12" s="13" t="s">
        <v>47</v>
      </c>
      <c r="D12" s="9" t="s">
        <v>217</v>
      </c>
      <c r="E12" s="9" t="s">
        <v>48</v>
      </c>
      <c r="F12" s="9" t="s">
        <v>216</v>
      </c>
      <c r="G12" s="7" t="s">
        <v>6</v>
      </c>
      <c r="H12" s="9" t="s">
        <v>218</v>
      </c>
      <c r="I12" s="137"/>
      <c r="J12" s="1"/>
      <c r="K12" s="1"/>
      <c r="L12" s="1"/>
      <c r="M12" s="1"/>
      <c r="N12" s="1"/>
      <c r="O12" s="1"/>
      <c r="Q12" s="46">
        <v>46149</v>
      </c>
      <c r="R12" s="1" t="s">
        <v>339</v>
      </c>
      <c r="S12" s="1"/>
      <c r="T12" s="1"/>
      <c r="U12" s="1" t="s">
        <v>267</v>
      </c>
      <c r="V12" s="1"/>
      <c r="W12" s="1" t="s">
        <v>268</v>
      </c>
    </row>
    <row r="13" spans="1:23" x14ac:dyDescent="0.25">
      <c r="A13" s="6" t="s">
        <v>174</v>
      </c>
      <c r="B13" s="8" t="s">
        <v>57</v>
      </c>
      <c r="C13" s="6" t="s">
        <v>56</v>
      </c>
      <c r="D13" s="8" t="s">
        <v>215</v>
      </c>
      <c r="E13" s="8" t="s">
        <v>54</v>
      </c>
      <c r="F13" s="8" t="s">
        <v>219</v>
      </c>
      <c r="G13" s="6" t="s">
        <v>6</v>
      </c>
      <c r="H13" s="8" t="s">
        <v>218</v>
      </c>
      <c r="I13" s="136">
        <v>46203</v>
      </c>
      <c r="J13" s="6" t="s">
        <v>273</v>
      </c>
      <c r="K13" s="6"/>
      <c r="L13" s="6"/>
      <c r="M13" s="6"/>
      <c r="N13" s="6" t="s">
        <v>267</v>
      </c>
      <c r="O13" s="6" t="s">
        <v>341</v>
      </c>
      <c r="Q13" s="45">
        <v>46149</v>
      </c>
      <c r="R13" s="6" t="s">
        <v>210</v>
      </c>
      <c r="S13" s="6"/>
      <c r="T13" s="6" t="s">
        <v>267</v>
      </c>
      <c r="U13" s="6"/>
      <c r="V13" s="6"/>
      <c r="W13" s="6" t="s">
        <v>309</v>
      </c>
    </row>
    <row r="14" spans="1:23" x14ac:dyDescent="0.25">
      <c r="A14" s="7" t="s">
        <v>174</v>
      </c>
      <c r="B14" s="9" t="s">
        <v>57</v>
      </c>
      <c r="C14" s="13" t="s">
        <v>53</v>
      </c>
      <c r="D14" s="9" t="s">
        <v>215</v>
      </c>
      <c r="E14" s="9" t="s">
        <v>54</v>
      </c>
      <c r="F14" s="9" t="s">
        <v>219</v>
      </c>
      <c r="G14" s="7" t="s">
        <v>6</v>
      </c>
      <c r="H14" s="9" t="s">
        <v>210</v>
      </c>
      <c r="I14" s="137">
        <v>46203</v>
      </c>
      <c r="J14" s="1" t="s">
        <v>266</v>
      </c>
      <c r="K14" s="1"/>
      <c r="L14" s="1"/>
      <c r="M14" s="1"/>
      <c r="N14" s="1" t="s">
        <v>267</v>
      </c>
      <c r="O14" s="1" t="s">
        <v>341</v>
      </c>
      <c r="Q14" s="46">
        <v>46149</v>
      </c>
      <c r="R14" s="1" t="s">
        <v>210</v>
      </c>
      <c r="S14" s="1"/>
      <c r="T14" s="1" t="s">
        <v>267</v>
      </c>
      <c r="U14" s="1"/>
      <c r="V14" s="1"/>
      <c r="W14" s="1" t="s">
        <v>309</v>
      </c>
    </row>
    <row r="15" spans="1:23" x14ac:dyDescent="0.25">
      <c r="A15" s="6" t="s">
        <v>174</v>
      </c>
      <c r="B15" s="8" t="s">
        <v>57</v>
      </c>
      <c r="C15" s="6" t="s">
        <v>58</v>
      </c>
      <c r="D15" s="8" t="s">
        <v>217</v>
      </c>
      <c r="E15" s="8" t="s">
        <v>54</v>
      </c>
      <c r="F15" s="8" t="s">
        <v>219</v>
      </c>
      <c r="G15" s="6" t="s">
        <v>6</v>
      </c>
      <c r="H15" s="8" t="s">
        <v>218</v>
      </c>
      <c r="I15" s="136">
        <v>46203</v>
      </c>
      <c r="J15" s="6" t="s">
        <v>273</v>
      </c>
      <c r="K15" s="6"/>
      <c r="L15" s="6"/>
      <c r="M15" s="6"/>
      <c r="N15" s="6" t="s">
        <v>267</v>
      </c>
      <c r="O15" s="6" t="s">
        <v>341</v>
      </c>
      <c r="Q15" s="45">
        <v>46149</v>
      </c>
      <c r="R15" s="6" t="s">
        <v>210</v>
      </c>
      <c r="S15" s="6"/>
      <c r="T15" s="6" t="s">
        <v>267</v>
      </c>
      <c r="U15" s="6"/>
      <c r="V15" s="6"/>
      <c r="W15" s="6" t="s">
        <v>309</v>
      </c>
    </row>
    <row r="16" spans="1:23" x14ac:dyDescent="0.25">
      <c r="A16" s="7" t="s">
        <v>174</v>
      </c>
      <c r="B16" s="9" t="s">
        <v>372</v>
      </c>
      <c r="C16" s="13" t="s">
        <v>175</v>
      </c>
      <c r="D16" s="9" t="s">
        <v>221</v>
      </c>
      <c r="E16" s="9" t="s">
        <v>76</v>
      </c>
      <c r="F16" s="9" t="s">
        <v>222</v>
      </c>
      <c r="G16" s="7" t="s">
        <v>5</v>
      </c>
      <c r="H16" s="9" t="s">
        <v>210</v>
      </c>
      <c r="I16" s="137">
        <v>46203</v>
      </c>
      <c r="J16" s="1" t="s">
        <v>266</v>
      </c>
      <c r="K16" s="1"/>
      <c r="L16" s="1"/>
      <c r="M16" s="1"/>
      <c r="N16" s="1" t="s">
        <v>267</v>
      </c>
      <c r="O16" s="1" t="s">
        <v>341</v>
      </c>
      <c r="Q16" s="46">
        <v>46149</v>
      </c>
      <c r="R16" s="1" t="s">
        <v>210</v>
      </c>
      <c r="S16" s="1"/>
      <c r="T16" s="1"/>
      <c r="U16" s="1"/>
      <c r="V16" s="1" t="s">
        <v>267</v>
      </c>
      <c r="W16" s="1" t="s">
        <v>268</v>
      </c>
    </row>
    <row r="17" spans="1:23" x14ac:dyDescent="0.25">
      <c r="A17" s="6" t="s">
        <v>174</v>
      </c>
      <c r="B17" s="8" t="s">
        <v>373</v>
      </c>
      <c r="C17" s="6" t="s">
        <v>72</v>
      </c>
      <c r="D17" s="8" t="s">
        <v>221</v>
      </c>
      <c r="E17" s="8" t="s">
        <v>76</v>
      </c>
      <c r="F17" s="8" t="s">
        <v>222</v>
      </c>
      <c r="G17" s="6" t="s">
        <v>5</v>
      </c>
      <c r="H17" s="8" t="s">
        <v>210</v>
      </c>
      <c r="I17" s="136">
        <v>46203</v>
      </c>
      <c r="J17" s="6" t="s">
        <v>266</v>
      </c>
      <c r="K17" s="6"/>
      <c r="L17" s="6"/>
      <c r="M17" s="6"/>
      <c r="N17" s="6" t="s">
        <v>267</v>
      </c>
      <c r="O17" s="6" t="s">
        <v>341</v>
      </c>
      <c r="Q17" s="45">
        <v>46149</v>
      </c>
      <c r="R17" s="6" t="s">
        <v>210</v>
      </c>
      <c r="S17" s="6"/>
      <c r="T17" s="6"/>
      <c r="U17" s="6"/>
      <c r="V17" s="6" t="s">
        <v>267</v>
      </c>
      <c r="W17" s="6" t="s">
        <v>268</v>
      </c>
    </row>
    <row r="18" spans="1:23" x14ac:dyDescent="0.25">
      <c r="A18" s="7" t="s">
        <v>68</v>
      </c>
      <c r="B18" s="9" t="s">
        <v>374</v>
      </c>
      <c r="C18" s="13" t="s">
        <v>125</v>
      </c>
      <c r="D18" s="9" t="s">
        <v>225</v>
      </c>
      <c r="E18" s="9" t="s">
        <v>51</v>
      </c>
      <c r="F18" s="9" t="s">
        <v>209</v>
      </c>
      <c r="G18" s="7" t="s">
        <v>5</v>
      </c>
      <c r="H18" s="9" t="s">
        <v>218</v>
      </c>
      <c r="I18" s="137">
        <v>46203</v>
      </c>
      <c r="J18" s="1" t="s">
        <v>273</v>
      </c>
      <c r="K18" s="1"/>
      <c r="L18" s="1"/>
      <c r="M18" s="1"/>
      <c r="N18" s="1" t="s">
        <v>267</v>
      </c>
      <c r="O18" s="1" t="s">
        <v>341</v>
      </c>
      <c r="Q18" s="46">
        <v>46149</v>
      </c>
      <c r="R18" s="1" t="s">
        <v>218</v>
      </c>
      <c r="S18" s="1"/>
      <c r="T18" s="1"/>
      <c r="U18" s="1"/>
      <c r="V18" s="1" t="s">
        <v>267</v>
      </c>
      <c r="W18" s="1" t="s">
        <v>309</v>
      </c>
    </row>
    <row r="19" spans="1:23" x14ac:dyDescent="0.25">
      <c r="A19" s="6" t="s">
        <v>68</v>
      </c>
      <c r="B19" s="8" t="s">
        <v>375</v>
      </c>
      <c r="C19" s="6" t="s">
        <v>158</v>
      </c>
      <c r="D19" s="8" t="s">
        <v>208</v>
      </c>
      <c r="E19" s="8" t="s">
        <v>51</v>
      </c>
      <c r="F19" s="8" t="s">
        <v>209</v>
      </c>
      <c r="G19" s="6" t="s">
        <v>5</v>
      </c>
      <c r="H19" s="8" t="s">
        <v>210</v>
      </c>
      <c r="I19" s="136">
        <v>46203</v>
      </c>
      <c r="J19" s="6" t="s">
        <v>266</v>
      </c>
      <c r="K19" s="6"/>
      <c r="L19" s="6"/>
      <c r="M19" s="6"/>
      <c r="N19" s="6" t="s">
        <v>267</v>
      </c>
      <c r="O19" s="6" t="s">
        <v>341</v>
      </c>
      <c r="Q19" s="45">
        <v>46149</v>
      </c>
      <c r="R19" s="6" t="s">
        <v>210</v>
      </c>
      <c r="S19" s="6"/>
      <c r="T19" s="6"/>
      <c r="U19" s="6"/>
      <c r="V19" s="6" t="s">
        <v>267</v>
      </c>
      <c r="W19" s="6" t="s">
        <v>309</v>
      </c>
    </row>
    <row r="20" spans="1:23" x14ac:dyDescent="0.25">
      <c r="A20" s="7" t="s">
        <v>68</v>
      </c>
      <c r="B20" s="9" t="s">
        <v>376</v>
      </c>
      <c r="C20" s="13" t="s">
        <v>106</v>
      </c>
      <c r="D20" s="9" t="s">
        <v>225</v>
      </c>
      <c r="E20" s="9" t="s">
        <v>51</v>
      </c>
      <c r="F20" s="9" t="s">
        <v>209</v>
      </c>
      <c r="G20" s="7" t="s">
        <v>5</v>
      </c>
      <c r="H20" s="9" t="s">
        <v>218</v>
      </c>
      <c r="I20" s="137">
        <v>46203</v>
      </c>
      <c r="J20" s="1" t="s">
        <v>273</v>
      </c>
      <c r="K20" s="1"/>
      <c r="L20" s="1"/>
      <c r="M20" s="1"/>
      <c r="N20" s="1" t="s">
        <v>267</v>
      </c>
      <c r="O20" s="1" t="s">
        <v>341</v>
      </c>
      <c r="Q20" s="46">
        <v>46149</v>
      </c>
      <c r="R20" s="1" t="s">
        <v>218</v>
      </c>
      <c r="S20" s="1"/>
      <c r="T20" s="1"/>
      <c r="U20" s="1"/>
      <c r="V20" s="1" t="s">
        <v>267</v>
      </c>
      <c r="W20" s="1" t="s">
        <v>309</v>
      </c>
    </row>
    <row r="21" spans="1:23" x14ac:dyDescent="0.25">
      <c r="A21" s="6" t="s">
        <v>68</v>
      </c>
      <c r="B21" s="8" t="s">
        <v>377</v>
      </c>
      <c r="C21" s="6" t="s">
        <v>115</v>
      </c>
      <c r="D21" s="8" t="s">
        <v>229</v>
      </c>
      <c r="E21" s="8" t="s">
        <v>80</v>
      </c>
      <c r="F21" s="8" t="s">
        <v>230</v>
      </c>
      <c r="G21" s="6" t="s">
        <v>5</v>
      </c>
      <c r="H21" s="8" t="s">
        <v>218</v>
      </c>
      <c r="I21" s="136">
        <v>46203</v>
      </c>
      <c r="J21" s="6" t="s">
        <v>273</v>
      </c>
      <c r="K21" s="6"/>
      <c r="L21" s="6"/>
      <c r="M21" s="6"/>
      <c r="N21" s="6" t="s">
        <v>267</v>
      </c>
      <c r="O21" s="6" t="s">
        <v>341</v>
      </c>
      <c r="Q21" s="45">
        <v>46149</v>
      </c>
      <c r="R21" s="6" t="s">
        <v>339</v>
      </c>
      <c r="S21" s="6"/>
      <c r="T21" s="6"/>
      <c r="U21" s="6"/>
      <c r="V21" s="6" t="s">
        <v>267</v>
      </c>
      <c r="W21" s="6" t="s">
        <v>268</v>
      </c>
    </row>
    <row r="22" spans="1:23" x14ac:dyDescent="0.25">
      <c r="A22" s="7" t="s">
        <v>68</v>
      </c>
      <c r="B22" s="9" t="s">
        <v>378</v>
      </c>
      <c r="C22" s="13" t="s">
        <v>147</v>
      </c>
      <c r="D22" s="9" t="s">
        <v>229</v>
      </c>
      <c r="E22" s="9" t="s">
        <v>80</v>
      </c>
      <c r="F22" s="9" t="s">
        <v>230</v>
      </c>
      <c r="G22" s="7" t="s">
        <v>5</v>
      </c>
      <c r="H22" s="9" t="s">
        <v>210</v>
      </c>
      <c r="I22" s="137">
        <v>46203</v>
      </c>
      <c r="J22" s="1" t="s">
        <v>266</v>
      </c>
      <c r="K22" s="1"/>
      <c r="L22" s="1"/>
      <c r="M22" s="1" t="s">
        <v>267</v>
      </c>
      <c r="N22" s="1"/>
      <c r="O22" s="1" t="s">
        <v>341</v>
      </c>
      <c r="Q22" s="46">
        <v>46149</v>
      </c>
      <c r="R22" s="1" t="s">
        <v>210</v>
      </c>
      <c r="S22" s="1"/>
      <c r="T22" s="1"/>
      <c r="U22" s="1"/>
      <c r="V22" s="1" t="s">
        <v>267</v>
      </c>
      <c r="W22" s="1" t="s">
        <v>268</v>
      </c>
    </row>
    <row r="23" spans="1:23" x14ac:dyDescent="0.25">
      <c r="A23" s="6" t="s">
        <v>68</v>
      </c>
      <c r="B23" s="8" t="s">
        <v>379</v>
      </c>
      <c r="C23" s="6" t="s">
        <v>103</v>
      </c>
      <c r="D23" s="8" t="s">
        <v>229</v>
      </c>
      <c r="E23" s="8" t="s">
        <v>80</v>
      </c>
      <c r="F23" s="8" t="s">
        <v>230</v>
      </c>
      <c r="G23" s="6" t="s">
        <v>5</v>
      </c>
      <c r="H23" s="8" t="s">
        <v>218</v>
      </c>
      <c r="I23" s="136">
        <v>46203</v>
      </c>
      <c r="J23" s="6" t="s">
        <v>273</v>
      </c>
      <c r="K23" s="6"/>
      <c r="L23" s="6"/>
      <c r="M23" s="6"/>
      <c r="N23" s="6" t="s">
        <v>267</v>
      </c>
      <c r="O23" s="6" t="s">
        <v>341</v>
      </c>
      <c r="Q23" s="45">
        <v>46149</v>
      </c>
      <c r="R23" s="6" t="s">
        <v>339</v>
      </c>
      <c r="S23" s="6"/>
      <c r="T23" s="6"/>
      <c r="U23" s="6"/>
      <c r="V23" s="6" t="s">
        <v>267</v>
      </c>
      <c r="W23" s="6" t="s">
        <v>268</v>
      </c>
    </row>
    <row r="24" spans="1:23" x14ac:dyDescent="0.25">
      <c r="A24" s="7" t="s">
        <v>68</v>
      </c>
      <c r="B24" s="9" t="s">
        <v>380</v>
      </c>
      <c r="C24" s="13" t="s">
        <v>119</v>
      </c>
      <c r="D24" s="9" t="s">
        <v>208</v>
      </c>
      <c r="E24" s="9" t="s">
        <v>51</v>
      </c>
      <c r="F24" s="9" t="s">
        <v>209</v>
      </c>
      <c r="G24" s="7" t="s">
        <v>5</v>
      </c>
      <c r="H24" s="9" t="s">
        <v>218</v>
      </c>
      <c r="I24" s="137"/>
      <c r="J24" s="1"/>
      <c r="K24" s="1"/>
      <c r="L24" s="1"/>
      <c r="M24" s="1"/>
      <c r="N24" s="1"/>
      <c r="O24" s="1"/>
      <c r="Q24" s="46">
        <v>46149</v>
      </c>
      <c r="R24" s="1" t="s">
        <v>339</v>
      </c>
      <c r="S24" s="1"/>
      <c r="T24" s="1"/>
      <c r="U24" s="1"/>
      <c r="V24" s="1" t="s">
        <v>267</v>
      </c>
      <c r="W24" s="1" t="s">
        <v>268</v>
      </c>
    </row>
    <row r="25" spans="1:23" x14ac:dyDescent="0.25">
      <c r="A25" s="6" t="s">
        <v>68</v>
      </c>
      <c r="B25" s="8" t="s">
        <v>381</v>
      </c>
      <c r="C25" s="6" t="s">
        <v>150</v>
      </c>
      <c r="D25" s="8" t="s">
        <v>208</v>
      </c>
      <c r="E25" s="8" t="s">
        <v>51</v>
      </c>
      <c r="F25" s="8" t="s">
        <v>209</v>
      </c>
      <c r="G25" s="6" t="s">
        <v>5</v>
      </c>
      <c r="H25" s="8" t="s">
        <v>210</v>
      </c>
      <c r="I25" s="136"/>
      <c r="J25" s="6"/>
      <c r="K25" s="6"/>
      <c r="L25" s="6"/>
      <c r="M25" s="6"/>
      <c r="N25" s="6"/>
      <c r="O25" s="6"/>
      <c r="Q25" s="45">
        <v>46149</v>
      </c>
      <c r="R25" s="6" t="s">
        <v>210</v>
      </c>
      <c r="S25" s="6"/>
      <c r="T25" s="6"/>
      <c r="U25" s="6"/>
      <c r="V25" s="6" t="s">
        <v>267</v>
      </c>
      <c r="W25" s="6" t="s">
        <v>268</v>
      </c>
    </row>
    <row r="26" spans="1:23" x14ac:dyDescent="0.25">
      <c r="A26" s="7" t="s">
        <v>68</v>
      </c>
      <c r="B26" s="9" t="s">
        <v>382</v>
      </c>
      <c r="C26" s="13" t="s">
        <v>85</v>
      </c>
      <c r="D26" s="9" t="s">
        <v>208</v>
      </c>
      <c r="E26" s="9" t="s">
        <v>51</v>
      </c>
      <c r="F26" s="9" t="s">
        <v>209</v>
      </c>
      <c r="G26" s="7" t="s">
        <v>5</v>
      </c>
      <c r="H26" s="9" t="s">
        <v>218</v>
      </c>
      <c r="I26" s="137"/>
      <c r="J26" s="1"/>
      <c r="K26" s="1"/>
      <c r="L26" s="1"/>
      <c r="M26" s="1"/>
      <c r="N26" s="1"/>
      <c r="O26" s="1"/>
      <c r="Q26" s="46">
        <v>46149</v>
      </c>
      <c r="R26" s="1" t="s">
        <v>339</v>
      </c>
      <c r="S26" s="1"/>
      <c r="T26" s="1"/>
      <c r="U26" s="1"/>
      <c r="V26" s="1" t="s">
        <v>267</v>
      </c>
      <c r="W26" s="1" t="s">
        <v>268</v>
      </c>
    </row>
    <row r="27" spans="1:23" x14ac:dyDescent="0.25">
      <c r="A27" s="6" t="s">
        <v>68</v>
      </c>
      <c r="B27" s="8" t="s">
        <v>383</v>
      </c>
      <c r="C27" s="6" t="s">
        <v>122</v>
      </c>
      <c r="D27" s="8" t="s">
        <v>208</v>
      </c>
      <c r="E27" s="8" t="s">
        <v>51</v>
      </c>
      <c r="F27" s="8" t="s">
        <v>209</v>
      </c>
      <c r="G27" s="6" t="s">
        <v>5</v>
      </c>
      <c r="H27" s="8" t="s">
        <v>218</v>
      </c>
      <c r="I27" s="136"/>
      <c r="J27" s="6"/>
      <c r="K27" s="6"/>
      <c r="L27" s="6"/>
      <c r="M27" s="6"/>
      <c r="N27" s="6"/>
      <c r="O27" s="6"/>
      <c r="Q27" s="45">
        <v>46149</v>
      </c>
      <c r="R27" s="6" t="s">
        <v>218</v>
      </c>
      <c r="S27" s="6"/>
      <c r="T27" s="6"/>
      <c r="U27" s="6"/>
      <c r="V27" s="6" t="s">
        <v>267</v>
      </c>
      <c r="W27" s="6" t="s">
        <v>309</v>
      </c>
    </row>
    <row r="28" spans="1:23" x14ac:dyDescent="0.25">
      <c r="A28" s="7" t="s">
        <v>68</v>
      </c>
      <c r="B28" s="9" t="s">
        <v>384</v>
      </c>
      <c r="C28" s="13" t="s">
        <v>155</v>
      </c>
      <c r="D28" s="9" t="s">
        <v>208</v>
      </c>
      <c r="E28" s="9" t="s">
        <v>51</v>
      </c>
      <c r="F28" s="9" t="s">
        <v>209</v>
      </c>
      <c r="G28" s="7" t="s">
        <v>5</v>
      </c>
      <c r="H28" s="9" t="s">
        <v>210</v>
      </c>
      <c r="I28" s="137"/>
      <c r="J28" s="1"/>
      <c r="K28" s="1"/>
      <c r="L28" s="1"/>
      <c r="M28" s="1"/>
      <c r="N28" s="1"/>
      <c r="O28" s="1"/>
      <c r="Q28" s="46">
        <v>46149</v>
      </c>
      <c r="R28" s="1" t="s">
        <v>210</v>
      </c>
      <c r="S28" s="1"/>
      <c r="T28" s="1"/>
      <c r="U28" s="1"/>
      <c r="V28" s="1" t="s">
        <v>267</v>
      </c>
      <c r="W28" s="1" t="s">
        <v>309</v>
      </c>
    </row>
    <row r="29" spans="1:23" x14ac:dyDescent="0.25">
      <c r="A29" s="6" t="s">
        <v>68</v>
      </c>
      <c r="B29" s="8" t="s">
        <v>385</v>
      </c>
      <c r="C29" s="6" t="s">
        <v>90</v>
      </c>
      <c r="D29" s="8" t="s">
        <v>208</v>
      </c>
      <c r="E29" s="8" t="s">
        <v>51</v>
      </c>
      <c r="F29" s="8" t="s">
        <v>209</v>
      </c>
      <c r="G29" s="6" t="s">
        <v>5</v>
      </c>
      <c r="H29" s="8" t="s">
        <v>218</v>
      </c>
      <c r="I29" s="136"/>
      <c r="J29" s="6"/>
      <c r="K29" s="6"/>
      <c r="L29" s="6"/>
      <c r="M29" s="6"/>
      <c r="N29" s="6"/>
      <c r="O29" s="6"/>
      <c r="Q29" s="45">
        <v>46149</v>
      </c>
      <c r="R29" s="6" t="s">
        <v>218</v>
      </c>
      <c r="S29" s="6"/>
      <c r="T29" s="6"/>
      <c r="U29" s="6"/>
      <c r="V29" s="6" t="s">
        <v>267</v>
      </c>
      <c r="W29" s="6" t="s">
        <v>309</v>
      </c>
    </row>
    <row r="30" spans="1:23" x14ac:dyDescent="0.25">
      <c r="A30" s="7" t="s">
        <v>68</v>
      </c>
      <c r="B30" s="9" t="s">
        <v>386</v>
      </c>
      <c r="C30" s="13" t="s">
        <v>128</v>
      </c>
      <c r="D30" s="9" t="s">
        <v>240</v>
      </c>
      <c r="E30" s="9" t="s">
        <v>86</v>
      </c>
      <c r="F30" s="9" t="s">
        <v>241</v>
      </c>
      <c r="G30" s="7" t="s">
        <v>5</v>
      </c>
      <c r="H30" s="9" t="s">
        <v>218</v>
      </c>
      <c r="I30" s="137">
        <v>46203</v>
      </c>
      <c r="J30" s="1" t="s">
        <v>273</v>
      </c>
      <c r="K30" s="1"/>
      <c r="L30" s="1"/>
      <c r="M30" s="1"/>
      <c r="N30" s="1" t="s">
        <v>267</v>
      </c>
      <c r="O30" s="1" t="s">
        <v>341</v>
      </c>
      <c r="Q30" s="46">
        <v>46149</v>
      </c>
      <c r="R30" s="1" t="s">
        <v>218</v>
      </c>
      <c r="S30" s="1"/>
      <c r="T30" s="1"/>
      <c r="U30" s="1"/>
      <c r="V30" s="1" t="s">
        <v>267</v>
      </c>
      <c r="W30" s="1" t="s">
        <v>309</v>
      </c>
    </row>
    <row r="31" spans="1:23" x14ac:dyDescent="0.25">
      <c r="A31" s="6" t="s">
        <v>68</v>
      </c>
      <c r="B31" s="8" t="s">
        <v>387</v>
      </c>
      <c r="C31" s="6" t="s">
        <v>152</v>
      </c>
      <c r="D31" s="8" t="s">
        <v>240</v>
      </c>
      <c r="E31" s="8" t="s">
        <v>86</v>
      </c>
      <c r="F31" s="8" t="s">
        <v>241</v>
      </c>
      <c r="G31" s="6" t="s">
        <v>5</v>
      </c>
      <c r="H31" s="8" t="s">
        <v>210</v>
      </c>
      <c r="I31" s="136">
        <v>46203</v>
      </c>
      <c r="J31" s="6" t="s">
        <v>266</v>
      </c>
      <c r="K31" s="6"/>
      <c r="L31" s="6"/>
      <c r="M31" s="6" t="s">
        <v>267</v>
      </c>
      <c r="N31" s="6"/>
      <c r="O31" s="6" t="s">
        <v>341</v>
      </c>
      <c r="Q31" s="45">
        <v>46149</v>
      </c>
      <c r="R31" s="6" t="s">
        <v>210</v>
      </c>
      <c r="S31" s="6"/>
      <c r="T31" s="6"/>
      <c r="U31" s="6"/>
      <c r="V31" s="6" t="s">
        <v>267</v>
      </c>
      <c r="W31" s="6" t="s">
        <v>309</v>
      </c>
    </row>
    <row r="32" spans="1:23" x14ac:dyDescent="0.25">
      <c r="A32" s="7" t="s">
        <v>68</v>
      </c>
      <c r="B32" s="9" t="s">
        <v>388</v>
      </c>
      <c r="C32" s="13" t="s">
        <v>96</v>
      </c>
      <c r="D32" s="9" t="s">
        <v>240</v>
      </c>
      <c r="E32" s="9" t="s">
        <v>86</v>
      </c>
      <c r="F32" s="9" t="s">
        <v>241</v>
      </c>
      <c r="G32" s="7" t="s">
        <v>5</v>
      </c>
      <c r="H32" s="9" t="s">
        <v>218</v>
      </c>
      <c r="I32" s="137">
        <v>46203</v>
      </c>
      <c r="J32" s="1" t="s">
        <v>273</v>
      </c>
      <c r="K32" s="1"/>
      <c r="L32" s="1"/>
      <c r="M32" s="1"/>
      <c r="N32" s="1" t="s">
        <v>267</v>
      </c>
      <c r="O32" s="1" t="s">
        <v>341</v>
      </c>
      <c r="Q32" s="46">
        <v>46149</v>
      </c>
      <c r="R32" s="1" t="s">
        <v>218</v>
      </c>
      <c r="S32" s="1"/>
      <c r="T32" s="1"/>
      <c r="U32" s="1"/>
      <c r="V32" s="1" t="s">
        <v>267</v>
      </c>
      <c r="W32" s="1" t="s">
        <v>309</v>
      </c>
    </row>
    <row r="33" spans="1:23" ht="18" customHeight="1" x14ac:dyDescent="0.25">
      <c r="A33" s="6" t="s">
        <v>68</v>
      </c>
      <c r="B33" s="8" t="s">
        <v>389</v>
      </c>
      <c r="C33" s="6" t="s">
        <v>93</v>
      </c>
      <c r="D33" s="8" t="s">
        <v>208</v>
      </c>
      <c r="E33" s="8" t="s">
        <v>51</v>
      </c>
      <c r="F33" s="8" t="s">
        <v>209</v>
      </c>
      <c r="G33" s="6" t="s">
        <v>5</v>
      </c>
      <c r="H33" s="8" t="s">
        <v>210</v>
      </c>
      <c r="I33" s="136">
        <v>46203</v>
      </c>
      <c r="J33" s="6" t="s">
        <v>266</v>
      </c>
      <c r="K33" s="6"/>
      <c r="L33" s="6"/>
      <c r="M33" s="6"/>
      <c r="N33" s="6" t="s">
        <v>267</v>
      </c>
      <c r="O33" s="6" t="s">
        <v>341</v>
      </c>
      <c r="Q33" s="45">
        <v>46149</v>
      </c>
      <c r="R33" s="6" t="s">
        <v>210</v>
      </c>
      <c r="S33" s="6"/>
      <c r="T33" s="6"/>
      <c r="U33" s="6"/>
      <c r="V33" s="6" t="s">
        <v>267</v>
      </c>
      <c r="W33" s="6" t="s">
        <v>268</v>
      </c>
    </row>
    <row r="34" spans="1:23" x14ac:dyDescent="0.25">
      <c r="A34" s="7" t="s">
        <v>68</v>
      </c>
      <c r="B34" s="9" t="s">
        <v>390</v>
      </c>
      <c r="C34" s="13" t="s">
        <v>161</v>
      </c>
      <c r="D34" s="9" t="s">
        <v>208</v>
      </c>
      <c r="E34" s="9" t="s">
        <v>51</v>
      </c>
      <c r="F34" s="9" t="s">
        <v>209</v>
      </c>
      <c r="G34" s="7" t="s">
        <v>5</v>
      </c>
      <c r="H34" s="9" t="s">
        <v>210</v>
      </c>
      <c r="I34" s="137">
        <v>46203</v>
      </c>
      <c r="J34" s="1" t="s">
        <v>266</v>
      </c>
      <c r="K34" s="1"/>
      <c r="L34" s="1"/>
      <c r="M34" s="1"/>
      <c r="N34" s="1" t="s">
        <v>267</v>
      </c>
      <c r="O34" s="1" t="s">
        <v>341</v>
      </c>
      <c r="Q34" s="46">
        <v>46149</v>
      </c>
      <c r="R34" s="1" t="s">
        <v>210</v>
      </c>
      <c r="S34" s="1"/>
      <c r="T34" s="1"/>
      <c r="U34" s="1"/>
      <c r="V34" s="1" t="s">
        <v>267</v>
      </c>
      <c r="W34" s="1" t="s">
        <v>268</v>
      </c>
    </row>
    <row r="35" spans="1:23" x14ac:dyDescent="0.25">
      <c r="A35" s="6" t="s">
        <v>68</v>
      </c>
      <c r="B35" s="8" t="s">
        <v>391</v>
      </c>
      <c r="C35" s="6" t="s">
        <v>100</v>
      </c>
      <c r="D35" s="8" t="s">
        <v>208</v>
      </c>
      <c r="E35" s="8" t="s">
        <v>51</v>
      </c>
      <c r="F35" s="8" t="s">
        <v>209</v>
      </c>
      <c r="G35" s="6" t="s">
        <v>5</v>
      </c>
      <c r="H35" s="8" t="s">
        <v>210</v>
      </c>
      <c r="I35" s="136">
        <v>46203</v>
      </c>
      <c r="J35" s="6" t="s">
        <v>266</v>
      </c>
      <c r="K35" s="6"/>
      <c r="L35" s="6"/>
      <c r="M35" s="6"/>
      <c r="N35" s="6" t="s">
        <v>267</v>
      </c>
      <c r="O35" s="6" t="s">
        <v>341</v>
      </c>
      <c r="Q35" s="45">
        <v>46149</v>
      </c>
      <c r="R35" s="6" t="s">
        <v>210</v>
      </c>
      <c r="S35" s="6"/>
      <c r="T35" s="6"/>
      <c r="U35" s="6"/>
      <c r="V35" s="6" t="s">
        <v>267</v>
      </c>
      <c r="W35" s="6" t="s">
        <v>268</v>
      </c>
    </row>
    <row r="36" spans="1:23" x14ac:dyDescent="0.25">
      <c r="A36" s="7" t="s">
        <v>68</v>
      </c>
      <c r="B36" s="9" t="s">
        <v>57</v>
      </c>
      <c r="C36" s="13" t="s">
        <v>89</v>
      </c>
      <c r="D36" s="9" t="s">
        <v>208</v>
      </c>
      <c r="E36" s="9" t="s">
        <v>51</v>
      </c>
      <c r="F36" s="9" t="s">
        <v>209</v>
      </c>
      <c r="G36" s="7" t="s">
        <v>5</v>
      </c>
      <c r="H36" s="9" t="s">
        <v>218</v>
      </c>
      <c r="I36" s="137">
        <v>46203</v>
      </c>
      <c r="J36" s="1" t="s">
        <v>273</v>
      </c>
      <c r="K36" s="1"/>
      <c r="L36" s="1"/>
      <c r="M36" s="1"/>
      <c r="N36" s="1" t="s">
        <v>267</v>
      </c>
      <c r="O36" s="1" t="s">
        <v>341</v>
      </c>
      <c r="Q36" s="46">
        <v>46149</v>
      </c>
      <c r="R36" s="1" t="s">
        <v>218</v>
      </c>
      <c r="S36" s="1"/>
      <c r="T36" s="1"/>
      <c r="U36" s="1"/>
      <c r="V36" s="1" t="s">
        <v>267</v>
      </c>
      <c r="W36" s="1" t="s">
        <v>309</v>
      </c>
    </row>
    <row r="37" spans="1:23" x14ac:dyDescent="0.25">
      <c r="A37" s="6" t="s">
        <v>68</v>
      </c>
      <c r="B37" s="8" t="s">
        <v>57</v>
      </c>
      <c r="C37" s="6" t="s">
        <v>111</v>
      </c>
      <c r="D37" s="8" t="s">
        <v>217</v>
      </c>
      <c r="E37" s="8" t="s">
        <v>48</v>
      </c>
      <c r="F37" s="8" t="s">
        <v>216</v>
      </c>
      <c r="G37" s="6" t="s">
        <v>6</v>
      </c>
      <c r="H37" s="8" t="s">
        <v>218</v>
      </c>
      <c r="I37" s="136">
        <v>46203</v>
      </c>
      <c r="J37" s="6" t="s">
        <v>266</v>
      </c>
      <c r="K37" s="6"/>
      <c r="L37" s="6"/>
      <c r="M37" s="6" t="s">
        <v>267</v>
      </c>
      <c r="N37" s="6"/>
      <c r="O37" s="6" t="s">
        <v>341</v>
      </c>
      <c r="Q37" s="45">
        <v>46149</v>
      </c>
      <c r="R37" s="6" t="s">
        <v>218</v>
      </c>
      <c r="S37" s="6"/>
      <c r="T37" s="6"/>
      <c r="U37" s="6"/>
      <c r="V37" s="6" t="s">
        <v>267</v>
      </c>
      <c r="W37" s="6" t="s">
        <v>309</v>
      </c>
    </row>
    <row r="38" spans="1:23" x14ac:dyDescent="0.25">
      <c r="A38" s="7" t="s">
        <v>68</v>
      </c>
      <c r="B38" s="9" t="s">
        <v>57</v>
      </c>
      <c r="C38" s="13" t="s">
        <v>114</v>
      </c>
      <c r="D38" s="9" t="s">
        <v>208</v>
      </c>
      <c r="E38" s="9" t="s">
        <v>51</v>
      </c>
      <c r="F38" s="9" t="s">
        <v>209</v>
      </c>
      <c r="G38" s="7" t="s">
        <v>5</v>
      </c>
      <c r="H38" s="9" t="s">
        <v>218</v>
      </c>
      <c r="I38" s="137">
        <v>46203</v>
      </c>
      <c r="J38" s="1" t="s">
        <v>273</v>
      </c>
      <c r="K38" s="1"/>
      <c r="L38" s="1"/>
      <c r="M38" s="1"/>
      <c r="N38" s="1" t="s">
        <v>267</v>
      </c>
      <c r="O38" s="1" t="s">
        <v>341</v>
      </c>
      <c r="Q38" s="46">
        <v>46149</v>
      </c>
      <c r="R38" s="1" t="s">
        <v>218</v>
      </c>
      <c r="S38" s="1"/>
      <c r="T38" s="1"/>
      <c r="U38" s="1"/>
      <c r="V38" s="1" t="s">
        <v>267</v>
      </c>
      <c r="W38" s="1" t="s">
        <v>309</v>
      </c>
    </row>
    <row r="39" spans="1:23" x14ac:dyDescent="0.25">
      <c r="A39" s="6" t="s">
        <v>68</v>
      </c>
      <c r="B39" s="8" t="s">
        <v>57</v>
      </c>
      <c r="C39" s="6" t="s">
        <v>118</v>
      </c>
      <c r="D39" s="8" t="s">
        <v>217</v>
      </c>
      <c r="E39" s="8" t="s">
        <v>48</v>
      </c>
      <c r="F39" s="8" t="s">
        <v>216</v>
      </c>
      <c r="G39" s="6" t="s">
        <v>6</v>
      </c>
      <c r="H39" s="8" t="s">
        <v>210</v>
      </c>
      <c r="I39" s="136">
        <v>46203</v>
      </c>
      <c r="J39" s="6" t="s">
        <v>266</v>
      </c>
      <c r="K39" s="6"/>
      <c r="L39" s="6"/>
      <c r="M39" s="6" t="s">
        <v>267</v>
      </c>
      <c r="N39" s="6"/>
      <c r="O39" s="6" t="s">
        <v>341</v>
      </c>
      <c r="Q39" s="45">
        <v>46149</v>
      </c>
      <c r="R39" s="6" t="s">
        <v>210</v>
      </c>
      <c r="S39" s="6"/>
      <c r="T39" s="6"/>
      <c r="U39" s="6" t="s">
        <v>267</v>
      </c>
      <c r="V39" s="6"/>
      <c r="W39" s="6" t="s">
        <v>268</v>
      </c>
    </row>
    <row r="40" spans="1:23" x14ac:dyDescent="0.25">
      <c r="A40" s="7" t="s">
        <v>68</v>
      </c>
      <c r="B40" s="9" t="s">
        <v>57</v>
      </c>
      <c r="C40" s="13" t="s">
        <v>178</v>
      </c>
      <c r="D40" s="9" t="s">
        <v>217</v>
      </c>
      <c r="E40" s="9" t="s">
        <v>48</v>
      </c>
      <c r="F40" s="9" t="s">
        <v>216</v>
      </c>
      <c r="G40" s="7" t="s">
        <v>5</v>
      </c>
      <c r="H40" s="9" t="s">
        <v>218</v>
      </c>
      <c r="I40" s="137"/>
      <c r="J40" s="1"/>
      <c r="K40" s="1"/>
      <c r="L40" s="1"/>
      <c r="M40" s="1"/>
      <c r="N40" s="1"/>
      <c r="O40" s="1"/>
      <c r="Q40" s="46"/>
      <c r="R40" s="1"/>
      <c r="S40" s="1"/>
      <c r="T40" s="1"/>
      <c r="U40" s="1"/>
      <c r="V40" s="1"/>
      <c r="W40" s="1"/>
    </row>
    <row r="41" spans="1:23" x14ac:dyDescent="0.25">
      <c r="A41" s="6" t="s">
        <v>68</v>
      </c>
      <c r="B41" s="8" t="s">
        <v>57</v>
      </c>
      <c r="C41" s="6" t="s">
        <v>179</v>
      </c>
      <c r="D41" s="8" t="s">
        <v>217</v>
      </c>
      <c r="E41" s="8" t="s">
        <v>48</v>
      </c>
      <c r="F41" s="8" t="s">
        <v>216</v>
      </c>
      <c r="G41" s="6" t="s">
        <v>5</v>
      </c>
      <c r="H41" s="8" t="s">
        <v>218</v>
      </c>
      <c r="I41" s="136"/>
      <c r="J41" s="6"/>
      <c r="K41" s="6"/>
      <c r="L41" s="6"/>
      <c r="M41" s="6"/>
      <c r="N41" s="6"/>
      <c r="O41" s="6"/>
      <c r="Q41" s="45"/>
      <c r="R41" s="6"/>
      <c r="S41" s="6"/>
      <c r="T41" s="6"/>
      <c r="U41" s="6"/>
      <c r="V41" s="6"/>
      <c r="W41" s="6"/>
    </row>
    <row r="42" spans="1:23" x14ac:dyDescent="0.25">
      <c r="A42" s="7" t="s">
        <v>68</v>
      </c>
      <c r="B42" s="9" t="s">
        <v>57</v>
      </c>
      <c r="C42" s="13" t="s">
        <v>176</v>
      </c>
      <c r="D42" s="9" t="s">
        <v>221</v>
      </c>
      <c r="E42" s="9" t="s">
        <v>76</v>
      </c>
      <c r="F42" s="9" t="s">
        <v>222</v>
      </c>
      <c r="G42" s="7" t="s">
        <v>5</v>
      </c>
      <c r="H42" s="9" t="s">
        <v>218</v>
      </c>
      <c r="I42" s="137">
        <v>46203</v>
      </c>
      <c r="J42" s="1" t="s">
        <v>273</v>
      </c>
      <c r="K42" s="1"/>
      <c r="L42" s="1"/>
      <c r="M42" s="1"/>
      <c r="N42" s="1" t="s">
        <v>267</v>
      </c>
      <c r="O42" s="1" t="s">
        <v>341</v>
      </c>
      <c r="Q42" s="46">
        <v>46149</v>
      </c>
      <c r="R42" s="1" t="s">
        <v>210</v>
      </c>
      <c r="S42" s="1"/>
      <c r="T42" s="1"/>
      <c r="U42" s="1"/>
      <c r="V42" s="1" t="s">
        <v>267</v>
      </c>
      <c r="W42" s="1" t="s">
        <v>268</v>
      </c>
    </row>
    <row r="43" spans="1:23" x14ac:dyDescent="0.25">
      <c r="A43" s="6" t="s">
        <v>68</v>
      </c>
      <c r="B43" s="8" t="s">
        <v>57</v>
      </c>
      <c r="C43" s="6" t="s">
        <v>105</v>
      </c>
      <c r="D43" s="8" t="s">
        <v>217</v>
      </c>
      <c r="E43" s="8" t="s">
        <v>48</v>
      </c>
      <c r="F43" s="8" t="s">
        <v>216</v>
      </c>
      <c r="G43" s="6" t="s">
        <v>6</v>
      </c>
      <c r="H43" s="8" t="s">
        <v>218</v>
      </c>
      <c r="I43" s="136">
        <v>46203</v>
      </c>
      <c r="J43" s="6" t="s">
        <v>266</v>
      </c>
      <c r="K43" s="6" t="s">
        <v>267</v>
      </c>
      <c r="L43" s="6"/>
      <c r="M43" s="6"/>
      <c r="N43" s="6"/>
      <c r="O43" s="6" t="s">
        <v>341</v>
      </c>
      <c r="Q43" s="45">
        <v>46149</v>
      </c>
      <c r="R43" s="6" t="s">
        <v>218</v>
      </c>
      <c r="S43" s="6"/>
      <c r="T43" s="6"/>
      <c r="U43" s="6"/>
      <c r="V43" s="6" t="s">
        <v>267</v>
      </c>
      <c r="W43" s="6" t="s">
        <v>309</v>
      </c>
    </row>
    <row r="44" spans="1:23" x14ac:dyDescent="0.25">
      <c r="A44" s="7" t="s">
        <v>68</v>
      </c>
      <c r="B44" s="9" t="s">
        <v>57</v>
      </c>
      <c r="C44" s="13" t="s">
        <v>177</v>
      </c>
      <c r="D44" s="9" t="s">
        <v>221</v>
      </c>
      <c r="E44" s="9" t="s">
        <v>76</v>
      </c>
      <c r="F44" s="9" t="s">
        <v>222</v>
      </c>
      <c r="G44" s="7" t="s">
        <v>5</v>
      </c>
      <c r="H44" s="9" t="s">
        <v>210</v>
      </c>
      <c r="I44" s="137">
        <v>46203</v>
      </c>
      <c r="J44" s="1" t="s">
        <v>266</v>
      </c>
      <c r="K44" s="1"/>
      <c r="L44" s="1"/>
      <c r="M44" s="1"/>
      <c r="N44" s="1" t="s">
        <v>267</v>
      </c>
      <c r="O44" s="1" t="s">
        <v>341</v>
      </c>
      <c r="Q44" s="46">
        <v>46149</v>
      </c>
      <c r="R44" s="1" t="s">
        <v>210</v>
      </c>
      <c r="S44" s="1"/>
      <c r="T44" s="1"/>
      <c r="U44" s="1" t="s">
        <v>267</v>
      </c>
      <c r="V44" s="1"/>
      <c r="W44" s="1" t="s">
        <v>309</v>
      </c>
    </row>
    <row r="45" spans="1:23" x14ac:dyDescent="0.25">
      <c r="A45" s="6" t="s">
        <v>68</v>
      </c>
      <c r="B45" s="8" t="s">
        <v>392</v>
      </c>
      <c r="C45" s="6" t="s">
        <v>156</v>
      </c>
      <c r="D45" s="8" t="s">
        <v>225</v>
      </c>
      <c r="E45" s="8" t="s">
        <v>51</v>
      </c>
      <c r="F45" s="8" t="s">
        <v>209</v>
      </c>
      <c r="G45" s="6" t="s">
        <v>5</v>
      </c>
      <c r="H45" s="8" t="s">
        <v>218</v>
      </c>
      <c r="I45" s="136">
        <v>46203</v>
      </c>
      <c r="J45" s="6" t="s">
        <v>266</v>
      </c>
      <c r="K45" s="6"/>
      <c r="L45" s="6" t="s">
        <v>267</v>
      </c>
      <c r="M45" s="6"/>
      <c r="N45" s="6"/>
      <c r="O45" s="6" t="s">
        <v>341</v>
      </c>
      <c r="Q45" s="45">
        <v>46149</v>
      </c>
      <c r="R45" s="6" t="s">
        <v>218</v>
      </c>
      <c r="S45" s="6"/>
      <c r="T45" s="6"/>
      <c r="U45" s="6"/>
      <c r="V45" s="6" t="s">
        <v>267</v>
      </c>
      <c r="W45" s="6" t="s">
        <v>309</v>
      </c>
    </row>
    <row r="46" spans="1:23" x14ac:dyDescent="0.25">
      <c r="A46" s="7" t="s">
        <v>68</v>
      </c>
      <c r="B46" s="9" t="s">
        <v>393</v>
      </c>
      <c r="C46" s="13" t="s">
        <v>153</v>
      </c>
      <c r="D46" s="9" t="s">
        <v>208</v>
      </c>
      <c r="E46" s="9" t="s">
        <v>51</v>
      </c>
      <c r="F46" s="9" t="s">
        <v>209</v>
      </c>
      <c r="G46" s="7" t="s">
        <v>5</v>
      </c>
      <c r="H46" s="9" t="s">
        <v>218</v>
      </c>
      <c r="I46" s="137"/>
      <c r="J46" s="1"/>
      <c r="K46" s="1"/>
      <c r="L46" s="1"/>
      <c r="M46" s="1"/>
      <c r="N46" s="1"/>
      <c r="O46" s="1"/>
      <c r="Q46" s="46">
        <v>46149</v>
      </c>
      <c r="R46" s="1" t="s">
        <v>218</v>
      </c>
      <c r="S46" s="1"/>
      <c r="T46" s="1"/>
      <c r="U46" s="1"/>
      <c r="V46" s="1" t="s">
        <v>267</v>
      </c>
      <c r="W46" s="1" t="s">
        <v>309</v>
      </c>
    </row>
    <row r="47" spans="1:23" x14ac:dyDescent="0.25">
      <c r="A47" s="6" t="s">
        <v>68</v>
      </c>
      <c r="B47" s="8" t="s">
        <v>394</v>
      </c>
      <c r="C47" s="6" t="s">
        <v>159</v>
      </c>
      <c r="D47" s="8" t="s">
        <v>208</v>
      </c>
      <c r="E47" s="8" t="s">
        <v>51</v>
      </c>
      <c r="F47" s="8" t="s">
        <v>209</v>
      </c>
      <c r="G47" s="6" t="s">
        <v>5</v>
      </c>
      <c r="H47" s="8" t="s">
        <v>210</v>
      </c>
      <c r="I47" s="136">
        <v>46203</v>
      </c>
      <c r="J47" s="6" t="s">
        <v>266</v>
      </c>
      <c r="K47" s="6"/>
      <c r="L47" s="6"/>
      <c r="M47" s="6" t="s">
        <v>267</v>
      </c>
      <c r="N47" s="6"/>
      <c r="O47" s="6" t="s">
        <v>341</v>
      </c>
      <c r="Q47" s="45">
        <v>46149</v>
      </c>
      <c r="R47" s="6" t="s">
        <v>210</v>
      </c>
      <c r="S47" s="6"/>
      <c r="T47" s="6"/>
      <c r="U47" s="6"/>
      <c r="V47" s="6" t="s">
        <v>267</v>
      </c>
      <c r="W47" s="6" t="s">
        <v>268</v>
      </c>
    </row>
    <row r="48" spans="1:23" x14ac:dyDescent="0.25">
      <c r="A48" s="7" t="s">
        <v>68</v>
      </c>
      <c r="B48" s="9" t="s">
        <v>395</v>
      </c>
      <c r="C48" s="13" t="s">
        <v>75</v>
      </c>
      <c r="D48" s="9" t="s">
        <v>208</v>
      </c>
      <c r="E48" s="9" t="s">
        <v>51</v>
      </c>
      <c r="F48" s="9" t="s">
        <v>209</v>
      </c>
      <c r="G48" s="7" t="s">
        <v>5</v>
      </c>
      <c r="H48" s="9" t="s">
        <v>210</v>
      </c>
      <c r="I48" s="137">
        <v>46203</v>
      </c>
      <c r="J48" s="1" t="s">
        <v>266</v>
      </c>
      <c r="K48" s="1"/>
      <c r="L48" s="1"/>
      <c r="M48" s="1" t="s">
        <v>267</v>
      </c>
      <c r="N48" s="1"/>
      <c r="O48" s="1" t="s">
        <v>341</v>
      </c>
      <c r="Q48" s="46">
        <v>46149</v>
      </c>
      <c r="R48" s="1" t="s">
        <v>210</v>
      </c>
      <c r="S48" s="1"/>
      <c r="T48" s="1"/>
      <c r="U48" s="1" t="s">
        <v>267</v>
      </c>
      <c r="V48" s="1"/>
      <c r="W48" s="1" t="s">
        <v>309</v>
      </c>
    </row>
    <row r="49" spans="1:15" x14ac:dyDescent="0.25">
      <c r="A49" s="6"/>
      <c r="B49" s="8"/>
      <c r="C49" s="6"/>
      <c r="D49" s="8"/>
      <c r="E49" s="8"/>
      <c r="F49" s="8"/>
      <c r="G49" s="6"/>
      <c r="H49" s="8"/>
      <c r="I49" s="45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9E7D34AB-9678-46C5-9399-5B24CFD56022}">
    <sortState xmlns:xlrd2="http://schemas.microsoft.com/office/spreadsheetml/2017/richdata2" ref="A7:O48">
      <sortCondition ref="A6:A48"/>
    </sortState>
  </autoFilter>
  <sortState xmlns:xlrd2="http://schemas.microsoft.com/office/spreadsheetml/2017/richdata2" ref="A7:O48">
    <sortCondition ref="C6:C48"/>
  </sortState>
  <mergeCells count="19">
    <mergeCell ref="S5:V5"/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M3:N3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1279-9FD0-4B08-8883-C674F0CE31F1}">
  <sheetPr codeName="Planilha9">
    <tabColor rgb="FF92D050"/>
    <pageSetUpPr fitToPage="1"/>
  </sheetPr>
  <dimension ref="A1:O130"/>
  <sheetViews>
    <sheetView showGridLines="0" view="pageBreakPreview" zoomScale="60" zoomScaleNormal="70" workbookViewId="0">
      <selection activeCell="C24" sqref="C24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396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4" t="s">
        <v>174</v>
      </c>
      <c r="B7" s="18" t="s">
        <v>397</v>
      </c>
      <c r="C7" s="14" t="s">
        <v>55</v>
      </c>
      <c r="D7" s="18" t="s">
        <v>225</v>
      </c>
      <c r="E7" s="18" t="s">
        <v>51</v>
      </c>
      <c r="F7" s="18" t="s">
        <v>209</v>
      </c>
      <c r="G7" s="14" t="s">
        <v>5</v>
      </c>
      <c r="H7" s="14" t="s">
        <v>210</v>
      </c>
      <c r="I7" s="43"/>
      <c r="J7" s="44"/>
      <c r="K7" s="44"/>
      <c r="L7" s="44"/>
      <c r="M7" s="44"/>
      <c r="N7" s="44"/>
      <c r="O7" s="44"/>
    </row>
    <row r="8" spans="1:15" x14ac:dyDescent="0.25">
      <c r="A8" s="7" t="s">
        <v>174</v>
      </c>
      <c r="B8" s="9" t="s">
        <v>398</v>
      </c>
      <c r="C8" s="13" t="s">
        <v>84</v>
      </c>
      <c r="D8" s="9" t="s">
        <v>225</v>
      </c>
      <c r="E8" s="9" t="s">
        <v>51</v>
      </c>
      <c r="F8" s="9" t="s">
        <v>209</v>
      </c>
      <c r="G8" s="7" t="s">
        <v>5</v>
      </c>
      <c r="H8" s="7" t="s">
        <v>210</v>
      </c>
      <c r="I8" s="41"/>
      <c r="J8" s="1"/>
      <c r="K8" s="1"/>
      <c r="L8" s="1"/>
      <c r="M8" s="1"/>
      <c r="N8" s="1"/>
      <c r="O8" s="1"/>
    </row>
    <row r="9" spans="1:15" x14ac:dyDescent="0.25">
      <c r="A9" s="14" t="s">
        <v>174</v>
      </c>
      <c r="B9" s="18" t="s">
        <v>399</v>
      </c>
      <c r="C9" s="14" t="s">
        <v>67</v>
      </c>
      <c r="D9" s="18" t="s">
        <v>225</v>
      </c>
      <c r="E9" s="18" t="s">
        <v>51</v>
      </c>
      <c r="F9" s="18" t="s">
        <v>209</v>
      </c>
      <c r="G9" s="14" t="s">
        <v>5</v>
      </c>
      <c r="H9" s="14" t="s">
        <v>210</v>
      </c>
      <c r="I9" s="43"/>
      <c r="J9" s="44"/>
      <c r="K9" s="44"/>
      <c r="L9" s="44"/>
      <c r="M9" s="44"/>
      <c r="N9" s="44"/>
      <c r="O9" s="44"/>
    </row>
    <row r="10" spans="1:15" x14ac:dyDescent="0.25">
      <c r="A10" s="7" t="s">
        <v>174</v>
      </c>
      <c r="B10" s="9" t="s">
        <v>400</v>
      </c>
      <c r="C10" s="13" t="s">
        <v>71</v>
      </c>
      <c r="D10" s="9" t="s">
        <v>225</v>
      </c>
      <c r="E10" s="9" t="s">
        <v>51</v>
      </c>
      <c r="F10" s="9" t="s">
        <v>209</v>
      </c>
      <c r="G10" s="7" t="s">
        <v>5</v>
      </c>
      <c r="H10" s="7" t="s">
        <v>210</v>
      </c>
      <c r="I10" s="41"/>
      <c r="J10" s="1"/>
      <c r="K10" s="1"/>
      <c r="L10" s="1"/>
      <c r="M10" s="1"/>
      <c r="N10" s="1"/>
      <c r="O10" s="1"/>
    </row>
    <row r="11" spans="1:15" x14ac:dyDescent="0.25">
      <c r="A11" s="14" t="s">
        <v>174</v>
      </c>
      <c r="B11" s="18" t="s">
        <v>401</v>
      </c>
      <c r="C11" s="14" t="s">
        <v>59</v>
      </c>
      <c r="D11" s="18" t="s">
        <v>215</v>
      </c>
      <c r="E11" s="18" t="s">
        <v>48</v>
      </c>
      <c r="F11" s="18" t="s">
        <v>216</v>
      </c>
      <c r="G11" s="14" t="s">
        <v>5</v>
      </c>
      <c r="H11" s="14" t="s">
        <v>210</v>
      </c>
      <c r="I11" s="43"/>
      <c r="J11" s="44"/>
      <c r="K11" s="44"/>
      <c r="L11" s="44"/>
      <c r="M11" s="44"/>
      <c r="N11" s="44"/>
      <c r="O11" s="44"/>
    </row>
    <row r="12" spans="1:15" x14ac:dyDescent="0.25">
      <c r="A12" s="7" t="s">
        <v>174</v>
      </c>
      <c r="B12" s="9" t="s">
        <v>57</v>
      </c>
      <c r="C12" s="13" t="s">
        <v>47</v>
      </c>
      <c r="D12" s="9" t="s">
        <v>402</v>
      </c>
      <c r="E12" s="9" t="s">
        <v>48</v>
      </c>
      <c r="F12" s="9" t="s">
        <v>216</v>
      </c>
      <c r="G12" s="7" t="s">
        <v>6</v>
      </c>
      <c r="H12" s="7" t="s">
        <v>218</v>
      </c>
      <c r="I12" s="41"/>
      <c r="J12" s="1"/>
      <c r="K12" s="1"/>
      <c r="L12" s="1"/>
      <c r="M12" s="1"/>
      <c r="N12" s="1"/>
      <c r="O12" s="1"/>
    </row>
    <row r="13" spans="1:15" x14ac:dyDescent="0.25">
      <c r="A13" s="14" t="s">
        <v>174</v>
      </c>
      <c r="B13" s="18" t="s">
        <v>57</v>
      </c>
      <c r="C13" s="14" t="s">
        <v>56</v>
      </c>
      <c r="D13" s="18" t="s">
        <v>215</v>
      </c>
      <c r="E13" s="18" t="s">
        <v>54</v>
      </c>
      <c r="F13" s="18" t="s">
        <v>219</v>
      </c>
      <c r="G13" s="14" t="s">
        <v>6</v>
      </c>
      <c r="H13" s="14" t="s">
        <v>218</v>
      </c>
      <c r="I13" s="43"/>
      <c r="J13" s="44"/>
      <c r="K13" s="44"/>
      <c r="L13" s="44"/>
      <c r="M13" s="44"/>
      <c r="N13" s="44"/>
      <c r="O13" s="44"/>
    </row>
    <row r="14" spans="1:15" x14ac:dyDescent="0.25">
      <c r="A14" s="7" t="s">
        <v>174</v>
      </c>
      <c r="B14" s="9" t="s">
        <v>57</v>
      </c>
      <c r="C14" s="13" t="s">
        <v>53</v>
      </c>
      <c r="D14" s="9" t="s">
        <v>402</v>
      </c>
      <c r="E14" s="9" t="s">
        <v>54</v>
      </c>
      <c r="F14" s="9" t="s">
        <v>219</v>
      </c>
      <c r="G14" s="7" t="s">
        <v>6</v>
      </c>
      <c r="H14" s="7" t="s">
        <v>210</v>
      </c>
      <c r="I14" s="41"/>
      <c r="J14" s="1"/>
      <c r="K14" s="1"/>
      <c r="L14" s="1"/>
      <c r="M14" s="1"/>
      <c r="N14" s="1"/>
      <c r="O14" s="1"/>
    </row>
    <row r="15" spans="1:15" x14ac:dyDescent="0.25">
      <c r="A15" s="14" t="s">
        <v>174</v>
      </c>
      <c r="B15" s="18" t="s">
        <v>57</v>
      </c>
      <c r="C15" s="14" t="s">
        <v>58</v>
      </c>
      <c r="D15" s="18" t="s">
        <v>215</v>
      </c>
      <c r="E15" s="18" t="s">
        <v>54</v>
      </c>
      <c r="F15" s="18" t="s">
        <v>219</v>
      </c>
      <c r="G15" s="14" t="s">
        <v>6</v>
      </c>
      <c r="H15" s="14" t="s">
        <v>218</v>
      </c>
      <c r="I15" s="43"/>
      <c r="J15" s="44"/>
      <c r="K15" s="44"/>
      <c r="L15" s="44"/>
      <c r="M15" s="44"/>
      <c r="N15" s="44"/>
      <c r="O15" s="44"/>
    </row>
    <row r="16" spans="1:15" x14ac:dyDescent="0.25">
      <c r="A16" s="7" t="s">
        <v>174</v>
      </c>
      <c r="B16" s="9" t="s">
        <v>403</v>
      </c>
      <c r="C16" s="13" t="s">
        <v>175</v>
      </c>
      <c r="D16" s="9" t="s">
        <v>221</v>
      </c>
      <c r="E16" s="9" t="s">
        <v>76</v>
      </c>
      <c r="F16" s="9" t="s">
        <v>222</v>
      </c>
      <c r="G16" s="7" t="s">
        <v>5</v>
      </c>
      <c r="H16" s="7" t="s">
        <v>210</v>
      </c>
      <c r="I16" s="41"/>
      <c r="J16" s="1"/>
      <c r="K16" s="1"/>
      <c r="L16" s="1"/>
      <c r="M16" s="1"/>
      <c r="N16" s="1"/>
      <c r="O16" s="1"/>
    </row>
    <row r="17" spans="1:15" x14ac:dyDescent="0.25">
      <c r="A17" s="14" t="s">
        <v>174</v>
      </c>
      <c r="B17" s="18" t="s">
        <v>404</v>
      </c>
      <c r="C17" s="14" t="s">
        <v>72</v>
      </c>
      <c r="D17" s="18" t="s">
        <v>221</v>
      </c>
      <c r="E17" s="18" t="s">
        <v>76</v>
      </c>
      <c r="F17" s="18" t="s">
        <v>222</v>
      </c>
      <c r="G17" s="14" t="s">
        <v>5</v>
      </c>
      <c r="H17" s="14" t="s">
        <v>210</v>
      </c>
      <c r="I17" s="43"/>
      <c r="J17" s="44"/>
      <c r="K17" s="44"/>
      <c r="L17" s="44"/>
      <c r="M17" s="44"/>
      <c r="N17" s="44"/>
      <c r="O17" s="44"/>
    </row>
    <row r="18" spans="1:15" x14ac:dyDescent="0.25">
      <c r="A18" s="7" t="s">
        <v>68</v>
      </c>
      <c r="B18" s="9" t="s">
        <v>405</v>
      </c>
      <c r="C18" s="13" t="s">
        <v>125</v>
      </c>
      <c r="D18" s="9" t="s">
        <v>225</v>
      </c>
      <c r="E18" s="9" t="s">
        <v>51</v>
      </c>
      <c r="F18" s="9" t="s">
        <v>209</v>
      </c>
      <c r="G18" s="7" t="s">
        <v>5</v>
      </c>
      <c r="H18" s="7" t="s">
        <v>218</v>
      </c>
      <c r="I18" s="41"/>
      <c r="J18" s="1"/>
      <c r="K18" s="1"/>
      <c r="L18" s="1"/>
      <c r="M18" s="1"/>
      <c r="N18" s="1"/>
      <c r="O18" s="1"/>
    </row>
    <row r="19" spans="1:15" x14ac:dyDescent="0.25">
      <c r="A19" s="14" t="s">
        <v>68</v>
      </c>
      <c r="B19" s="18" t="s">
        <v>406</v>
      </c>
      <c r="C19" s="14" t="s">
        <v>158</v>
      </c>
      <c r="D19" s="18" t="s">
        <v>225</v>
      </c>
      <c r="E19" s="18" t="s">
        <v>51</v>
      </c>
      <c r="F19" s="18" t="s">
        <v>209</v>
      </c>
      <c r="G19" s="14" t="s">
        <v>5</v>
      </c>
      <c r="H19" s="14" t="s">
        <v>210</v>
      </c>
      <c r="I19" s="43"/>
      <c r="J19" s="44"/>
      <c r="K19" s="44"/>
      <c r="L19" s="44"/>
      <c r="M19" s="44"/>
      <c r="N19" s="44"/>
      <c r="O19" s="44"/>
    </row>
    <row r="20" spans="1:15" x14ac:dyDescent="0.25">
      <c r="A20" s="7" t="s">
        <v>68</v>
      </c>
      <c r="B20" s="9" t="s">
        <v>407</v>
      </c>
      <c r="C20" s="13" t="s">
        <v>106</v>
      </c>
      <c r="D20" s="9" t="s">
        <v>225</v>
      </c>
      <c r="E20" s="9" t="s">
        <v>51</v>
      </c>
      <c r="F20" s="9" t="s">
        <v>209</v>
      </c>
      <c r="G20" s="7" t="s">
        <v>5</v>
      </c>
      <c r="H20" s="7" t="s">
        <v>218</v>
      </c>
      <c r="I20" s="41"/>
      <c r="J20" s="1"/>
      <c r="K20" s="1"/>
      <c r="L20" s="1"/>
      <c r="M20" s="1"/>
      <c r="N20" s="1"/>
      <c r="O20" s="1"/>
    </row>
    <row r="21" spans="1:15" x14ac:dyDescent="0.25">
      <c r="A21" s="14" t="s">
        <v>68</v>
      </c>
      <c r="B21" s="18" t="s">
        <v>408</v>
      </c>
      <c r="C21" s="14" t="s">
        <v>115</v>
      </c>
      <c r="D21" s="18" t="s">
        <v>229</v>
      </c>
      <c r="E21" s="18" t="s">
        <v>80</v>
      </c>
      <c r="F21" s="18" t="s">
        <v>230</v>
      </c>
      <c r="G21" s="14" t="s">
        <v>5</v>
      </c>
      <c r="H21" s="14" t="s">
        <v>218</v>
      </c>
      <c r="I21" s="43"/>
      <c r="J21" s="44"/>
      <c r="K21" s="44"/>
      <c r="L21" s="44"/>
      <c r="M21" s="44"/>
      <c r="N21" s="44"/>
      <c r="O21" s="44"/>
    </row>
    <row r="22" spans="1:15" x14ac:dyDescent="0.25">
      <c r="A22" s="7" t="s">
        <v>68</v>
      </c>
      <c r="B22" s="9" t="s">
        <v>409</v>
      </c>
      <c r="C22" s="13" t="s">
        <v>147</v>
      </c>
      <c r="D22" s="9" t="s">
        <v>229</v>
      </c>
      <c r="E22" s="9" t="s">
        <v>80</v>
      </c>
      <c r="F22" s="9" t="s">
        <v>230</v>
      </c>
      <c r="G22" s="7" t="s">
        <v>5</v>
      </c>
      <c r="H22" s="7" t="s">
        <v>210</v>
      </c>
      <c r="I22" s="41"/>
      <c r="J22" s="1"/>
      <c r="K22" s="1"/>
      <c r="L22" s="1"/>
      <c r="M22" s="1"/>
      <c r="N22" s="1"/>
      <c r="O22" s="1"/>
    </row>
    <row r="23" spans="1:15" x14ac:dyDescent="0.25">
      <c r="A23" s="14" t="s">
        <v>68</v>
      </c>
      <c r="B23" s="18" t="s">
        <v>410</v>
      </c>
      <c r="C23" s="14" t="s">
        <v>103</v>
      </c>
      <c r="D23" s="18" t="s">
        <v>229</v>
      </c>
      <c r="E23" s="18" t="s">
        <v>80</v>
      </c>
      <c r="F23" s="18" t="s">
        <v>230</v>
      </c>
      <c r="G23" s="14" t="s">
        <v>5</v>
      </c>
      <c r="H23" s="14" t="s">
        <v>218</v>
      </c>
      <c r="I23" s="43"/>
      <c r="J23" s="44"/>
      <c r="K23" s="44"/>
      <c r="L23" s="44"/>
      <c r="M23" s="44"/>
      <c r="N23" s="44"/>
      <c r="O23" s="44"/>
    </row>
    <row r="24" spans="1:15" x14ac:dyDescent="0.25">
      <c r="A24" s="7" t="s">
        <v>68</v>
      </c>
      <c r="B24" s="9" t="s">
        <v>411</v>
      </c>
      <c r="C24" s="13" t="s">
        <v>119</v>
      </c>
      <c r="D24" s="9" t="s">
        <v>225</v>
      </c>
      <c r="E24" s="9" t="s">
        <v>51</v>
      </c>
      <c r="F24" s="9" t="s">
        <v>209</v>
      </c>
      <c r="G24" s="7" t="s">
        <v>5</v>
      </c>
      <c r="H24" s="7" t="s">
        <v>218</v>
      </c>
      <c r="I24" s="41"/>
      <c r="J24" s="1"/>
      <c r="K24" s="1"/>
      <c r="L24" s="1"/>
      <c r="M24" s="1"/>
      <c r="N24" s="1"/>
      <c r="O24" s="1"/>
    </row>
    <row r="25" spans="1:15" x14ac:dyDescent="0.25">
      <c r="A25" s="14" t="s">
        <v>68</v>
      </c>
      <c r="B25" s="18" t="s">
        <v>412</v>
      </c>
      <c r="C25" s="14" t="s">
        <v>150</v>
      </c>
      <c r="D25" s="18" t="s">
        <v>225</v>
      </c>
      <c r="E25" s="18" t="s">
        <v>51</v>
      </c>
      <c r="F25" s="18" t="s">
        <v>209</v>
      </c>
      <c r="G25" s="14" t="s">
        <v>5</v>
      </c>
      <c r="H25" s="14" t="s">
        <v>210</v>
      </c>
      <c r="I25" s="43"/>
      <c r="J25" s="44"/>
      <c r="K25" s="44"/>
      <c r="L25" s="44"/>
      <c r="M25" s="44"/>
      <c r="N25" s="44"/>
      <c r="O25" s="44"/>
    </row>
    <row r="26" spans="1:15" x14ac:dyDescent="0.25">
      <c r="A26" s="7" t="s">
        <v>68</v>
      </c>
      <c r="B26" s="9" t="s">
        <v>413</v>
      </c>
      <c r="C26" s="13" t="s">
        <v>85</v>
      </c>
      <c r="D26" s="9" t="s">
        <v>225</v>
      </c>
      <c r="E26" s="9" t="s">
        <v>51</v>
      </c>
      <c r="F26" s="9" t="s">
        <v>209</v>
      </c>
      <c r="G26" s="7" t="s">
        <v>5</v>
      </c>
      <c r="H26" s="7" t="s">
        <v>218</v>
      </c>
      <c r="I26" s="41"/>
      <c r="J26" s="1"/>
      <c r="K26" s="1"/>
      <c r="L26" s="1"/>
      <c r="M26" s="1"/>
      <c r="N26" s="1"/>
      <c r="O26" s="1"/>
    </row>
    <row r="27" spans="1:15" x14ac:dyDescent="0.25">
      <c r="A27" s="14" t="s">
        <v>68</v>
      </c>
      <c r="B27" s="18" t="s">
        <v>414</v>
      </c>
      <c r="C27" s="14" t="s">
        <v>122</v>
      </c>
      <c r="D27" s="18" t="s">
        <v>225</v>
      </c>
      <c r="E27" s="18" t="s">
        <v>51</v>
      </c>
      <c r="F27" s="18" t="s">
        <v>209</v>
      </c>
      <c r="G27" s="14" t="s">
        <v>5</v>
      </c>
      <c r="H27" s="14" t="s">
        <v>218</v>
      </c>
      <c r="I27" s="43"/>
      <c r="J27" s="44"/>
      <c r="K27" s="44"/>
      <c r="L27" s="44"/>
      <c r="M27" s="44"/>
      <c r="N27" s="44"/>
      <c r="O27" s="44"/>
    </row>
    <row r="28" spans="1:15" x14ac:dyDescent="0.25">
      <c r="A28" s="7" t="s">
        <v>68</v>
      </c>
      <c r="B28" s="9" t="s">
        <v>415</v>
      </c>
      <c r="C28" s="13" t="s">
        <v>155</v>
      </c>
      <c r="D28" s="9" t="s">
        <v>225</v>
      </c>
      <c r="E28" s="9" t="s">
        <v>51</v>
      </c>
      <c r="F28" s="9" t="s">
        <v>209</v>
      </c>
      <c r="G28" s="7" t="s">
        <v>5</v>
      </c>
      <c r="H28" s="7" t="s">
        <v>210</v>
      </c>
      <c r="I28" s="41"/>
      <c r="J28" s="1"/>
      <c r="K28" s="1"/>
      <c r="L28" s="1"/>
      <c r="M28" s="1"/>
      <c r="N28" s="1"/>
      <c r="O28" s="1"/>
    </row>
    <row r="29" spans="1:15" x14ac:dyDescent="0.25">
      <c r="A29" s="14" t="s">
        <v>68</v>
      </c>
      <c r="B29" s="18" t="s">
        <v>416</v>
      </c>
      <c r="C29" s="14" t="s">
        <v>90</v>
      </c>
      <c r="D29" s="18" t="s">
        <v>225</v>
      </c>
      <c r="E29" s="18" t="s">
        <v>51</v>
      </c>
      <c r="F29" s="18" t="s">
        <v>209</v>
      </c>
      <c r="G29" s="14" t="s">
        <v>5</v>
      </c>
      <c r="H29" s="14" t="s">
        <v>218</v>
      </c>
      <c r="I29" s="43"/>
      <c r="J29" s="44"/>
      <c r="K29" s="44"/>
      <c r="L29" s="44"/>
      <c r="M29" s="44"/>
      <c r="N29" s="44"/>
      <c r="O29" s="44"/>
    </row>
    <row r="30" spans="1:15" x14ac:dyDescent="0.25">
      <c r="A30" s="7" t="s">
        <v>68</v>
      </c>
      <c r="B30" s="9" t="s">
        <v>417</v>
      </c>
      <c r="C30" s="13" t="s">
        <v>128</v>
      </c>
      <c r="D30" s="9" t="s">
        <v>240</v>
      </c>
      <c r="E30" s="9" t="s">
        <v>86</v>
      </c>
      <c r="F30" s="9" t="s">
        <v>241</v>
      </c>
      <c r="G30" s="7" t="s">
        <v>5</v>
      </c>
      <c r="H30" s="7" t="s">
        <v>218</v>
      </c>
      <c r="I30" s="41"/>
      <c r="J30" s="1"/>
      <c r="K30" s="1"/>
      <c r="L30" s="1"/>
      <c r="M30" s="1"/>
      <c r="N30" s="1"/>
      <c r="O30" s="1"/>
    </row>
    <row r="31" spans="1:15" x14ac:dyDescent="0.25">
      <c r="A31" s="14" t="s">
        <v>68</v>
      </c>
      <c r="B31" s="18" t="s">
        <v>418</v>
      </c>
      <c r="C31" s="14" t="s">
        <v>152</v>
      </c>
      <c r="D31" s="18" t="s">
        <v>240</v>
      </c>
      <c r="E31" s="18" t="s">
        <v>86</v>
      </c>
      <c r="F31" s="18" t="s">
        <v>241</v>
      </c>
      <c r="G31" s="14" t="s">
        <v>5</v>
      </c>
      <c r="H31" s="14" t="s">
        <v>210</v>
      </c>
      <c r="I31" s="43"/>
      <c r="J31" s="44"/>
      <c r="K31" s="44"/>
      <c r="L31" s="44"/>
      <c r="M31" s="44"/>
      <c r="N31" s="44"/>
      <c r="O31" s="44"/>
    </row>
    <row r="32" spans="1:15" x14ac:dyDescent="0.25">
      <c r="A32" s="7" t="s">
        <v>68</v>
      </c>
      <c r="B32" s="9" t="s">
        <v>419</v>
      </c>
      <c r="C32" s="13" t="s">
        <v>96</v>
      </c>
      <c r="D32" s="9" t="s">
        <v>240</v>
      </c>
      <c r="E32" s="9" t="s">
        <v>86</v>
      </c>
      <c r="F32" s="9" t="s">
        <v>241</v>
      </c>
      <c r="G32" s="7" t="s">
        <v>5</v>
      </c>
      <c r="H32" s="7" t="s">
        <v>218</v>
      </c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14" t="s">
        <v>68</v>
      </c>
      <c r="B33" s="18" t="s">
        <v>420</v>
      </c>
      <c r="C33" s="14" t="s">
        <v>93</v>
      </c>
      <c r="D33" s="18" t="s">
        <v>225</v>
      </c>
      <c r="E33" s="18" t="s">
        <v>51</v>
      </c>
      <c r="F33" s="18" t="s">
        <v>209</v>
      </c>
      <c r="G33" s="14" t="s">
        <v>5</v>
      </c>
      <c r="H33" s="14" t="s">
        <v>210</v>
      </c>
      <c r="I33" s="43"/>
      <c r="J33" s="44"/>
      <c r="K33" s="44"/>
      <c r="L33" s="44"/>
      <c r="M33" s="44"/>
      <c r="N33" s="44"/>
      <c r="O33" s="44"/>
    </row>
    <row r="34" spans="1:15" x14ac:dyDescent="0.25">
      <c r="A34" s="7" t="s">
        <v>68</v>
      </c>
      <c r="B34" s="9" t="s">
        <v>421</v>
      </c>
      <c r="C34" s="13" t="s">
        <v>161</v>
      </c>
      <c r="D34" s="9" t="s">
        <v>225</v>
      </c>
      <c r="E34" s="9" t="s">
        <v>51</v>
      </c>
      <c r="F34" s="9" t="s">
        <v>209</v>
      </c>
      <c r="G34" s="7" t="s">
        <v>5</v>
      </c>
      <c r="H34" s="7" t="s">
        <v>210</v>
      </c>
      <c r="I34" s="41"/>
      <c r="J34" s="1"/>
      <c r="K34" s="1"/>
      <c r="L34" s="1"/>
      <c r="M34" s="1"/>
      <c r="N34" s="1"/>
      <c r="O34" s="1"/>
    </row>
    <row r="35" spans="1:15" x14ac:dyDescent="0.25">
      <c r="A35" s="14" t="s">
        <v>68</v>
      </c>
      <c r="B35" s="18" t="s">
        <v>422</v>
      </c>
      <c r="C35" s="14" t="s">
        <v>100</v>
      </c>
      <c r="D35" s="18" t="s">
        <v>225</v>
      </c>
      <c r="E35" s="18" t="s">
        <v>51</v>
      </c>
      <c r="F35" s="18" t="s">
        <v>209</v>
      </c>
      <c r="G35" s="14" t="s">
        <v>5</v>
      </c>
      <c r="H35" s="14" t="s">
        <v>210</v>
      </c>
      <c r="I35" s="43"/>
      <c r="J35" s="44"/>
      <c r="K35" s="44"/>
      <c r="L35" s="44"/>
      <c r="M35" s="44"/>
      <c r="N35" s="44"/>
      <c r="O35" s="44"/>
    </row>
    <row r="36" spans="1:15" x14ac:dyDescent="0.25">
      <c r="A36" s="7" t="s">
        <v>68</v>
      </c>
      <c r="B36" s="9" t="s">
        <v>57</v>
      </c>
      <c r="C36" s="13" t="s">
        <v>89</v>
      </c>
      <c r="D36" s="9" t="s">
        <v>225</v>
      </c>
      <c r="E36" s="9" t="s">
        <v>51</v>
      </c>
      <c r="F36" s="9" t="s">
        <v>209</v>
      </c>
      <c r="G36" s="7" t="s">
        <v>5</v>
      </c>
      <c r="H36" s="7" t="s">
        <v>218</v>
      </c>
      <c r="I36" s="41"/>
      <c r="J36" s="1"/>
      <c r="K36" s="1"/>
      <c r="L36" s="1"/>
      <c r="M36" s="1"/>
      <c r="N36" s="1"/>
      <c r="O36" s="1"/>
    </row>
    <row r="37" spans="1:15" x14ac:dyDescent="0.25">
      <c r="A37" s="14" t="s">
        <v>68</v>
      </c>
      <c r="B37" s="18" t="s">
        <v>57</v>
      </c>
      <c r="C37" s="14" t="s">
        <v>111</v>
      </c>
      <c r="D37" s="18" t="s">
        <v>402</v>
      </c>
      <c r="E37" s="18" t="s">
        <v>48</v>
      </c>
      <c r="F37" s="18" t="s">
        <v>216</v>
      </c>
      <c r="G37" s="14" t="s">
        <v>6</v>
      </c>
      <c r="H37" s="14" t="s">
        <v>218</v>
      </c>
      <c r="I37" s="43"/>
      <c r="J37" s="44"/>
      <c r="K37" s="44"/>
      <c r="L37" s="44"/>
      <c r="M37" s="44"/>
      <c r="N37" s="44"/>
      <c r="O37" s="44"/>
    </row>
    <row r="38" spans="1:15" x14ac:dyDescent="0.25">
      <c r="A38" s="7" t="s">
        <v>68</v>
      </c>
      <c r="B38" s="9" t="s">
        <v>57</v>
      </c>
      <c r="C38" s="13" t="s">
        <v>114</v>
      </c>
      <c r="D38" s="9" t="s">
        <v>225</v>
      </c>
      <c r="E38" s="9" t="s">
        <v>51</v>
      </c>
      <c r="F38" s="9" t="s">
        <v>209</v>
      </c>
      <c r="G38" s="7" t="s">
        <v>5</v>
      </c>
      <c r="H38" s="7" t="s">
        <v>218</v>
      </c>
      <c r="I38" s="41"/>
      <c r="J38" s="1"/>
      <c r="K38" s="1"/>
      <c r="L38" s="1"/>
      <c r="M38" s="1"/>
      <c r="N38" s="1"/>
      <c r="O38" s="1"/>
    </row>
    <row r="39" spans="1:15" x14ac:dyDescent="0.25">
      <c r="A39" s="14" t="s">
        <v>68</v>
      </c>
      <c r="B39" s="18" t="s">
        <v>57</v>
      </c>
      <c r="C39" s="14" t="s">
        <v>118</v>
      </c>
      <c r="D39" s="18" t="s">
        <v>402</v>
      </c>
      <c r="E39" s="18" t="s">
        <v>48</v>
      </c>
      <c r="F39" s="18" t="s">
        <v>216</v>
      </c>
      <c r="G39" s="14" t="s">
        <v>6</v>
      </c>
      <c r="H39" s="14" t="s">
        <v>210</v>
      </c>
      <c r="I39" s="43"/>
      <c r="J39" s="44"/>
      <c r="K39" s="44"/>
      <c r="L39" s="44"/>
      <c r="M39" s="44"/>
      <c r="N39" s="44"/>
      <c r="O39" s="44"/>
    </row>
    <row r="40" spans="1:15" x14ac:dyDescent="0.25">
      <c r="A40" s="7" t="s">
        <v>68</v>
      </c>
      <c r="B40" s="9" t="s">
        <v>57</v>
      </c>
      <c r="C40" s="13" t="s">
        <v>178</v>
      </c>
      <c r="D40" s="9" t="s">
        <v>217</v>
      </c>
      <c r="E40" s="9" t="s">
        <v>48</v>
      </c>
      <c r="F40" s="9" t="s">
        <v>216</v>
      </c>
      <c r="G40" s="7" t="s">
        <v>5</v>
      </c>
      <c r="H40" s="7" t="s">
        <v>218</v>
      </c>
      <c r="I40" s="41"/>
      <c r="J40" s="1"/>
      <c r="K40" s="1"/>
      <c r="L40" s="1"/>
      <c r="M40" s="1"/>
      <c r="N40" s="1"/>
      <c r="O40" s="1"/>
    </row>
    <row r="41" spans="1:15" x14ac:dyDescent="0.25">
      <c r="A41" s="14" t="s">
        <v>68</v>
      </c>
      <c r="B41" s="18" t="s">
        <v>57</v>
      </c>
      <c r="C41" s="14" t="s">
        <v>179</v>
      </c>
      <c r="D41" s="18" t="s">
        <v>217</v>
      </c>
      <c r="E41" s="18" t="s">
        <v>48</v>
      </c>
      <c r="F41" s="18" t="s">
        <v>216</v>
      </c>
      <c r="G41" s="14" t="s">
        <v>5</v>
      </c>
      <c r="H41" s="14" t="s">
        <v>218</v>
      </c>
      <c r="I41" s="43"/>
      <c r="J41" s="44"/>
      <c r="K41" s="44"/>
      <c r="L41" s="44"/>
      <c r="M41" s="44"/>
      <c r="N41" s="44"/>
      <c r="O41" s="44"/>
    </row>
    <row r="42" spans="1:15" x14ac:dyDescent="0.25">
      <c r="A42" s="7" t="s">
        <v>68</v>
      </c>
      <c r="B42" s="9" t="s">
        <v>57</v>
      </c>
      <c r="C42" s="13" t="s">
        <v>176</v>
      </c>
      <c r="D42" s="9" t="s">
        <v>221</v>
      </c>
      <c r="E42" s="9" t="s">
        <v>76</v>
      </c>
      <c r="F42" s="9" t="s">
        <v>222</v>
      </c>
      <c r="G42" s="7" t="s">
        <v>5</v>
      </c>
      <c r="H42" s="7" t="s">
        <v>218</v>
      </c>
      <c r="I42" s="41"/>
      <c r="J42" s="1"/>
      <c r="K42" s="1"/>
      <c r="L42" s="1"/>
      <c r="M42" s="1"/>
      <c r="N42" s="1"/>
      <c r="O42" s="1"/>
    </row>
    <row r="43" spans="1:15" x14ac:dyDescent="0.25">
      <c r="A43" s="14" t="s">
        <v>68</v>
      </c>
      <c r="B43" s="18" t="s">
        <v>57</v>
      </c>
      <c r="C43" s="14" t="s">
        <v>105</v>
      </c>
      <c r="D43" s="18" t="s">
        <v>402</v>
      </c>
      <c r="E43" s="18" t="s">
        <v>48</v>
      </c>
      <c r="F43" s="18" t="s">
        <v>216</v>
      </c>
      <c r="G43" s="14" t="s">
        <v>5</v>
      </c>
      <c r="H43" s="14" t="s">
        <v>218</v>
      </c>
      <c r="I43" s="43"/>
      <c r="J43" s="44"/>
      <c r="K43" s="44"/>
      <c r="L43" s="44"/>
      <c r="M43" s="44"/>
      <c r="N43" s="44"/>
      <c r="O43" s="44"/>
    </row>
    <row r="44" spans="1:15" x14ac:dyDescent="0.25">
      <c r="A44" s="7" t="s">
        <v>68</v>
      </c>
      <c r="B44" s="9" t="s">
        <v>57</v>
      </c>
      <c r="C44" s="13" t="s">
        <v>177</v>
      </c>
      <c r="D44" s="9" t="s">
        <v>221</v>
      </c>
      <c r="E44" s="9" t="s">
        <v>76</v>
      </c>
      <c r="F44" s="9" t="s">
        <v>222</v>
      </c>
      <c r="G44" s="7" t="s">
        <v>5</v>
      </c>
      <c r="H44" s="7" t="s">
        <v>210</v>
      </c>
      <c r="I44" s="41"/>
      <c r="J44" s="1"/>
      <c r="K44" s="1"/>
      <c r="L44" s="1"/>
      <c r="M44" s="1"/>
      <c r="N44" s="1"/>
      <c r="O44" s="1"/>
    </row>
    <row r="45" spans="1:15" x14ac:dyDescent="0.25">
      <c r="A45" s="14" t="s">
        <v>68</v>
      </c>
      <c r="B45" s="18" t="s">
        <v>423</v>
      </c>
      <c r="C45" s="14" t="s">
        <v>156</v>
      </c>
      <c r="D45" s="18" t="s">
        <v>225</v>
      </c>
      <c r="E45" s="18" t="s">
        <v>51</v>
      </c>
      <c r="F45" s="18" t="s">
        <v>209</v>
      </c>
      <c r="G45" s="14" t="s">
        <v>5</v>
      </c>
      <c r="H45" s="14" t="s">
        <v>218</v>
      </c>
      <c r="I45" s="43"/>
      <c r="J45" s="44"/>
      <c r="K45" s="44"/>
      <c r="L45" s="44"/>
      <c r="M45" s="44"/>
      <c r="N45" s="44"/>
      <c r="O45" s="44"/>
    </row>
    <row r="46" spans="1:15" x14ac:dyDescent="0.25">
      <c r="A46" s="7" t="s">
        <v>68</v>
      </c>
      <c r="B46" s="9" t="s">
        <v>424</v>
      </c>
      <c r="C46" s="13" t="s">
        <v>153</v>
      </c>
      <c r="D46" s="9" t="s">
        <v>225</v>
      </c>
      <c r="E46" s="9" t="s">
        <v>51</v>
      </c>
      <c r="F46" s="9" t="s">
        <v>209</v>
      </c>
      <c r="G46" s="7" t="s">
        <v>5</v>
      </c>
      <c r="H46" s="7" t="s">
        <v>218</v>
      </c>
      <c r="I46" s="41"/>
      <c r="J46" s="1"/>
      <c r="K46" s="1"/>
      <c r="L46" s="1"/>
      <c r="M46" s="1"/>
      <c r="N46" s="1"/>
      <c r="O46" s="1"/>
    </row>
    <row r="47" spans="1:15" x14ac:dyDescent="0.25">
      <c r="A47" s="14" t="s">
        <v>68</v>
      </c>
      <c r="B47" s="18" t="s">
        <v>425</v>
      </c>
      <c r="C47" s="14" t="s">
        <v>159</v>
      </c>
      <c r="D47" s="18" t="s">
        <v>225</v>
      </c>
      <c r="E47" s="18" t="s">
        <v>51</v>
      </c>
      <c r="F47" s="18" t="s">
        <v>209</v>
      </c>
      <c r="G47" s="14" t="s">
        <v>5</v>
      </c>
      <c r="H47" s="14" t="s">
        <v>218</v>
      </c>
      <c r="I47" s="43"/>
      <c r="J47" s="44"/>
      <c r="K47" s="44"/>
      <c r="L47" s="44"/>
      <c r="M47" s="44"/>
      <c r="N47" s="44"/>
      <c r="O47" s="44"/>
    </row>
    <row r="48" spans="1:15" x14ac:dyDescent="0.25">
      <c r="A48" s="7" t="s">
        <v>68</v>
      </c>
      <c r="B48" s="9" t="s">
        <v>426</v>
      </c>
      <c r="C48" s="13" t="s">
        <v>75</v>
      </c>
      <c r="D48" s="9" t="s">
        <v>225</v>
      </c>
      <c r="E48" s="9" t="s">
        <v>51</v>
      </c>
      <c r="F48" s="9" t="s">
        <v>209</v>
      </c>
      <c r="G48" s="7" t="s">
        <v>5</v>
      </c>
      <c r="H48" s="7" t="s">
        <v>210</v>
      </c>
      <c r="I48" s="41"/>
      <c r="J48" s="1"/>
      <c r="K48" s="1"/>
      <c r="L48" s="1"/>
      <c r="M48" s="1"/>
      <c r="N48" s="1"/>
      <c r="O48" s="1"/>
    </row>
    <row r="49" spans="1:15" x14ac:dyDescent="0.25">
      <c r="A49" s="14"/>
      <c r="B49" s="18"/>
      <c r="C49" s="14"/>
      <c r="D49" s="18"/>
      <c r="E49" s="18"/>
      <c r="F49" s="18"/>
      <c r="G49" s="14"/>
      <c r="H49" s="14"/>
      <c r="I49" s="43"/>
      <c r="J49" s="44"/>
      <c r="K49" s="44"/>
      <c r="L49" s="44"/>
      <c r="M49" s="44"/>
      <c r="N49" s="44"/>
      <c r="O49" s="44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5564-C42D-44D1-8A82-1CCF3BCD321A}">
  <sheetPr codeName="Planilha10">
    <tabColor rgb="FF92D050"/>
    <pageSetUpPr fitToPage="1"/>
  </sheetPr>
  <dimension ref="A1:O130"/>
  <sheetViews>
    <sheetView showGridLines="0" view="pageBreakPreview" zoomScale="80" zoomScaleNormal="70" zoomScaleSheetLayoutView="80" workbookViewId="0">
      <selection activeCell="O50" sqref="O5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36" style="3" bestFit="1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427</v>
      </c>
      <c r="C3" s="26"/>
      <c r="D3" s="35" t="s">
        <v>428</v>
      </c>
      <c r="E3" s="27"/>
      <c r="F3" s="28"/>
      <c r="G3" s="28"/>
      <c r="H3" s="35" t="s">
        <v>196</v>
      </c>
      <c r="I3" s="27"/>
      <c r="J3" s="27"/>
      <c r="K3" s="35" t="s">
        <v>429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3" t="s">
        <v>174</v>
      </c>
      <c r="B7" s="13" t="s">
        <v>430</v>
      </c>
      <c r="C7" s="13" t="s">
        <v>55</v>
      </c>
      <c r="D7" s="13" t="s">
        <v>225</v>
      </c>
      <c r="E7" s="13" t="s">
        <v>51</v>
      </c>
      <c r="F7" s="13" t="s">
        <v>209</v>
      </c>
      <c r="G7" s="13" t="s">
        <v>5</v>
      </c>
      <c r="H7" s="13" t="s">
        <v>210</v>
      </c>
      <c r="I7" s="130">
        <v>46229</v>
      </c>
      <c r="J7" s="131" t="s">
        <v>266</v>
      </c>
      <c r="K7" s="131"/>
      <c r="L7" s="131"/>
      <c r="M7" s="131"/>
      <c r="N7" s="131" t="s">
        <v>267</v>
      </c>
      <c r="O7" s="131" t="s">
        <v>268</v>
      </c>
    </row>
    <row r="8" spans="1:15" x14ac:dyDescent="0.25">
      <c r="A8" s="14" t="s">
        <v>174</v>
      </c>
      <c r="B8" s="14" t="s">
        <v>431</v>
      </c>
      <c r="C8" s="14" t="s">
        <v>84</v>
      </c>
      <c r="D8" s="14" t="s">
        <v>225</v>
      </c>
      <c r="E8" s="14" t="s">
        <v>51</v>
      </c>
      <c r="F8" s="14" t="s">
        <v>209</v>
      </c>
      <c r="G8" s="14" t="s">
        <v>5</v>
      </c>
      <c r="H8" s="14" t="s">
        <v>210</v>
      </c>
      <c r="I8" s="129">
        <v>46229</v>
      </c>
      <c r="J8" s="44" t="s">
        <v>266</v>
      </c>
      <c r="K8" s="44"/>
      <c r="L8" s="44"/>
      <c r="M8" s="44"/>
      <c r="N8" s="44" t="s">
        <v>267</v>
      </c>
      <c r="O8" s="44" t="s">
        <v>268</v>
      </c>
    </row>
    <row r="9" spans="1:15" x14ac:dyDescent="0.25">
      <c r="A9" s="13" t="s">
        <v>174</v>
      </c>
      <c r="B9" s="13" t="s">
        <v>432</v>
      </c>
      <c r="C9" s="13" t="s">
        <v>67</v>
      </c>
      <c r="D9" s="13" t="s">
        <v>225</v>
      </c>
      <c r="E9" s="13" t="s">
        <v>51</v>
      </c>
      <c r="F9" s="13" t="s">
        <v>209</v>
      </c>
      <c r="G9" s="13" t="s">
        <v>5</v>
      </c>
      <c r="H9" s="13" t="s">
        <v>210</v>
      </c>
      <c r="I9" s="130">
        <v>46229</v>
      </c>
      <c r="J9" s="131" t="s">
        <v>266</v>
      </c>
      <c r="K9" s="131"/>
      <c r="L9" s="131"/>
      <c r="M9" s="131"/>
      <c r="N9" s="131" t="s">
        <v>267</v>
      </c>
      <c r="O9" s="131" t="s">
        <v>268</v>
      </c>
    </row>
    <row r="10" spans="1:15" x14ac:dyDescent="0.25">
      <c r="A10" s="14" t="s">
        <v>174</v>
      </c>
      <c r="B10" s="14" t="s">
        <v>433</v>
      </c>
      <c r="C10" s="14" t="s">
        <v>71</v>
      </c>
      <c r="D10" s="14" t="s">
        <v>225</v>
      </c>
      <c r="E10" s="14" t="s">
        <v>51</v>
      </c>
      <c r="F10" s="14" t="s">
        <v>209</v>
      </c>
      <c r="G10" s="14" t="s">
        <v>5</v>
      </c>
      <c r="H10" s="14" t="s">
        <v>210</v>
      </c>
      <c r="I10" s="129">
        <v>46229</v>
      </c>
      <c r="J10" s="44" t="s">
        <v>266</v>
      </c>
      <c r="K10" s="44"/>
      <c r="L10" s="44"/>
      <c r="M10" s="44"/>
      <c r="N10" s="44" t="s">
        <v>267</v>
      </c>
      <c r="O10" s="44" t="s">
        <v>268</v>
      </c>
    </row>
    <row r="11" spans="1:15" x14ac:dyDescent="0.25">
      <c r="A11" s="13" t="s">
        <v>174</v>
      </c>
      <c r="B11" s="13" t="s">
        <v>434</v>
      </c>
      <c r="C11" s="13" t="s">
        <v>59</v>
      </c>
      <c r="D11" s="13" t="s">
        <v>215</v>
      </c>
      <c r="E11" s="13" t="s">
        <v>48</v>
      </c>
      <c r="F11" s="13" t="s">
        <v>216</v>
      </c>
      <c r="G11" s="13" t="s">
        <v>6</v>
      </c>
      <c r="H11" s="13" t="s">
        <v>210</v>
      </c>
      <c r="I11" s="130">
        <v>46229</v>
      </c>
      <c r="J11" s="131" t="s">
        <v>266</v>
      </c>
      <c r="K11" s="131"/>
      <c r="L11" s="131"/>
      <c r="M11" s="131"/>
      <c r="N11" s="131" t="s">
        <v>267</v>
      </c>
      <c r="O11" s="131" t="s">
        <v>268</v>
      </c>
    </row>
    <row r="12" spans="1:15" x14ac:dyDescent="0.25">
      <c r="A12" s="14" t="s">
        <v>174</v>
      </c>
      <c r="B12" s="14" t="s">
        <v>57</v>
      </c>
      <c r="C12" s="14" t="s">
        <v>53</v>
      </c>
      <c r="D12" s="14" t="s">
        <v>215</v>
      </c>
      <c r="E12" s="14" t="s">
        <v>54</v>
      </c>
      <c r="F12" s="14" t="s">
        <v>219</v>
      </c>
      <c r="G12" s="14" t="s">
        <v>6</v>
      </c>
      <c r="H12" s="14" t="s">
        <v>210</v>
      </c>
      <c r="I12" s="129">
        <v>46229</v>
      </c>
      <c r="J12" s="44" t="s">
        <v>266</v>
      </c>
      <c r="K12" s="44"/>
      <c r="L12" s="44"/>
      <c r="M12" s="44"/>
      <c r="N12" s="44" t="s">
        <v>267</v>
      </c>
      <c r="O12" s="44" t="s">
        <v>309</v>
      </c>
    </row>
    <row r="13" spans="1:15" x14ac:dyDescent="0.25">
      <c r="A13" s="13" t="s">
        <v>174</v>
      </c>
      <c r="B13" s="13" t="s">
        <v>57</v>
      </c>
      <c r="C13" s="13" t="s">
        <v>58</v>
      </c>
      <c r="D13" s="13" t="s">
        <v>215</v>
      </c>
      <c r="E13" s="13" t="s">
        <v>54</v>
      </c>
      <c r="F13" s="13" t="s">
        <v>219</v>
      </c>
      <c r="G13" s="13" t="s">
        <v>6</v>
      </c>
      <c r="H13" s="13" t="s">
        <v>218</v>
      </c>
      <c r="I13" s="130">
        <v>46229</v>
      </c>
      <c r="J13" s="131" t="s">
        <v>273</v>
      </c>
      <c r="K13" s="131"/>
      <c r="L13" s="131"/>
      <c r="M13" s="131"/>
      <c r="N13" s="131" t="s">
        <v>267</v>
      </c>
      <c r="O13" s="131" t="s">
        <v>309</v>
      </c>
    </row>
    <row r="14" spans="1:15" x14ac:dyDescent="0.25">
      <c r="A14" s="14" t="s">
        <v>174</v>
      </c>
      <c r="B14" s="14" t="s">
        <v>57</v>
      </c>
      <c r="C14" s="14" t="s">
        <v>56</v>
      </c>
      <c r="D14" s="14" t="s">
        <v>402</v>
      </c>
      <c r="E14" s="14" t="s">
        <v>54</v>
      </c>
      <c r="F14" s="14" t="s">
        <v>219</v>
      </c>
      <c r="G14" s="14" t="s">
        <v>6</v>
      </c>
      <c r="H14" s="14" t="s">
        <v>218</v>
      </c>
      <c r="I14" s="129">
        <v>46229</v>
      </c>
      <c r="J14" s="44" t="s">
        <v>273</v>
      </c>
      <c r="K14" s="44"/>
      <c r="L14" s="44"/>
      <c r="M14" s="44"/>
      <c r="N14" s="44" t="s">
        <v>267</v>
      </c>
      <c r="O14" s="44" t="s">
        <v>309</v>
      </c>
    </row>
    <row r="15" spans="1:15" x14ac:dyDescent="0.25">
      <c r="A15" s="13" t="s">
        <v>174</v>
      </c>
      <c r="B15" s="13" t="s">
        <v>57</v>
      </c>
      <c r="C15" s="13" t="s">
        <v>47</v>
      </c>
      <c r="D15" s="13" t="s">
        <v>402</v>
      </c>
      <c r="E15" s="13" t="s">
        <v>48</v>
      </c>
      <c r="F15" s="13" t="s">
        <v>216</v>
      </c>
      <c r="G15" s="13" t="s">
        <v>5</v>
      </c>
      <c r="H15" s="13" t="s">
        <v>218</v>
      </c>
      <c r="I15" s="130">
        <v>46229</v>
      </c>
      <c r="J15" s="131" t="s">
        <v>273</v>
      </c>
      <c r="K15" s="131"/>
      <c r="L15" s="131"/>
      <c r="M15" s="131" t="s">
        <v>267</v>
      </c>
      <c r="N15" s="131"/>
      <c r="O15" s="131" t="s">
        <v>268</v>
      </c>
    </row>
    <row r="16" spans="1:15" x14ac:dyDescent="0.25">
      <c r="A16" s="14" t="s">
        <v>174</v>
      </c>
      <c r="B16" s="14" t="s">
        <v>435</v>
      </c>
      <c r="C16" s="14" t="s">
        <v>175</v>
      </c>
      <c r="D16" s="14" t="s">
        <v>221</v>
      </c>
      <c r="E16" s="14" t="s">
        <v>76</v>
      </c>
      <c r="F16" s="14" t="s">
        <v>222</v>
      </c>
      <c r="G16" s="14" t="s">
        <v>5</v>
      </c>
      <c r="H16" s="14" t="s">
        <v>210</v>
      </c>
      <c r="I16" s="129">
        <v>46229</v>
      </c>
      <c r="J16" s="44" t="s">
        <v>266</v>
      </c>
      <c r="K16" s="44"/>
      <c r="L16" s="44"/>
      <c r="M16" s="44"/>
      <c r="N16" s="44" t="s">
        <v>267</v>
      </c>
      <c r="O16" s="44" t="s">
        <v>268</v>
      </c>
    </row>
    <row r="17" spans="1:15" x14ac:dyDescent="0.25">
      <c r="A17" s="13" t="s">
        <v>174</v>
      </c>
      <c r="B17" s="13" t="s">
        <v>436</v>
      </c>
      <c r="C17" s="13" t="s">
        <v>72</v>
      </c>
      <c r="D17" s="13" t="s">
        <v>221</v>
      </c>
      <c r="E17" s="13" t="s">
        <v>76</v>
      </c>
      <c r="F17" s="13" t="s">
        <v>222</v>
      </c>
      <c r="G17" s="13" t="s">
        <v>5</v>
      </c>
      <c r="H17" s="13" t="s">
        <v>210</v>
      </c>
      <c r="I17" s="130">
        <v>46229</v>
      </c>
      <c r="J17" s="131" t="s">
        <v>266</v>
      </c>
      <c r="K17" s="131"/>
      <c r="L17" s="131"/>
      <c r="M17" s="131"/>
      <c r="N17" s="131" t="s">
        <v>267</v>
      </c>
      <c r="O17" s="131" t="s">
        <v>268</v>
      </c>
    </row>
    <row r="18" spans="1:15" x14ac:dyDescent="0.25">
      <c r="A18" s="14" t="s">
        <v>68</v>
      </c>
      <c r="B18" s="14" t="s">
        <v>437</v>
      </c>
      <c r="C18" s="14" t="s">
        <v>125</v>
      </c>
      <c r="D18" s="14" t="s">
        <v>225</v>
      </c>
      <c r="E18" s="14" t="s">
        <v>51</v>
      </c>
      <c r="F18" s="14" t="s">
        <v>209</v>
      </c>
      <c r="G18" s="14" t="s">
        <v>5</v>
      </c>
      <c r="H18" s="14" t="s">
        <v>218</v>
      </c>
      <c r="I18" s="129">
        <v>46229</v>
      </c>
      <c r="J18" s="44" t="s">
        <v>273</v>
      </c>
      <c r="K18" s="44"/>
      <c r="L18" s="44"/>
      <c r="M18" s="44"/>
      <c r="N18" s="44" t="s">
        <v>267</v>
      </c>
      <c r="O18" s="44" t="s">
        <v>309</v>
      </c>
    </row>
    <row r="19" spans="1:15" x14ac:dyDescent="0.25">
      <c r="A19" s="13" t="s">
        <v>68</v>
      </c>
      <c r="B19" s="13" t="s">
        <v>438</v>
      </c>
      <c r="C19" s="13" t="s">
        <v>158</v>
      </c>
      <c r="D19" s="13" t="s">
        <v>225</v>
      </c>
      <c r="E19" s="13" t="s">
        <v>51</v>
      </c>
      <c r="F19" s="13" t="s">
        <v>209</v>
      </c>
      <c r="G19" s="13" t="s">
        <v>5</v>
      </c>
      <c r="H19" s="13" t="s">
        <v>210</v>
      </c>
      <c r="I19" s="130">
        <v>46229</v>
      </c>
      <c r="J19" s="131" t="s">
        <v>266</v>
      </c>
      <c r="K19" s="131"/>
      <c r="L19" s="131"/>
      <c r="M19" s="131"/>
      <c r="N19" s="131" t="s">
        <v>267</v>
      </c>
      <c r="O19" s="131" t="s">
        <v>309</v>
      </c>
    </row>
    <row r="20" spans="1:15" x14ac:dyDescent="0.25">
      <c r="A20" s="14" t="s">
        <v>68</v>
      </c>
      <c r="B20" s="14" t="s">
        <v>439</v>
      </c>
      <c r="C20" s="14" t="s">
        <v>106</v>
      </c>
      <c r="D20" s="14" t="s">
        <v>225</v>
      </c>
      <c r="E20" s="14" t="s">
        <v>51</v>
      </c>
      <c r="F20" s="14" t="s">
        <v>209</v>
      </c>
      <c r="G20" s="14" t="s">
        <v>5</v>
      </c>
      <c r="H20" s="14" t="s">
        <v>218</v>
      </c>
      <c r="I20" s="129">
        <v>46229</v>
      </c>
      <c r="J20" s="44" t="s">
        <v>273</v>
      </c>
      <c r="K20" s="44"/>
      <c r="L20" s="44"/>
      <c r="M20" s="44" t="s">
        <v>267</v>
      </c>
      <c r="N20" s="44"/>
      <c r="O20" s="44" t="s">
        <v>309</v>
      </c>
    </row>
    <row r="21" spans="1:15" x14ac:dyDescent="0.25">
      <c r="A21" s="13" t="s">
        <v>68</v>
      </c>
      <c r="B21" s="13" t="s">
        <v>440</v>
      </c>
      <c r="C21" s="13" t="s">
        <v>115</v>
      </c>
      <c r="D21" s="13" t="s">
        <v>229</v>
      </c>
      <c r="E21" s="13" t="s">
        <v>80</v>
      </c>
      <c r="F21" s="13" t="s">
        <v>230</v>
      </c>
      <c r="G21" s="13" t="s">
        <v>5</v>
      </c>
      <c r="H21" s="13" t="s">
        <v>218</v>
      </c>
      <c r="I21" s="130">
        <v>46229</v>
      </c>
      <c r="J21" s="131" t="s">
        <v>273</v>
      </c>
      <c r="K21" s="131"/>
      <c r="L21" s="131"/>
      <c r="M21" s="131"/>
      <c r="N21" s="131" t="s">
        <v>267</v>
      </c>
      <c r="O21" s="131" t="s">
        <v>309</v>
      </c>
    </row>
    <row r="22" spans="1:15" x14ac:dyDescent="0.25">
      <c r="A22" s="14" t="s">
        <v>68</v>
      </c>
      <c r="B22" s="14" t="s">
        <v>441</v>
      </c>
      <c r="C22" s="14" t="s">
        <v>147</v>
      </c>
      <c r="D22" s="14" t="s">
        <v>229</v>
      </c>
      <c r="E22" s="14" t="s">
        <v>80</v>
      </c>
      <c r="F22" s="14" t="s">
        <v>230</v>
      </c>
      <c r="G22" s="14" t="s">
        <v>5</v>
      </c>
      <c r="H22" s="14" t="s">
        <v>210</v>
      </c>
      <c r="I22" s="129">
        <v>46229</v>
      </c>
      <c r="J22" s="44" t="s">
        <v>266</v>
      </c>
      <c r="K22" s="44"/>
      <c r="L22" s="44"/>
      <c r="M22" s="44"/>
      <c r="N22" s="44" t="s">
        <v>267</v>
      </c>
      <c r="O22" s="44" t="s">
        <v>309</v>
      </c>
    </row>
    <row r="23" spans="1:15" x14ac:dyDescent="0.25">
      <c r="A23" s="13" t="s">
        <v>68</v>
      </c>
      <c r="B23" s="13" t="s">
        <v>442</v>
      </c>
      <c r="C23" s="13" t="s">
        <v>103</v>
      </c>
      <c r="D23" s="13" t="s">
        <v>229</v>
      </c>
      <c r="E23" s="13" t="s">
        <v>80</v>
      </c>
      <c r="F23" s="13" t="s">
        <v>230</v>
      </c>
      <c r="G23" s="13" t="s">
        <v>5</v>
      </c>
      <c r="H23" s="13" t="s">
        <v>218</v>
      </c>
      <c r="I23" s="130">
        <v>46229</v>
      </c>
      <c r="J23" s="131" t="s">
        <v>273</v>
      </c>
      <c r="K23" s="131"/>
      <c r="L23" s="131"/>
      <c r="M23" s="131"/>
      <c r="N23" s="131" t="s">
        <v>267</v>
      </c>
      <c r="O23" s="131" t="s">
        <v>309</v>
      </c>
    </row>
    <row r="24" spans="1:15" x14ac:dyDescent="0.25">
      <c r="A24" s="14" t="s">
        <v>68</v>
      </c>
      <c r="B24" s="14" t="s">
        <v>443</v>
      </c>
      <c r="C24" s="14" t="s">
        <v>119</v>
      </c>
      <c r="D24" s="14" t="s">
        <v>225</v>
      </c>
      <c r="E24" s="14" t="s">
        <v>51</v>
      </c>
      <c r="F24" s="14" t="s">
        <v>209</v>
      </c>
      <c r="G24" s="14" t="s">
        <v>5</v>
      </c>
      <c r="H24" s="14" t="s">
        <v>218</v>
      </c>
      <c r="I24" s="129">
        <v>46229</v>
      </c>
      <c r="J24" s="44" t="s">
        <v>273</v>
      </c>
      <c r="K24" s="44"/>
      <c r="L24" s="44"/>
      <c r="M24" s="44"/>
      <c r="N24" s="44" t="s">
        <v>267</v>
      </c>
      <c r="O24" s="44" t="s">
        <v>309</v>
      </c>
    </row>
    <row r="25" spans="1:15" x14ac:dyDescent="0.25">
      <c r="A25" s="13" t="s">
        <v>68</v>
      </c>
      <c r="B25" s="13" t="s">
        <v>444</v>
      </c>
      <c r="C25" s="13" t="s">
        <v>150</v>
      </c>
      <c r="D25" s="13" t="s">
        <v>225</v>
      </c>
      <c r="E25" s="13" t="s">
        <v>51</v>
      </c>
      <c r="F25" s="13" t="s">
        <v>209</v>
      </c>
      <c r="G25" s="13" t="s">
        <v>5</v>
      </c>
      <c r="H25" s="13" t="s">
        <v>210</v>
      </c>
      <c r="I25" s="130">
        <v>46229</v>
      </c>
      <c r="J25" s="131" t="s">
        <v>266</v>
      </c>
      <c r="K25" s="131"/>
      <c r="L25" s="131"/>
      <c r="M25" s="131"/>
      <c r="N25" s="131" t="s">
        <v>267</v>
      </c>
      <c r="O25" s="131" t="s">
        <v>309</v>
      </c>
    </row>
    <row r="26" spans="1:15" x14ac:dyDescent="0.25">
      <c r="A26" s="14" t="s">
        <v>68</v>
      </c>
      <c r="B26" s="14" t="s">
        <v>445</v>
      </c>
      <c r="C26" s="14" t="s">
        <v>85</v>
      </c>
      <c r="D26" s="14" t="s">
        <v>225</v>
      </c>
      <c r="E26" s="14" t="s">
        <v>51</v>
      </c>
      <c r="F26" s="14" t="s">
        <v>209</v>
      </c>
      <c r="G26" s="14" t="s">
        <v>5</v>
      </c>
      <c r="H26" s="14" t="s">
        <v>218</v>
      </c>
      <c r="I26" s="129">
        <v>46229</v>
      </c>
      <c r="J26" s="44" t="s">
        <v>273</v>
      </c>
      <c r="K26" s="44"/>
      <c r="L26" s="44"/>
      <c r="M26" s="44"/>
      <c r="N26" s="44" t="s">
        <v>267</v>
      </c>
      <c r="O26" s="44" t="s">
        <v>309</v>
      </c>
    </row>
    <row r="27" spans="1:15" x14ac:dyDescent="0.25">
      <c r="A27" s="142" t="s">
        <v>68</v>
      </c>
      <c r="B27" s="142" t="s">
        <v>446</v>
      </c>
      <c r="C27" s="142" t="s">
        <v>122</v>
      </c>
      <c r="D27" s="142" t="s">
        <v>225</v>
      </c>
      <c r="E27" s="142" t="s">
        <v>51</v>
      </c>
      <c r="F27" s="142" t="s">
        <v>209</v>
      </c>
      <c r="G27" s="142" t="s">
        <v>5</v>
      </c>
      <c r="H27" s="142" t="s">
        <v>218</v>
      </c>
      <c r="I27" s="151"/>
      <c r="J27" s="145"/>
      <c r="K27" s="145"/>
      <c r="L27" s="145"/>
      <c r="M27" s="145"/>
      <c r="N27" s="145"/>
      <c r="O27" s="145"/>
    </row>
    <row r="28" spans="1:15" x14ac:dyDescent="0.25">
      <c r="A28" s="142" t="s">
        <v>68</v>
      </c>
      <c r="B28" s="142" t="s">
        <v>447</v>
      </c>
      <c r="C28" s="142" t="s">
        <v>155</v>
      </c>
      <c r="D28" s="142" t="s">
        <v>225</v>
      </c>
      <c r="E28" s="142" t="s">
        <v>51</v>
      </c>
      <c r="F28" s="142" t="s">
        <v>209</v>
      </c>
      <c r="G28" s="142" t="s">
        <v>5</v>
      </c>
      <c r="H28" s="142" t="s">
        <v>210</v>
      </c>
      <c r="I28" s="151"/>
      <c r="J28" s="145"/>
      <c r="K28" s="145"/>
      <c r="L28" s="145"/>
      <c r="M28" s="145"/>
      <c r="N28" s="145"/>
      <c r="O28" s="145"/>
    </row>
    <row r="29" spans="1:15" x14ac:dyDescent="0.25">
      <c r="A29" s="142" t="s">
        <v>68</v>
      </c>
      <c r="B29" s="142" t="s">
        <v>448</v>
      </c>
      <c r="C29" s="142" t="s">
        <v>90</v>
      </c>
      <c r="D29" s="142" t="s">
        <v>225</v>
      </c>
      <c r="E29" s="142" t="s">
        <v>51</v>
      </c>
      <c r="F29" s="142" t="s">
        <v>209</v>
      </c>
      <c r="G29" s="142" t="s">
        <v>5</v>
      </c>
      <c r="H29" s="142" t="s">
        <v>218</v>
      </c>
      <c r="I29" s="151"/>
      <c r="J29" s="145"/>
      <c r="K29" s="145"/>
      <c r="L29" s="145"/>
      <c r="M29" s="145"/>
      <c r="N29" s="145"/>
      <c r="O29" s="145"/>
    </row>
    <row r="30" spans="1:15" x14ac:dyDescent="0.25">
      <c r="A30" s="14" t="s">
        <v>68</v>
      </c>
      <c r="B30" s="14" t="s">
        <v>449</v>
      </c>
      <c r="C30" s="14" t="s">
        <v>128</v>
      </c>
      <c r="D30" s="14" t="s">
        <v>240</v>
      </c>
      <c r="E30" s="14" t="s">
        <v>86</v>
      </c>
      <c r="F30" s="14" t="s">
        <v>241</v>
      </c>
      <c r="G30" s="14" t="s">
        <v>5</v>
      </c>
      <c r="H30" s="14" t="s">
        <v>218</v>
      </c>
      <c r="I30" s="129">
        <v>46229</v>
      </c>
      <c r="J30" s="44" t="s">
        <v>273</v>
      </c>
      <c r="K30" s="44"/>
      <c r="L30" s="44"/>
      <c r="M30" s="44"/>
      <c r="N30" s="44" t="s">
        <v>267</v>
      </c>
      <c r="O30" s="44" t="s">
        <v>309</v>
      </c>
    </row>
    <row r="31" spans="1:15" x14ac:dyDescent="0.25">
      <c r="A31" s="13" t="s">
        <v>68</v>
      </c>
      <c r="B31" s="13" t="s">
        <v>450</v>
      </c>
      <c r="C31" s="13" t="s">
        <v>152</v>
      </c>
      <c r="D31" s="13" t="s">
        <v>240</v>
      </c>
      <c r="E31" s="13" t="s">
        <v>86</v>
      </c>
      <c r="F31" s="13" t="s">
        <v>241</v>
      </c>
      <c r="G31" s="13" t="s">
        <v>5</v>
      </c>
      <c r="H31" s="13" t="s">
        <v>210</v>
      </c>
      <c r="I31" s="130">
        <v>46229</v>
      </c>
      <c r="J31" s="131" t="s">
        <v>266</v>
      </c>
      <c r="K31" s="131"/>
      <c r="L31" s="131"/>
      <c r="M31" s="131" t="s">
        <v>267</v>
      </c>
      <c r="N31" s="131"/>
      <c r="O31" s="131" t="s">
        <v>309</v>
      </c>
    </row>
    <row r="32" spans="1:15" x14ac:dyDescent="0.25">
      <c r="A32" s="14" t="s">
        <v>68</v>
      </c>
      <c r="B32" s="14" t="s">
        <v>451</v>
      </c>
      <c r="C32" s="14" t="s">
        <v>96</v>
      </c>
      <c r="D32" s="14" t="s">
        <v>240</v>
      </c>
      <c r="E32" s="14" t="s">
        <v>86</v>
      </c>
      <c r="F32" s="14" t="s">
        <v>241</v>
      </c>
      <c r="G32" s="14" t="s">
        <v>5</v>
      </c>
      <c r="H32" s="14" t="s">
        <v>218</v>
      </c>
      <c r="I32" s="129">
        <v>46229</v>
      </c>
      <c r="J32" s="44" t="s">
        <v>273</v>
      </c>
      <c r="K32" s="44"/>
      <c r="L32" s="44"/>
      <c r="M32" s="44"/>
      <c r="N32" s="44" t="s">
        <v>267</v>
      </c>
      <c r="O32" s="44" t="s">
        <v>309</v>
      </c>
    </row>
    <row r="33" spans="1:15" ht="18" customHeight="1" x14ac:dyDescent="0.25">
      <c r="A33" s="13" t="s">
        <v>68</v>
      </c>
      <c r="B33" s="13" t="s">
        <v>452</v>
      </c>
      <c r="C33" s="13" t="s">
        <v>93</v>
      </c>
      <c r="D33" s="13" t="s">
        <v>225</v>
      </c>
      <c r="E33" s="13" t="s">
        <v>51</v>
      </c>
      <c r="F33" s="13" t="s">
        <v>209</v>
      </c>
      <c r="G33" s="13" t="s">
        <v>5</v>
      </c>
      <c r="H33" s="13" t="s">
        <v>210</v>
      </c>
      <c r="I33" s="130">
        <v>46229</v>
      </c>
      <c r="J33" s="131" t="s">
        <v>266</v>
      </c>
      <c r="K33" s="131"/>
      <c r="L33" s="131"/>
      <c r="M33" s="131"/>
      <c r="N33" s="131" t="s">
        <v>267</v>
      </c>
      <c r="O33" s="131" t="s">
        <v>309</v>
      </c>
    </row>
    <row r="34" spans="1:15" x14ac:dyDescent="0.25">
      <c r="A34" s="14" t="s">
        <v>68</v>
      </c>
      <c r="B34" s="14" t="s">
        <v>453</v>
      </c>
      <c r="C34" s="14" t="s">
        <v>161</v>
      </c>
      <c r="D34" s="14" t="s">
        <v>225</v>
      </c>
      <c r="E34" s="14" t="s">
        <v>51</v>
      </c>
      <c r="F34" s="14" t="s">
        <v>209</v>
      </c>
      <c r="G34" s="14" t="s">
        <v>5</v>
      </c>
      <c r="H34" s="14" t="s">
        <v>210</v>
      </c>
      <c r="I34" s="129">
        <v>46229</v>
      </c>
      <c r="J34" s="44" t="s">
        <v>266</v>
      </c>
      <c r="K34" s="44"/>
      <c r="L34" s="44"/>
      <c r="M34" s="44"/>
      <c r="N34" s="44" t="s">
        <v>267</v>
      </c>
      <c r="O34" s="44" t="s">
        <v>309</v>
      </c>
    </row>
    <row r="35" spans="1:15" x14ac:dyDescent="0.25">
      <c r="A35" s="13" t="s">
        <v>68</v>
      </c>
      <c r="B35" s="13" t="s">
        <v>454</v>
      </c>
      <c r="C35" s="13" t="s">
        <v>100</v>
      </c>
      <c r="D35" s="13" t="s">
        <v>225</v>
      </c>
      <c r="E35" s="13" t="s">
        <v>51</v>
      </c>
      <c r="F35" s="13" t="s">
        <v>209</v>
      </c>
      <c r="G35" s="13" t="s">
        <v>5</v>
      </c>
      <c r="H35" s="13" t="s">
        <v>210</v>
      </c>
      <c r="I35" s="130">
        <v>46229</v>
      </c>
      <c r="J35" s="131" t="s">
        <v>266</v>
      </c>
      <c r="K35" s="131"/>
      <c r="L35" s="131"/>
      <c r="M35" s="131"/>
      <c r="N35" s="131" t="s">
        <v>267</v>
      </c>
      <c r="O35" s="131" t="s">
        <v>309</v>
      </c>
    </row>
    <row r="36" spans="1:15" x14ac:dyDescent="0.25">
      <c r="A36" s="14" t="s">
        <v>68</v>
      </c>
      <c r="B36" s="14" t="s">
        <v>57</v>
      </c>
      <c r="C36" s="14" t="s">
        <v>176</v>
      </c>
      <c r="D36" s="14" t="s">
        <v>221</v>
      </c>
      <c r="E36" s="14" t="s">
        <v>76</v>
      </c>
      <c r="F36" s="14" t="s">
        <v>222</v>
      </c>
      <c r="G36" s="14" t="s">
        <v>5</v>
      </c>
      <c r="H36" s="14" t="s">
        <v>218</v>
      </c>
      <c r="I36" s="129">
        <v>46229</v>
      </c>
      <c r="J36" s="44" t="s">
        <v>266</v>
      </c>
      <c r="K36" s="44"/>
      <c r="L36" s="44"/>
      <c r="M36" s="44"/>
      <c r="N36" s="44" t="s">
        <v>267</v>
      </c>
      <c r="O36" s="44" t="s">
        <v>309</v>
      </c>
    </row>
    <row r="37" spans="1:15" x14ac:dyDescent="0.25">
      <c r="A37" s="13" t="s">
        <v>68</v>
      </c>
      <c r="B37" s="13" t="s">
        <v>57</v>
      </c>
      <c r="C37" s="13" t="s">
        <v>177</v>
      </c>
      <c r="D37" s="13" t="s">
        <v>221</v>
      </c>
      <c r="E37" s="13" t="s">
        <v>76</v>
      </c>
      <c r="F37" s="13" t="s">
        <v>222</v>
      </c>
      <c r="G37" s="13" t="s">
        <v>5</v>
      </c>
      <c r="H37" s="13" t="s">
        <v>210</v>
      </c>
      <c r="I37" s="130">
        <v>46229</v>
      </c>
      <c r="J37" s="131" t="s">
        <v>266</v>
      </c>
      <c r="K37" s="131" t="s">
        <v>267</v>
      </c>
      <c r="L37" s="131"/>
      <c r="M37" s="131"/>
      <c r="N37" s="131"/>
      <c r="O37" s="131" t="s">
        <v>309</v>
      </c>
    </row>
    <row r="38" spans="1:15" x14ac:dyDescent="0.25">
      <c r="A38" s="14" t="s">
        <v>68</v>
      </c>
      <c r="B38" s="14" t="s">
        <v>57</v>
      </c>
      <c r="C38" s="14" t="s">
        <v>118</v>
      </c>
      <c r="D38" s="14" t="s">
        <v>402</v>
      </c>
      <c r="E38" s="14" t="s">
        <v>48</v>
      </c>
      <c r="F38" s="14" t="s">
        <v>216</v>
      </c>
      <c r="G38" s="14" t="s">
        <v>6</v>
      </c>
      <c r="H38" s="14" t="s">
        <v>210</v>
      </c>
      <c r="I38" s="129">
        <v>46229</v>
      </c>
      <c r="J38" s="44" t="s">
        <v>266</v>
      </c>
      <c r="K38" s="44"/>
      <c r="L38" s="44"/>
      <c r="M38" s="44"/>
      <c r="N38" s="44" t="s">
        <v>267</v>
      </c>
      <c r="O38" s="44" t="s">
        <v>309</v>
      </c>
    </row>
    <row r="39" spans="1:15" x14ac:dyDescent="0.25">
      <c r="A39" s="13" t="s">
        <v>68</v>
      </c>
      <c r="B39" s="13" t="s">
        <v>57</v>
      </c>
      <c r="C39" s="13" t="s">
        <v>111</v>
      </c>
      <c r="D39" s="13" t="s">
        <v>402</v>
      </c>
      <c r="E39" s="13" t="s">
        <v>48</v>
      </c>
      <c r="F39" s="13" t="s">
        <v>216</v>
      </c>
      <c r="G39" s="13" t="s">
        <v>5</v>
      </c>
      <c r="H39" s="13" t="s">
        <v>218</v>
      </c>
      <c r="I39" s="130">
        <v>46229</v>
      </c>
      <c r="J39" s="131" t="s">
        <v>273</v>
      </c>
      <c r="K39" s="131"/>
      <c r="L39" s="131"/>
      <c r="M39" s="131"/>
      <c r="N39" s="131" t="s">
        <v>267</v>
      </c>
      <c r="O39" s="131" t="s">
        <v>309</v>
      </c>
    </row>
    <row r="40" spans="1:15" x14ac:dyDescent="0.25">
      <c r="A40" s="14" t="s">
        <v>68</v>
      </c>
      <c r="B40" s="14" t="s">
        <v>57</v>
      </c>
      <c r="C40" s="14" t="s">
        <v>105</v>
      </c>
      <c r="D40" s="14" t="s">
        <v>402</v>
      </c>
      <c r="E40" s="14" t="s">
        <v>48</v>
      </c>
      <c r="F40" s="14" t="s">
        <v>216</v>
      </c>
      <c r="G40" s="14" t="s">
        <v>6</v>
      </c>
      <c r="H40" s="14" t="s">
        <v>218</v>
      </c>
      <c r="I40" s="129">
        <v>46229</v>
      </c>
      <c r="J40" s="44" t="s">
        <v>273</v>
      </c>
      <c r="K40" s="44"/>
      <c r="L40" s="44"/>
      <c r="M40" s="44"/>
      <c r="N40" s="44" t="s">
        <v>267</v>
      </c>
      <c r="O40" s="44" t="s">
        <v>309</v>
      </c>
    </row>
    <row r="41" spans="1:15" x14ac:dyDescent="0.25">
      <c r="A41" s="13" t="s">
        <v>68</v>
      </c>
      <c r="B41" s="13" t="s">
        <v>57</v>
      </c>
      <c r="C41" s="13" t="s">
        <v>89</v>
      </c>
      <c r="D41" s="13" t="s">
        <v>225</v>
      </c>
      <c r="E41" s="13" t="s">
        <v>51</v>
      </c>
      <c r="F41" s="13" t="s">
        <v>209</v>
      </c>
      <c r="G41" s="13" t="s">
        <v>5</v>
      </c>
      <c r="H41" s="13" t="s">
        <v>218</v>
      </c>
      <c r="I41" s="130">
        <v>46229</v>
      </c>
      <c r="J41" s="131" t="s">
        <v>273</v>
      </c>
      <c r="K41" s="131"/>
      <c r="L41" s="131"/>
      <c r="M41" s="131"/>
      <c r="N41" s="131" t="s">
        <v>267</v>
      </c>
      <c r="O41" s="131" t="s">
        <v>309</v>
      </c>
    </row>
    <row r="42" spans="1:15" x14ac:dyDescent="0.25">
      <c r="A42" s="14" t="s">
        <v>68</v>
      </c>
      <c r="B42" s="14" t="s">
        <v>57</v>
      </c>
      <c r="C42" s="14" t="s">
        <v>114</v>
      </c>
      <c r="D42" s="14" t="s">
        <v>225</v>
      </c>
      <c r="E42" s="14" t="s">
        <v>51</v>
      </c>
      <c r="F42" s="14" t="s">
        <v>209</v>
      </c>
      <c r="G42" s="14" t="s">
        <v>5</v>
      </c>
      <c r="H42" s="14" t="s">
        <v>218</v>
      </c>
      <c r="I42" s="129">
        <v>46229</v>
      </c>
      <c r="J42" s="44" t="s">
        <v>273</v>
      </c>
      <c r="K42" s="44"/>
      <c r="L42" s="44"/>
      <c r="M42" s="44"/>
      <c r="N42" s="44" t="s">
        <v>267</v>
      </c>
      <c r="O42" s="44" t="s">
        <v>309</v>
      </c>
    </row>
    <row r="43" spans="1:15" x14ac:dyDescent="0.25">
      <c r="A43" s="13" t="s">
        <v>68</v>
      </c>
      <c r="B43" s="13" t="s">
        <v>57</v>
      </c>
      <c r="C43" s="13" t="s">
        <v>178</v>
      </c>
      <c r="D43" s="13" t="s">
        <v>217</v>
      </c>
      <c r="E43" s="13" t="s">
        <v>48</v>
      </c>
      <c r="F43" s="13" t="s">
        <v>216</v>
      </c>
      <c r="G43" s="13" t="s">
        <v>5</v>
      </c>
      <c r="H43" s="13" t="s">
        <v>218</v>
      </c>
      <c r="I43" s="130">
        <v>46229</v>
      </c>
      <c r="J43" s="131" t="s">
        <v>273</v>
      </c>
      <c r="K43" s="131"/>
      <c r="L43" s="131"/>
      <c r="M43" s="131" t="s">
        <v>267</v>
      </c>
      <c r="N43" s="131"/>
      <c r="O43" s="131" t="s">
        <v>309</v>
      </c>
    </row>
    <row r="44" spans="1:15" x14ac:dyDescent="0.25">
      <c r="A44" s="14" t="s">
        <v>68</v>
      </c>
      <c r="B44" s="14" t="s">
        <v>57</v>
      </c>
      <c r="C44" s="14" t="s">
        <v>179</v>
      </c>
      <c r="D44" s="14" t="s">
        <v>217</v>
      </c>
      <c r="E44" s="14" t="s">
        <v>48</v>
      </c>
      <c r="F44" s="14" t="s">
        <v>216</v>
      </c>
      <c r="G44" s="14" t="s">
        <v>5</v>
      </c>
      <c r="H44" s="14" t="s">
        <v>218</v>
      </c>
      <c r="I44" s="129">
        <v>46229</v>
      </c>
      <c r="J44" s="44" t="s">
        <v>273</v>
      </c>
      <c r="K44" s="44"/>
      <c r="L44" s="44"/>
      <c r="M44" s="44"/>
      <c r="N44" s="44" t="s">
        <v>267</v>
      </c>
      <c r="O44" s="44" t="s">
        <v>309</v>
      </c>
    </row>
    <row r="45" spans="1:15" x14ac:dyDescent="0.25">
      <c r="A45" s="13" t="s">
        <v>68</v>
      </c>
      <c r="B45" s="13" t="s">
        <v>455</v>
      </c>
      <c r="C45" s="13" t="s">
        <v>456</v>
      </c>
      <c r="D45" s="13" t="s">
        <v>215</v>
      </c>
      <c r="E45" s="13" t="s">
        <v>54</v>
      </c>
      <c r="F45" s="13" t="s">
        <v>219</v>
      </c>
      <c r="G45" s="13" t="s">
        <v>6</v>
      </c>
      <c r="H45" s="13" t="s">
        <v>218</v>
      </c>
      <c r="I45" s="130">
        <v>46229</v>
      </c>
      <c r="J45" s="131" t="s">
        <v>273</v>
      </c>
      <c r="K45" s="131"/>
      <c r="L45" s="131"/>
      <c r="M45" s="131"/>
      <c r="N45" s="131" t="s">
        <v>267</v>
      </c>
      <c r="O45" s="131" t="s">
        <v>309</v>
      </c>
    </row>
    <row r="46" spans="1:15" x14ac:dyDescent="0.25">
      <c r="A46" s="14" t="s">
        <v>68</v>
      </c>
      <c r="B46" s="14" t="s">
        <v>457</v>
      </c>
      <c r="C46" s="14" t="s">
        <v>156</v>
      </c>
      <c r="D46" s="14" t="s">
        <v>225</v>
      </c>
      <c r="E46" s="14" t="s">
        <v>51</v>
      </c>
      <c r="F46" s="14" t="s">
        <v>209</v>
      </c>
      <c r="G46" s="14" t="s">
        <v>5</v>
      </c>
      <c r="H46" s="14" t="s">
        <v>218</v>
      </c>
      <c r="I46" s="129">
        <v>46229</v>
      </c>
      <c r="J46" s="44" t="s">
        <v>273</v>
      </c>
      <c r="K46" s="44"/>
      <c r="L46" s="44"/>
      <c r="M46" s="44"/>
      <c r="N46" s="44" t="s">
        <v>267</v>
      </c>
      <c r="O46" s="44" t="s">
        <v>309</v>
      </c>
    </row>
    <row r="47" spans="1:15" x14ac:dyDescent="0.25">
      <c r="A47" s="142" t="s">
        <v>68</v>
      </c>
      <c r="B47" s="142" t="s">
        <v>458</v>
      </c>
      <c r="C47" s="142" t="s">
        <v>153</v>
      </c>
      <c r="D47" s="142" t="s">
        <v>225</v>
      </c>
      <c r="E47" s="142" t="s">
        <v>51</v>
      </c>
      <c r="F47" s="142" t="s">
        <v>209</v>
      </c>
      <c r="G47" s="142" t="s">
        <v>5</v>
      </c>
      <c r="H47" s="142" t="s">
        <v>218</v>
      </c>
      <c r="I47" s="151"/>
      <c r="J47" s="145"/>
      <c r="K47" s="145"/>
      <c r="L47" s="145"/>
      <c r="M47" s="145"/>
      <c r="N47" s="145"/>
      <c r="O47" s="145"/>
    </row>
    <row r="48" spans="1:15" x14ac:dyDescent="0.25">
      <c r="A48" s="14" t="s">
        <v>68</v>
      </c>
      <c r="B48" s="14" t="s">
        <v>459</v>
      </c>
      <c r="C48" s="14" t="s">
        <v>159</v>
      </c>
      <c r="D48" s="14" t="s">
        <v>225</v>
      </c>
      <c r="E48" s="14" t="s">
        <v>51</v>
      </c>
      <c r="F48" s="14" t="s">
        <v>209</v>
      </c>
      <c r="G48" s="14" t="s">
        <v>5</v>
      </c>
      <c r="H48" s="14" t="s">
        <v>210</v>
      </c>
      <c r="I48" s="129">
        <v>46229</v>
      </c>
      <c r="J48" s="44" t="s">
        <v>266</v>
      </c>
      <c r="K48" s="44"/>
      <c r="L48" s="44"/>
      <c r="M48" s="44" t="s">
        <v>267</v>
      </c>
      <c r="N48" s="44"/>
      <c r="O48" s="44" t="s">
        <v>309</v>
      </c>
    </row>
    <row r="49" spans="1:15" x14ac:dyDescent="0.25">
      <c r="A49" s="13" t="s">
        <v>68</v>
      </c>
      <c r="B49" s="13" t="s">
        <v>460</v>
      </c>
      <c r="C49" s="13" t="s">
        <v>75</v>
      </c>
      <c r="D49" s="13" t="s">
        <v>225</v>
      </c>
      <c r="E49" s="13" t="s">
        <v>51</v>
      </c>
      <c r="F49" s="13" t="s">
        <v>209</v>
      </c>
      <c r="G49" s="13" t="s">
        <v>5</v>
      </c>
      <c r="H49" s="13" t="s">
        <v>210</v>
      </c>
      <c r="I49" s="130">
        <v>46229</v>
      </c>
      <c r="J49" s="131" t="s">
        <v>266</v>
      </c>
      <c r="K49" s="131"/>
      <c r="L49" s="131"/>
      <c r="M49" s="131"/>
      <c r="N49" s="131" t="s">
        <v>267</v>
      </c>
      <c r="O49" s="131" t="s">
        <v>309</v>
      </c>
    </row>
    <row r="50" spans="1:15" ht="30.6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94" t="s">
        <v>257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6"/>
    </row>
    <row r="57" spans="1:15" ht="15.75" customHeight="1" x14ac:dyDescent="0.25">
      <c r="A57" s="25"/>
      <c r="B57" s="47"/>
      <c r="C57" s="47"/>
      <c r="D57" s="47"/>
      <c r="E57" s="47"/>
      <c r="F57" s="47"/>
      <c r="G57" s="47"/>
      <c r="H57" s="47"/>
      <c r="I57" s="47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47"/>
      <c r="C58" s="47"/>
      <c r="D58" s="47"/>
      <c r="E58" s="47"/>
      <c r="F58" s="47"/>
      <c r="G58" s="47"/>
      <c r="H58" s="47"/>
      <c r="I58" s="47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47"/>
      <c r="C59" s="47"/>
      <c r="D59" s="47"/>
      <c r="E59" s="47"/>
      <c r="F59" s="47"/>
      <c r="G59" s="47"/>
      <c r="H59" s="47"/>
      <c r="I59" s="47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47"/>
      <c r="C60" s="47"/>
      <c r="D60" s="47"/>
      <c r="E60" s="47"/>
      <c r="F60" s="47"/>
      <c r="G60" s="47"/>
      <c r="H60" s="47"/>
      <c r="I60" s="47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47"/>
      <c r="C61" s="47"/>
      <c r="D61" s="47"/>
      <c r="E61" s="47"/>
      <c r="F61" s="47"/>
      <c r="G61" s="47"/>
      <c r="H61" s="47"/>
      <c r="I61" s="47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47"/>
      <c r="C62" s="47"/>
      <c r="D62" s="47"/>
      <c r="E62" s="47"/>
      <c r="F62" s="47"/>
      <c r="G62" s="47"/>
      <c r="H62" s="47"/>
      <c r="I62" s="47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4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19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9" xr:uid="{47935564-C42D-44D1-8A82-1CCF3BCD321A}">
    <sortState xmlns:xlrd2="http://schemas.microsoft.com/office/spreadsheetml/2017/richdata2" ref="A7:O49">
      <sortCondition ref="A6:A49"/>
    </sortState>
  </autoFilter>
  <mergeCells count="10">
    <mergeCell ref="A113:C113"/>
    <mergeCell ref="A122:C122"/>
    <mergeCell ref="A1:O1"/>
    <mergeCell ref="K5:N5"/>
    <mergeCell ref="A51:O51"/>
    <mergeCell ref="A52:O52"/>
    <mergeCell ref="A53:O53"/>
    <mergeCell ref="A54:O54"/>
    <mergeCell ref="A55:O55"/>
    <mergeCell ref="A56:O56"/>
  </mergeCells>
  <phoneticPr fontId="1" type="noConversion"/>
  <pageMargins left="0.23622047244094491" right="0.23622047244094491" top="0.15748031496062992" bottom="0.15748031496062992" header="0" footer="0"/>
  <pageSetup paperSize="9" scale="57" fitToHeight="0" orientation="landscape" horizontalDpi="4294967293" verticalDpi="4294967293" r:id="rId1"/>
  <rowBreaks count="1" manualBreakCount="1">
    <brk id="55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96C3-C9C8-4AEF-8343-5908FB5D0237}">
  <sheetPr codeName="Planilha11">
    <tabColor rgb="FF92D050"/>
    <pageSetUpPr fitToPage="1"/>
  </sheetPr>
  <dimension ref="A1:W130"/>
  <sheetViews>
    <sheetView showGridLines="0" view="pageBreakPreview" zoomScale="70" zoomScaleNormal="70" zoomScaleSheetLayoutView="70" workbookViewId="0">
      <selection activeCell="J25" sqref="J25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461</v>
      </c>
      <c r="C3" s="26"/>
      <c r="D3" s="35" t="s">
        <v>462</v>
      </c>
      <c r="E3" s="27"/>
      <c r="F3" s="28"/>
      <c r="G3" s="28"/>
      <c r="H3" s="35" t="s">
        <v>196</v>
      </c>
      <c r="I3" s="27"/>
      <c r="J3" s="27"/>
      <c r="K3" s="35" t="s">
        <v>1079</v>
      </c>
      <c r="L3" s="27"/>
      <c r="M3" s="27"/>
      <c r="N3" s="27"/>
      <c r="O3" s="29"/>
      <c r="Q3" s="27"/>
      <c r="R3" s="27"/>
      <c r="S3" s="35" t="s">
        <v>197</v>
      </c>
      <c r="T3" s="27"/>
      <c r="U3" s="193">
        <v>36537</v>
      </c>
      <c r="V3" s="193"/>
      <c r="W3" s="197"/>
    </row>
    <row r="4" spans="1:23" s="2" customFormat="1" x14ac:dyDescent="0.25">
      <c r="C4" s="24"/>
      <c r="I4" s="20"/>
      <c r="Q4" s="20"/>
    </row>
    <row r="5" spans="1:23" ht="15.75" customHeight="1" x14ac:dyDescent="0.25">
      <c r="A5" s="2"/>
      <c r="B5" s="2"/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7" t="s">
        <v>174</v>
      </c>
      <c r="B7" s="9" t="s">
        <v>463</v>
      </c>
      <c r="C7" s="13" t="s">
        <v>55</v>
      </c>
      <c r="D7" s="9" t="s">
        <v>225</v>
      </c>
      <c r="E7" s="9" t="s">
        <v>51</v>
      </c>
      <c r="F7" s="9" t="s">
        <v>209</v>
      </c>
      <c r="G7" s="7" t="s">
        <v>5</v>
      </c>
      <c r="H7" s="46" t="s">
        <v>218</v>
      </c>
      <c r="I7" s="46"/>
      <c r="J7" s="1"/>
      <c r="K7" s="1"/>
      <c r="L7" s="1"/>
      <c r="M7" s="1"/>
      <c r="N7" s="1"/>
      <c r="O7" s="1"/>
      <c r="Q7" s="46">
        <v>46134</v>
      </c>
      <c r="R7" s="1" t="s">
        <v>210</v>
      </c>
      <c r="S7" s="1"/>
      <c r="T7" s="1"/>
      <c r="U7" s="1" t="s">
        <v>267</v>
      </c>
      <c r="V7" s="1"/>
      <c r="W7" s="1" t="s">
        <v>341</v>
      </c>
    </row>
    <row r="8" spans="1:23" x14ac:dyDescent="0.25">
      <c r="A8" s="14" t="s">
        <v>174</v>
      </c>
      <c r="B8" s="18" t="s">
        <v>464</v>
      </c>
      <c r="C8" s="14" t="s">
        <v>84</v>
      </c>
      <c r="D8" s="18" t="s">
        <v>225</v>
      </c>
      <c r="E8" s="18" t="s">
        <v>51</v>
      </c>
      <c r="F8" s="18" t="s">
        <v>209</v>
      </c>
      <c r="G8" s="14" t="s">
        <v>5</v>
      </c>
      <c r="H8" s="129" t="s">
        <v>210</v>
      </c>
      <c r="I8" s="129"/>
      <c r="J8" s="44"/>
      <c r="K8" s="44"/>
      <c r="L8" s="44"/>
      <c r="M8" s="44"/>
      <c r="N8" s="44"/>
      <c r="O8" s="44"/>
      <c r="Q8" s="129">
        <v>46134</v>
      </c>
      <c r="R8" s="44" t="s">
        <v>210</v>
      </c>
      <c r="S8" s="44"/>
      <c r="T8" s="44"/>
      <c r="U8" s="44"/>
      <c r="V8" s="44" t="s">
        <v>267</v>
      </c>
      <c r="W8" s="44" t="s">
        <v>341</v>
      </c>
    </row>
    <row r="9" spans="1:23" x14ac:dyDescent="0.25">
      <c r="A9" s="7" t="s">
        <v>174</v>
      </c>
      <c r="B9" s="9" t="s">
        <v>465</v>
      </c>
      <c r="C9" s="13" t="s">
        <v>67</v>
      </c>
      <c r="D9" s="9" t="s">
        <v>225</v>
      </c>
      <c r="E9" s="9" t="s">
        <v>51</v>
      </c>
      <c r="F9" s="9" t="s">
        <v>209</v>
      </c>
      <c r="G9" s="7" t="s">
        <v>5</v>
      </c>
      <c r="H9" s="46" t="s">
        <v>210</v>
      </c>
      <c r="I9" s="46"/>
      <c r="J9" s="1"/>
      <c r="K9" s="1"/>
      <c r="L9" s="1"/>
      <c r="M9" s="1"/>
      <c r="N9" s="1"/>
      <c r="O9" s="1"/>
      <c r="Q9" s="46">
        <v>46134</v>
      </c>
      <c r="R9" s="1" t="s">
        <v>210</v>
      </c>
      <c r="S9" s="1"/>
      <c r="T9" s="1"/>
      <c r="U9" s="1"/>
      <c r="V9" s="1" t="s">
        <v>267</v>
      </c>
      <c r="W9" s="1" t="s">
        <v>341</v>
      </c>
    </row>
    <row r="10" spans="1:23" x14ac:dyDescent="0.25">
      <c r="A10" s="14" t="s">
        <v>174</v>
      </c>
      <c r="B10" s="18" t="s">
        <v>466</v>
      </c>
      <c r="C10" s="14" t="s">
        <v>71</v>
      </c>
      <c r="D10" s="18" t="s">
        <v>225</v>
      </c>
      <c r="E10" s="18" t="s">
        <v>51</v>
      </c>
      <c r="F10" s="18" t="s">
        <v>209</v>
      </c>
      <c r="G10" s="14" t="s">
        <v>5</v>
      </c>
      <c r="H10" s="129" t="s">
        <v>218</v>
      </c>
      <c r="I10" s="129"/>
      <c r="J10" s="44"/>
      <c r="K10" s="44"/>
      <c r="L10" s="44"/>
      <c r="M10" s="44"/>
      <c r="N10" s="44"/>
      <c r="O10" s="44"/>
      <c r="Q10" s="129">
        <v>46134</v>
      </c>
      <c r="R10" s="44" t="s">
        <v>210</v>
      </c>
      <c r="S10" s="44"/>
      <c r="T10" s="44"/>
      <c r="U10" s="44"/>
      <c r="V10" s="44" t="s">
        <v>267</v>
      </c>
      <c r="W10" s="44" t="s">
        <v>341</v>
      </c>
    </row>
    <row r="11" spans="1:23" x14ac:dyDescent="0.25">
      <c r="A11" s="7" t="s">
        <v>174</v>
      </c>
      <c r="B11" s="9" t="s">
        <v>467</v>
      </c>
      <c r="C11" s="13" t="s">
        <v>59</v>
      </c>
      <c r="D11" s="9" t="s">
        <v>215</v>
      </c>
      <c r="E11" s="9" t="s">
        <v>48</v>
      </c>
      <c r="F11" s="9" t="s">
        <v>216</v>
      </c>
      <c r="G11" s="7" t="s">
        <v>6</v>
      </c>
      <c r="H11" s="46" t="s">
        <v>210</v>
      </c>
      <c r="I11" s="46"/>
      <c r="J11" s="1"/>
      <c r="K11" s="1"/>
      <c r="L11" s="1"/>
      <c r="M11" s="1"/>
      <c r="N11" s="1"/>
      <c r="O11" s="1"/>
      <c r="Q11" s="46">
        <v>46135</v>
      </c>
      <c r="R11" s="1" t="s">
        <v>210</v>
      </c>
      <c r="S11" s="1"/>
      <c r="T11" s="1"/>
      <c r="U11" s="1" t="s">
        <v>267</v>
      </c>
      <c r="V11" s="1"/>
      <c r="W11" s="1" t="s">
        <v>367</v>
      </c>
    </row>
    <row r="12" spans="1:23" x14ac:dyDescent="0.25">
      <c r="A12" s="14" t="s">
        <v>174</v>
      </c>
      <c r="B12" s="18" t="s">
        <v>57</v>
      </c>
      <c r="C12" s="14" t="s">
        <v>47</v>
      </c>
      <c r="D12" s="18" t="s">
        <v>402</v>
      </c>
      <c r="E12" s="18" t="s">
        <v>48</v>
      </c>
      <c r="F12" s="18" t="s">
        <v>216</v>
      </c>
      <c r="G12" s="14" t="s">
        <v>5</v>
      </c>
      <c r="H12" s="129" t="s">
        <v>218</v>
      </c>
      <c r="I12" s="129"/>
      <c r="J12" s="44"/>
      <c r="K12" s="44"/>
      <c r="L12" s="44"/>
      <c r="M12" s="44"/>
      <c r="N12" s="44"/>
      <c r="O12" s="44"/>
      <c r="Q12" s="129">
        <v>46134</v>
      </c>
      <c r="R12" s="44" t="s">
        <v>210</v>
      </c>
      <c r="S12" s="44"/>
      <c r="T12" s="44"/>
      <c r="U12" s="44"/>
      <c r="V12" s="44" t="s">
        <v>267</v>
      </c>
      <c r="W12" s="44" t="s">
        <v>341</v>
      </c>
    </row>
    <row r="13" spans="1:23" x14ac:dyDescent="0.25">
      <c r="A13" s="7" t="s">
        <v>174</v>
      </c>
      <c r="B13" s="9" t="s">
        <v>57</v>
      </c>
      <c r="C13" s="13" t="s">
        <v>56</v>
      </c>
      <c r="D13" s="9" t="s">
        <v>402</v>
      </c>
      <c r="E13" s="9" t="s">
        <v>54</v>
      </c>
      <c r="F13" s="9" t="s">
        <v>219</v>
      </c>
      <c r="G13" s="7" t="s">
        <v>6</v>
      </c>
      <c r="H13" s="46" t="s">
        <v>210</v>
      </c>
      <c r="I13" s="46"/>
      <c r="J13" s="1"/>
      <c r="K13" s="1"/>
      <c r="L13" s="1"/>
      <c r="M13" s="1"/>
      <c r="N13" s="1"/>
      <c r="O13" s="1"/>
      <c r="Q13" s="46">
        <v>46134</v>
      </c>
      <c r="R13" s="1" t="s">
        <v>210</v>
      </c>
      <c r="S13" s="1"/>
      <c r="T13" s="1"/>
      <c r="U13" s="1"/>
      <c r="V13" s="1" t="s">
        <v>267</v>
      </c>
      <c r="W13" s="1" t="s">
        <v>341</v>
      </c>
    </row>
    <row r="14" spans="1:23" x14ac:dyDescent="0.25">
      <c r="A14" s="14" t="s">
        <v>174</v>
      </c>
      <c r="B14" s="18" t="s">
        <v>57</v>
      </c>
      <c r="C14" s="14" t="s">
        <v>53</v>
      </c>
      <c r="D14" s="18" t="s">
        <v>215</v>
      </c>
      <c r="E14" s="18" t="s">
        <v>54</v>
      </c>
      <c r="F14" s="18" t="s">
        <v>219</v>
      </c>
      <c r="G14" s="14" t="s">
        <v>6</v>
      </c>
      <c r="H14" s="129" t="s">
        <v>210</v>
      </c>
      <c r="I14" s="129"/>
      <c r="J14" s="44"/>
      <c r="K14" s="44"/>
      <c r="L14" s="44"/>
      <c r="M14" s="44"/>
      <c r="N14" s="44"/>
      <c r="O14" s="44"/>
      <c r="Q14" s="129">
        <v>46134</v>
      </c>
      <c r="R14" s="44" t="s">
        <v>210</v>
      </c>
      <c r="S14" s="44"/>
      <c r="T14" s="44"/>
      <c r="U14" s="44" t="s">
        <v>267</v>
      </c>
      <c r="V14" s="44"/>
      <c r="W14" s="44" t="s">
        <v>341</v>
      </c>
    </row>
    <row r="15" spans="1:23" x14ac:dyDescent="0.25">
      <c r="A15" s="7" t="s">
        <v>174</v>
      </c>
      <c r="B15" s="9" t="s">
        <v>57</v>
      </c>
      <c r="C15" s="13" t="s">
        <v>58</v>
      </c>
      <c r="D15" s="9" t="s">
        <v>215</v>
      </c>
      <c r="E15" s="9" t="s">
        <v>54</v>
      </c>
      <c r="F15" s="9" t="s">
        <v>219</v>
      </c>
      <c r="G15" s="7" t="s">
        <v>6</v>
      </c>
      <c r="H15" s="46" t="s">
        <v>210</v>
      </c>
      <c r="I15" s="46"/>
      <c r="J15" s="1"/>
      <c r="K15" s="1"/>
      <c r="L15" s="1"/>
      <c r="M15" s="1"/>
      <c r="N15" s="1"/>
      <c r="O15" s="1"/>
      <c r="Q15" s="46">
        <v>46134</v>
      </c>
      <c r="R15" s="1" t="s">
        <v>210</v>
      </c>
      <c r="S15" s="1"/>
      <c r="T15" s="1"/>
      <c r="U15" s="1" t="s">
        <v>267</v>
      </c>
      <c r="V15" s="1"/>
      <c r="W15" s="1" t="s">
        <v>341</v>
      </c>
    </row>
    <row r="16" spans="1:23" x14ac:dyDescent="0.25">
      <c r="A16" s="14" t="s">
        <v>174</v>
      </c>
      <c r="B16" s="18" t="s">
        <v>468</v>
      </c>
      <c r="C16" s="14" t="s">
        <v>175</v>
      </c>
      <c r="D16" s="18" t="s">
        <v>221</v>
      </c>
      <c r="E16" s="18" t="s">
        <v>76</v>
      </c>
      <c r="F16" s="18" t="s">
        <v>222</v>
      </c>
      <c r="G16" s="14" t="s">
        <v>5</v>
      </c>
      <c r="H16" s="129" t="s">
        <v>210</v>
      </c>
      <c r="I16" s="129"/>
      <c r="J16" s="44"/>
      <c r="K16" s="44"/>
      <c r="L16" s="44"/>
      <c r="M16" s="44"/>
      <c r="N16" s="44"/>
      <c r="O16" s="44"/>
      <c r="Q16" s="129">
        <v>46134</v>
      </c>
      <c r="R16" s="44" t="s">
        <v>210</v>
      </c>
      <c r="S16" s="44"/>
      <c r="T16" s="44"/>
      <c r="U16" s="44"/>
      <c r="V16" s="44" t="s">
        <v>267</v>
      </c>
      <c r="W16" s="44" t="s">
        <v>341</v>
      </c>
    </row>
    <row r="17" spans="1:23" x14ac:dyDescent="0.25">
      <c r="A17" s="7" t="s">
        <v>174</v>
      </c>
      <c r="B17" s="9" t="s">
        <v>469</v>
      </c>
      <c r="C17" s="13" t="s">
        <v>72</v>
      </c>
      <c r="D17" s="9" t="s">
        <v>221</v>
      </c>
      <c r="E17" s="9" t="s">
        <v>76</v>
      </c>
      <c r="F17" s="9" t="s">
        <v>222</v>
      </c>
      <c r="G17" s="7" t="s">
        <v>5</v>
      </c>
      <c r="H17" s="46" t="s">
        <v>210</v>
      </c>
      <c r="I17" s="46"/>
      <c r="J17" s="1"/>
      <c r="K17" s="1"/>
      <c r="L17" s="1"/>
      <c r="M17" s="1"/>
      <c r="N17" s="1"/>
      <c r="O17" s="1"/>
      <c r="Q17" s="46">
        <v>46134</v>
      </c>
      <c r="R17" s="1" t="s">
        <v>210</v>
      </c>
      <c r="S17" s="1"/>
      <c r="T17" s="1"/>
      <c r="U17" s="1" t="s">
        <v>267</v>
      </c>
      <c r="V17" s="1"/>
      <c r="W17" s="1" t="s">
        <v>367</v>
      </c>
    </row>
    <row r="18" spans="1:23" x14ac:dyDescent="0.25">
      <c r="A18" s="14" t="s">
        <v>68</v>
      </c>
      <c r="B18" s="18" t="s">
        <v>470</v>
      </c>
      <c r="C18" s="14" t="s">
        <v>125</v>
      </c>
      <c r="D18" s="18" t="s">
        <v>225</v>
      </c>
      <c r="E18" s="18" t="s">
        <v>51</v>
      </c>
      <c r="F18" s="18" t="s">
        <v>209</v>
      </c>
      <c r="G18" s="14" t="s">
        <v>5</v>
      </c>
      <c r="H18" s="129" t="s">
        <v>210</v>
      </c>
      <c r="I18" s="129"/>
      <c r="J18" s="44"/>
      <c r="K18" s="44"/>
      <c r="L18" s="44"/>
      <c r="M18" s="44"/>
      <c r="N18" s="44"/>
      <c r="O18" s="44"/>
      <c r="Q18" s="129">
        <v>46134</v>
      </c>
      <c r="R18" s="44" t="s">
        <v>210</v>
      </c>
      <c r="S18" s="44"/>
      <c r="T18" s="44"/>
      <c r="U18" s="44"/>
      <c r="V18" s="44" t="s">
        <v>267</v>
      </c>
      <c r="W18" s="44" t="s">
        <v>341</v>
      </c>
    </row>
    <row r="19" spans="1:23" x14ac:dyDescent="0.25">
      <c r="A19" s="7" t="s">
        <v>68</v>
      </c>
      <c r="B19" s="9" t="s">
        <v>471</v>
      </c>
      <c r="C19" s="13" t="s">
        <v>158</v>
      </c>
      <c r="D19" s="9" t="s">
        <v>225</v>
      </c>
      <c r="E19" s="9" t="s">
        <v>51</v>
      </c>
      <c r="F19" s="9" t="s">
        <v>209</v>
      </c>
      <c r="G19" s="7" t="s">
        <v>5</v>
      </c>
      <c r="H19" s="46" t="s">
        <v>218</v>
      </c>
      <c r="I19" s="46"/>
      <c r="J19" s="1"/>
      <c r="K19" s="1"/>
      <c r="L19" s="1"/>
      <c r="M19" s="1"/>
      <c r="N19" s="1"/>
      <c r="O19" s="1"/>
      <c r="Q19" s="46">
        <v>46134</v>
      </c>
      <c r="R19" s="1" t="s">
        <v>210</v>
      </c>
      <c r="S19" s="1"/>
      <c r="T19" s="1"/>
      <c r="U19" s="1"/>
      <c r="V19" s="1" t="s">
        <v>267</v>
      </c>
      <c r="W19" s="1" t="s">
        <v>341</v>
      </c>
    </row>
    <row r="20" spans="1:23" x14ac:dyDescent="0.25">
      <c r="A20" s="14" t="s">
        <v>68</v>
      </c>
      <c r="B20" s="18" t="s">
        <v>472</v>
      </c>
      <c r="C20" s="14" t="s">
        <v>106</v>
      </c>
      <c r="D20" s="18" t="s">
        <v>225</v>
      </c>
      <c r="E20" s="18" t="s">
        <v>51</v>
      </c>
      <c r="F20" s="18" t="s">
        <v>209</v>
      </c>
      <c r="G20" s="14" t="s">
        <v>5</v>
      </c>
      <c r="H20" s="129" t="s">
        <v>218</v>
      </c>
      <c r="I20" s="129"/>
      <c r="J20" s="44"/>
      <c r="K20" s="44"/>
      <c r="L20" s="44"/>
      <c r="M20" s="44"/>
      <c r="N20" s="44"/>
      <c r="O20" s="44"/>
      <c r="Q20" s="129">
        <v>46134</v>
      </c>
      <c r="R20" s="44" t="s">
        <v>210</v>
      </c>
      <c r="S20" s="44"/>
      <c r="T20" s="44"/>
      <c r="U20" s="44"/>
      <c r="V20" s="44" t="s">
        <v>267</v>
      </c>
      <c r="W20" s="44" t="s">
        <v>341</v>
      </c>
    </row>
    <row r="21" spans="1:23" x14ac:dyDescent="0.25">
      <c r="A21" s="7" t="s">
        <v>68</v>
      </c>
      <c r="B21" s="9" t="s">
        <v>473</v>
      </c>
      <c r="C21" s="13" t="s">
        <v>115</v>
      </c>
      <c r="D21" s="9" t="s">
        <v>229</v>
      </c>
      <c r="E21" s="9" t="s">
        <v>80</v>
      </c>
      <c r="F21" s="9" t="s">
        <v>230</v>
      </c>
      <c r="G21" s="7" t="s">
        <v>5</v>
      </c>
      <c r="H21" s="46" t="s">
        <v>218</v>
      </c>
      <c r="I21" s="46"/>
      <c r="J21" s="1"/>
      <c r="K21" s="1"/>
      <c r="L21" s="1"/>
      <c r="M21" s="1"/>
      <c r="N21" s="1"/>
      <c r="O21" s="1"/>
      <c r="Q21" s="46">
        <v>46134</v>
      </c>
      <c r="R21" s="1" t="s">
        <v>210</v>
      </c>
      <c r="S21" s="1"/>
      <c r="T21" s="1"/>
      <c r="U21" s="1"/>
      <c r="V21" s="1" t="s">
        <v>267</v>
      </c>
      <c r="W21" s="1" t="s">
        <v>341</v>
      </c>
    </row>
    <row r="22" spans="1:23" x14ac:dyDescent="0.25">
      <c r="A22" s="14" t="s">
        <v>68</v>
      </c>
      <c r="B22" s="18" t="s">
        <v>474</v>
      </c>
      <c r="C22" s="14" t="s">
        <v>147</v>
      </c>
      <c r="D22" s="18" t="s">
        <v>229</v>
      </c>
      <c r="E22" s="18" t="s">
        <v>80</v>
      </c>
      <c r="F22" s="18" t="s">
        <v>230</v>
      </c>
      <c r="G22" s="14" t="s">
        <v>5</v>
      </c>
      <c r="H22" s="129" t="s">
        <v>218</v>
      </c>
      <c r="I22" s="129"/>
      <c r="J22" s="44"/>
      <c r="K22" s="44"/>
      <c r="L22" s="44"/>
      <c r="M22" s="44"/>
      <c r="N22" s="44"/>
      <c r="O22" s="44"/>
      <c r="Q22" s="129">
        <v>46134</v>
      </c>
      <c r="R22" s="44" t="s">
        <v>210</v>
      </c>
      <c r="S22" s="44"/>
      <c r="T22" s="44" t="s">
        <v>267</v>
      </c>
      <c r="U22" s="44"/>
      <c r="V22" s="44"/>
      <c r="W22" s="44" t="s">
        <v>367</v>
      </c>
    </row>
    <row r="23" spans="1:23" x14ac:dyDescent="0.25">
      <c r="A23" s="7" t="s">
        <v>68</v>
      </c>
      <c r="B23" s="9" t="s">
        <v>475</v>
      </c>
      <c r="C23" s="13" t="s">
        <v>103</v>
      </c>
      <c r="D23" s="9" t="s">
        <v>229</v>
      </c>
      <c r="E23" s="9" t="s">
        <v>80</v>
      </c>
      <c r="F23" s="9" t="s">
        <v>230</v>
      </c>
      <c r="G23" s="7" t="s">
        <v>5</v>
      </c>
      <c r="H23" s="46" t="s">
        <v>210</v>
      </c>
      <c r="I23" s="46"/>
      <c r="J23" s="1"/>
      <c r="K23" s="1"/>
      <c r="L23" s="1"/>
      <c r="M23" s="1"/>
      <c r="N23" s="1"/>
      <c r="O23" s="1"/>
      <c r="Q23" s="46">
        <v>46134</v>
      </c>
      <c r="R23" s="1" t="s">
        <v>210</v>
      </c>
      <c r="S23" s="1"/>
      <c r="T23" s="1"/>
      <c r="U23" s="1"/>
      <c r="V23" s="1" t="s">
        <v>267</v>
      </c>
      <c r="W23" s="1" t="s">
        <v>341</v>
      </c>
    </row>
    <row r="24" spans="1:23" x14ac:dyDescent="0.25">
      <c r="A24" s="14" t="s">
        <v>68</v>
      </c>
      <c r="B24" s="18" t="s">
        <v>476</v>
      </c>
      <c r="C24" s="14" t="s">
        <v>119</v>
      </c>
      <c r="D24" s="18" t="s">
        <v>225</v>
      </c>
      <c r="E24" s="18" t="s">
        <v>51</v>
      </c>
      <c r="F24" s="18" t="s">
        <v>209</v>
      </c>
      <c r="G24" s="14" t="s">
        <v>5</v>
      </c>
      <c r="H24" s="129" t="s">
        <v>218</v>
      </c>
      <c r="I24" s="129"/>
      <c r="J24" s="44"/>
      <c r="K24" s="44"/>
      <c r="L24" s="44"/>
      <c r="M24" s="44"/>
      <c r="N24" s="44"/>
      <c r="O24" s="44"/>
      <c r="Q24" s="129">
        <v>46134</v>
      </c>
      <c r="R24" s="44" t="s">
        <v>210</v>
      </c>
      <c r="S24" s="44"/>
      <c r="T24" s="44"/>
      <c r="U24" s="44"/>
      <c r="V24" s="44" t="s">
        <v>267</v>
      </c>
      <c r="W24" s="44" t="s">
        <v>341</v>
      </c>
    </row>
    <row r="25" spans="1:23" x14ac:dyDescent="0.25">
      <c r="A25" s="7" t="s">
        <v>68</v>
      </c>
      <c r="B25" s="9" t="s">
        <v>477</v>
      </c>
      <c r="C25" s="13" t="s">
        <v>150</v>
      </c>
      <c r="D25" s="9" t="s">
        <v>225</v>
      </c>
      <c r="E25" s="9" t="s">
        <v>51</v>
      </c>
      <c r="F25" s="9" t="s">
        <v>209</v>
      </c>
      <c r="G25" s="7" t="s">
        <v>5</v>
      </c>
      <c r="H25" s="46" t="s">
        <v>218</v>
      </c>
      <c r="I25" s="46"/>
      <c r="J25" s="1"/>
      <c r="K25" s="1"/>
      <c r="L25" s="1"/>
      <c r="M25" s="1"/>
      <c r="N25" s="1"/>
      <c r="O25" s="1"/>
      <c r="Q25" s="46">
        <v>46134</v>
      </c>
      <c r="R25" s="1" t="s">
        <v>210</v>
      </c>
      <c r="S25" s="1"/>
      <c r="T25" s="1"/>
      <c r="U25" s="1"/>
      <c r="V25" s="1" t="s">
        <v>267</v>
      </c>
      <c r="W25" s="1" t="s">
        <v>341</v>
      </c>
    </row>
    <row r="26" spans="1:23" x14ac:dyDescent="0.25">
      <c r="A26" s="14" t="s">
        <v>68</v>
      </c>
      <c r="B26" s="18" t="s">
        <v>478</v>
      </c>
      <c r="C26" s="14" t="s">
        <v>85</v>
      </c>
      <c r="D26" s="18" t="s">
        <v>225</v>
      </c>
      <c r="E26" s="18" t="s">
        <v>51</v>
      </c>
      <c r="F26" s="18" t="s">
        <v>209</v>
      </c>
      <c r="G26" s="14" t="s">
        <v>5</v>
      </c>
      <c r="H26" s="129" t="s">
        <v>218</v>
      </c>
      <c r="I26" s="129"/>
      <c r="J26" s="44"/>
      <c r="K26" s="44"/>
      <c r="L26" s="44"/>
      <c r="M26" s="44"/>
      <c r="N26" s="44"/>
      <c r="O26" s="44"/>
      <c r="Q26" s="129">
        <v>46134</v>
      </c>
      <c r="R26" s="44" t="s">
        <v>210</v>
      </c>
      <c r="S26" s="44"/>
      <c r="T26" s="44"/>
      <c r="U26" s="44"/>
      <c r="V26" s="44" t="s">
        <v>267</v>
      </c>
      <c r="W26" s="44" t="s">
        <v>341</v>
      </c>
    </row>
    <row r="27" spans="1:23" x14ac:dyDescent="0.25">
      <c r="A27" s="7" t="s">
        <v>68</v>
      </c>
      <c r="B27" s="9" t="s">
        <v>479</v>
      </c>
      <c r="C27" s="13" t="s">
        <v>122</v>
      </c>
      <c r="D27" s="9" t="s">
        <v>225</v>
      </c>
      <c r="E27" s="9" t="s">
        <v>51</v>
      </c>
      <c r="F27" s="9" t="s">
        <v>209</v>
      </c>
      <c r="G27" s="7" t="s">
        <v>5</v>
      </c>
      <c r="H27" s="46" t="s">
        <v>218</v>
      </c>
      <c r="I27" s="46"/>
      <c r="J27" s="1"/>
      <c r="K27" s="1"/>
      <c r="L27" s="1"/>
      <c r="M27" s="1"/>
      <c r="N27" s="1"/>
      <c r="O27" s="1"/>
      <c r="Q27" s="46">
        <v>46134</v>
      </c>
      <c r="R27" s="1" t="s">
        <v>210</v>
      </c>
      <c r="S27" s="1"/>
      <c r="T27" s="1"/>
      <c r="U27" s="1"/>
      <c r="V27" s="1" t="s">
        <v>267</v>
      </c>
      <c r="W27" s="1" t="s">
        <v>341</v>
      </c>
    </row>
    <row r="28" spans="1:23" x14ac:dyDescent="0.25">
      <c r="A28" s="14" t="s">
        <v>68</v>
      </c>
      <c r="B28" s="18" t="s">
        <v>480</v>
      </c>
      <c r="C28" s="14" t="s">
        <v>155</v>
      </c>
      <c r="D28" s="18" t="s">
        <v>225</v>
      </c>
      <c r="E28" s="18" t="s">
        <v>51</v>
      </c>
      <c r="F28" s="18" t="s">
        <v>209</v>
      </c>
      <c r="G28" s="14" t="s">
        <v>5</v>
      </c>
      <c r="H28" s="129" t="s">
        <v>210</v>
      </c>
      <c r="I28" s="129"/>
      <c r="J28" s="44"/>
      <c r="K28" s="44"/>
      <c r="L28" s="44"/>
      <c r="M28" s="44"/>
      <c r="N28" s="44"/>
      <c r="O28" s="44"/>
      <c r="Q28" s="129">
        <v>46134</v>
      </c>
      <c r="R28" s="44" t="s">
        <v>210</v>
      </c>
      <c r="S28" s="44"/>
      <c r="T28" s="44"/>
      <c r="U28" s="44"/>
      <c r="V28" s="44" t="s">
        <v>267</v>
      </c>
      <c r="W28" s="44" t="s">
        <v>341</v>
      </c>
    </row>
    <row r="29" spans="1:23" x14ac:dyDescent="0.25">
      <c r="A29" s="7" t="s">
        <v>68</v>
      </c>
      <c r="B29" s="9" t="s">
        <v>481</v>
      </c>
      <c r="C29" s="13" t="s">
        <v>90</v>
      </c>
      <c r="D29" s="9" t="s">
        <v>225</v>
      </c>
      <c r="E29" s="9" t="s">
        <v>51</v>
      </c>
      <c r="F29" s="9" t="s">
        <v>209</v>
      </c>
      <c r="G29" s="7" t="s">
        <v>5</v>
      </c>
      <c r="H29" s="46" t="s">
        <v>218</v>
      </c>
      <c r="I29" s="46"/>
      <c r="J29" s="1"/>
      <c r="K29" s="1"/>
      <c r="L29" s="1"/>
      <c r="M29" s="1"/>
      <c r="N29" s="1"/>
      <c r="O29" s="1"/>
      <c r="Q29" s="46">
        <v>46134</v>
      </c>
      <c r="R29" s="1" t="s">
        <v>210</v>
      </c>
      <c r="S29" s="1"/>
      <c r="T29" s="1"/>
      <c r="U29" s="1"/>
      <c r="V29" s="1" t="s">
        <v>267</v>
      </c>
      <c r="W29" s="1" t="s">
        <v>341</v>
      </c>
    </row>
    <row r="30" spans="1:23" x14ac:dyDescent="0.25">
      <c r="A30" s="14" t="s">
        <v>68</v>
      </c>
      <c r="B30" s="18" t="s">
        <v>482</v>
      </c>
      <c r="C30" s="14" t="s">
        <v>128</v>
      </c>
      <c r="D30" s="18" t="s">
        <v>240</v>
      </c>
      <c r="E30" s="18" t="s">
        <v>86</v>
      </c>
      <c r="F30" s="18" t="s">
        <v>241</v>
      </c>
      <c r="G30" s="14" t="s">
        <v>5</v>
      </c>
      <c r="H30" s="129" t="s">
        <v>218</v>
      </c>
      <c r="I30" s="129"/>
      <c r="J30" s="44"/>
      <c r="K30" s="44"/>
      <c r="L30" s="44"/>
      <c r="M30" s="44"/>
      <c r="N30" s="44"/>
      <c r="O30" s="44"/>
      <c r="Q30" s="129">
        <v>46134</v>
      </c>
      <c r="R30" s="44" t="s">
        <v>210</v>
      </c>
      <c r="S30" s="44"/>
      <c r="T30" s="44"/>
      <c r="U30" s="44"/>
      <c r="V30" s="44" t="s">
        <v>267</v>
      </c>
      <c r="W30" s="44" t="s">
        <v>341</v>
      </c>
    </row>
    <row r="31" spans="1:23" x14ac:dyDescent="0.25">
      <c r="A31" s="7" t="s">
        <v>68</v>
      </c>
      <c r="B31" s="9" t="s">
        <v>483</v>
      </c>
      <c r="C31" s="13" t="s">
        <v>152</v>
      </c>
      <c r="D31" s="9" t="s">
        <v>240</v>
      </c>
      <c r="E31" s="9" t="s">
        <v>86</v>
      </c>
      <c r="F31" s="9" t="s">
        <v>241</v>
      </c>
      <c r="G31" s="7" t="s">
        <v>5</v>
      </c>
      <c r="H31" s="46" t="s">
        <v>218</v>
      </c>
      <c r="I31" s="46"/>
      <c r="J31" s="1"/>
      <c r="K31" s="1"/>
      <c r="L31" s="1"/>
      <c r="M31" s="1"/>
      <c r="N31" s="1"/>
      <c r="O31" s="1"/>
      <c r="Q31" s="46">
        <v>46134</v>
      </c>
      <c r="R31" s="1" t="s">
        <v>210</v>
      </c>
      <c r="S31" s="1"/>
      <c r="T31" s="1"/>
      <c r="U31" s="1" t="s">
        <v>267</v>
      </c>
      <c r="V31" s="1"/>
      <c r="W31" s="1" t="s">
        <v>367</v>
      </c>
    </row>
    <row r="32" spans="1:23" x14ac:dyDescent="0.25">
      <c r="A32" s="14" t="s">
        <v>68</v>
      </c>
      <c r="B32" s="18" t="s">
        <v>484</v>
      </c>
      <c r="C32" s="14" t="s">
        <v>96</v>
      </c>
      <c r="D32" s="18" t="s">
        <v>240</v>
      </c>
      <c r="E32" s="18" t="s">
        <v>86</v>
      </c>
      <c r="F32" s="18" t="s">
        <v>241</v>
      </c>
      <c r="G32" s="14" t="s">
        <v>5</v>
      </c>
      <c r="H32" s="129" t="s">
        <v>218</v>
      </c>
      <c r="I32" s="129"/>
      <c r="J32" s="44"/>
      <c r="K32" s="44"/>
      <c r="L32" s="44"/>
      <c r="M32" s="44"/>
      <c r="N32" s="44"/>
      <c r="O32" s="44"/>
      <c r="Q32" s="129">
        <v>46134</v>
      </c>
      <c r="R32" s="44" t="s">
        <v>210</v>
      </c>
      <c r="S32" s="44"/>
      <c r="T32" s="44"/>
      <c r="U32" s="44"/>
      <c r="V32" s="44" t="s">
        <v>267</v>
      </c>
      <c r="W32" s="44" t="s">
        <v>341</v>
      </c>
    </row>
    <row r="33" spans="1:23" ht="18" customHeight="1" x14ac:dyDescent="0.25">
      <c r="A33" s="7" t="s">
        <v>68</v>
      </c>
      <c r="B33" s="9" t="s">
        <v>485</v>
      </c>
      <c r="C33" s="13" t="s">
        <v>93</v>
      </c>
      <c r="D33" s="9" t="s">
        <v>225</v>
      </c>
      <c r="E33" s="9" t="s">
        <v>51</v>
      </c>
      <c r="F33" s="9" t="s">
        <v>209</v>
      </c>
      <c r="G33" s="7" t="s">
        <v>5</v>
      </c>
      <c r="H33" s="46" t="s">
        <v>218</v>
      </c>
      <c r="I33" s="46"/>
      <c r="J33" s="1"/>
      <c r="K33" s="1"/>
      <c r="L33" s="1"/>
      <c r="M33" s="1"/>
      <c r="N33" s="1"/>
      <c r="O33" s="1"/>
      <c r="Q33" s="46">
        <v>46134</v>
      </c>
      <c r="R33" s="1" t="s">
        <v>210</v>
      </c>
      <c r="S33" s="1"/>
      <c r="T33" s="1"/>
      <c r="U33" s="1" t="s">
        <v>267</v>
      </c>
      <c r="V33" s="1"/>
      <c r="W33" s="1" t="s">
        <v>367</v>
      </c>
    </row>
    <row r="34" spans="1:23" x14ac:dyDescent="0.25">
      <c r="A34" s="14" t="s">
        <v>68</v>
      </c>
      <c r="B34" s="18" t="s">
        <v>486</v>
      </c>
      <c r="C34" s="14" t="s">
        <v>161</v>
      </c>
      <c r="D34" s="18" t="s">
        <v>225</v>
      </c>
      <c r="E34" s="18" t="s">
        <v>51</v>
      </c>
      <c r="F34" s="18" t="s">
        <v>209</v>
      </c>
      <c r="G34" s="14" t="s">
        <v>5</v>
      </c>
      <c r="H34" s="129" t="s">
        <v>218</v>
      </c>
      <c r="I34" s="129"/>
      <c r="J34" s="44"/>
      <c r="K34" s="44"/>
      <c r="L34" s="44"/>
      <c r="M34" s="44"/>
      <c r="N34" s="44"/>
      <c r="O34" s="44"/>
      <c r="Q34" s="129">
        <v>46134</v>
      </c>
      <c r="R34" s="44" t="s">
        <v>210</v>
      </c>
      <c r="S34" s="44"/>
      <c r="T34" s="44"/>
      <c r="U34" s="44" t="s">
        <v>267</v>
      </c>
      <c r="V34" s="44"/>
      <c r="W34" s="44" t="s">
        <v>367</v>
      </c>
    </row>
    <row r="35" spans="1:23" x14ac:dyDescent="0.25">
      <c r="A35" s="7" t="s">
        <v>68</v>
      </c>
      <c r="B35" s="9" t="s">
        <v>487</v>
      </c>
      <c r="C35" s="13" t="s">
        <v>100</v>
      </c>
      <c r="D35" s="9" t="s">
        <v>225</v>
      </c>
      <c r="E35" s="9" t="s">
        <v>51</v>
      </c>
      <c r="F35" s="9" t="s">
        <v>209</v>
      </c>
      <c r="G35" s="7" t="s">
        <v>5</v>
      </c>
      <c r="H35" s="46" t="s">
        <v>218</v>
      </c>
      <c r="I35" s="46"/>
      <c r="J35" s="1"/>
      <c r="K35" s="1"/>
      <c r="L35" s="1"/>
      <c r="M35" s="1"/>
      <c r="N35" s="1"/>
      <c r="O35" s="1"/>
      <c r="Q35" s="46">
        <v>46134</v>
      </c>
      <c r="R35" s="1" t="s">
        <v>210</v>
      </c>
      <c r="S35" s="1"/>
      <c r="T35" s="1"/>
      <c r="U35" s="1" t="s">
        <v>267</v>
      </c>
      <c r="V35" s="1"/>
      <c r="W35" s="1" t="s">
        <v>367</v>
      </c>
    </row>
    <row r="36" spans="1:23" x14ac:dyDescent="0.25">
      <c r="A36" s="14" t="s">
        <v>68</v>
      </c>
      <c r="B36" s="18" t="s">
        <v>57</v>
      </c>
      <c r="C36" s="14" t="s">
        <v>89</v>
      </c>
      <c r="D36" s="18" t="s">
        <v>225</v>
      </c>
      <c r="E36" s="18" t="s">
        <v>51</v>
      </c>
      <c r="F36" s="18" t="s">
        <v>209</v>
      </c>
      <c r="G36" s="14" t="s">
        <v>5</v>
      </c>
      <c r="H36" s="129" t="s">
        <v>210</v>
      </c>
      <c r="I36" s="129"/>
      <c r="J36" s="44"/>
      <c r="K36" s="44"/>
      <c r="L36" s="44"/>
      <c r="M36" s="44"/>
      <c r="N36" s="44"/>
      <c r="O36" s="44"/>
      <c r="Q36" s="129">
        <v>46134</v>
      </c>
      <c r="R36" s="44" t="s">
        <v>210</v>
      </c>
      <c r="S36" s="44"/>
      <c r="T36" s="44"/>
      <c r="U36" s="44"/>
      <c r="V36" s="44" t="s">
        <v>267</v>
      </c>
      <c r="W36" s="44" t="s">
        <v>341</v>
      </c>
    </row>
    <row r="37" spans="1:23" x14ac:dyDescent="0.25">
      <c r="A37" s="7" t="s">
        <v>68</v>
      </c>
      <c r="B37" s="9" t="s">
        <v>57</v>
      </c>
      <c r="C37" s="13" t="s">
        <v>111</v>
      </c>
      <c r="D37" s="9" t="s">
        <v>402</v>
      </c>
      <c r="E37" s="9" t="s">
        <v>48</v>
      </c>
      <c r="F37" s="9" t="s">
        <v>216</v>
      </c>
      <c r="G37" s="7" t="s">
        <v>5</v>
      </c>
      <c r="H37" s="46" t="s">
        <v>210</v>
      </c>
      <c r="I37" s="46"/>
      <c r="J37" s="1"/>
      <c r="K37" s="1"/>
      <c r="L37" s="1"/>
      <c r="M37" s="1"/>
      <c r="N37" s="1"/>
      <c r="O37" s="1"/>
      <c r="Q37" s="46">
        <v>46134</v>
      </c>
      <c r="R37" s="1" t="s">
        <v>210</v>
      </c>
      <c r="S37" s="1"/>
      <c r="T37" s="1"/>
      <c r="U37" s="1" t="s">
        <v>267</v>
      </c>
      <c r="V37" s="1"/>
      <c r="W37" s="1" t="s">
        <v>341</v>
      </c>
    </row>
    <row r="38" spans="1:23" x14ac:dyDescent="0.25">
      <c r="A38" s="14" t="s">
        <v>68</v>
      </c>
      <c r="B38" s="18" t="s">
        <v>57</v>
      </c>
      <c r="C38" s="14" t="s">
        <v>114</v>
      </c>
      <c r="D38" s="18" t="s">
        <v>225</v>
      </c>
      <c r="E38" s="18" t="s">
        <v>51</v>
      </c>
      <c r="F38" s="18" t="s">
        <v>209</v>
      </c>
      <c r="G38" s="14" t="s">
        <v>5</v>
      </c>
      <c r="H38" s="129" t="s">
        <v>210</v>
      </c>
      <c r="I38" s="129"/>
      <c r="J38" s="44"/>
      <c r="K38" s="44"/>
      <c r="L38" s="44"/>
      <c r="M38" s="44"/>
      <c r="N38" s="44"/>
      <c r="O38" s="44"/>
      <c r="Q38" s="129">
        <v>46134</v>
      </c>
      <c r="R38" s="44" t="s">
        <v>210</v>
      </c>
      <c r="S38" s="44"/>
      <c r="T38" s="44"/>
      <c r="U38" s="44"/>
      <c r="V38" s="44" t="s">
        <v>267</v>
      </c>
      <c r="W38" s="44" t="s">
        <v>341</v>
      </c>
    </row>
    <row r="39" spans="1:23" x14ac:dyDescent="0.25">
      <c r="A39" s="7" t="s">
        <v>68</v>
      </c>
      <c r="B39" s="9" t="s">
        <v>57</v>
      </c>
      <c r="C39" s="13" t="s">
        <v>118</v>
      </c>
      <c r="D39" s="9" t="s">
        <v>402</v>
      </c>
      <c r="E39" s="9" t="s">
        <v>48</v>
      </c>
      <c r="F39" s="9" t="s">
        <v>216</v>
      </c>
      <c r="G39" s="7" t="s">
        <v>6</v>
      </c>
      <c r="H39" s="46" t="s">
        <v>210</v>
      </c>
      <c r="I39" s="46"/>
      <c r="J39" s="1"/>
      <c r="K39" s="1"/>
      <c r="L39" s="1"/>
      <c r="M39" s="1"/>
      <c r="N39" s="1"/>
      <c r="O39" s="1"/>
      <c r="Q39" s="46">
        <v>46134</v>
      </c>
      <c r="R39" s="1" t="s">
        <v>210</v>
      </c>
      <c r="S39" s="1"/>
      <c r="T39" s="1"/>
      <c r="U39" s="1" t="s">
        <v>267</v>
      </c>
      <c r="V39" s="1"/>
      <c r="W39" s="1" t="s">
        <v>341</v>
      </c>
    </row>
    <row r="40" spans="1:23" x14ac:dyDescent="0.25">
      <c r="A40" s="14" t="s">
        <v>68</v>
      </c>
      <c r="B40" s="18" t="s">
        <v>57</v>
      </c>
      <c r="C40" s="14" t="s">
        <v>178</v>
      </c>
      <c r="D40" s="18" t="s">
        <v>217</v>
      </c>
      <c r="E40" s="18" t="s">
        <v>48</v>
      </c>
      <c r="F40" s="18" t="s">
        <v>216</v>
      </c>
      <c r="G40" s="14" t="s">
        <v>5</v>
      </c>
      <c r="H40" s="129" t="s">
        <v>210</v>
      </c>
      <c r="I40" s="129"/>
      <c r="J40" s="44"/>
      <c r="K40" s="44"/>
      <c r="L40" s="44"/>
      <c r="M40" s="44"/>
      <c r="N40" s="44"/>
      <c r="O40" s="44"/>
      <c r="Q40" s="129"/>
      <c r="R40" s="44"/>
      <c r="S40" s="44"/>
      <c r="T40" s="44"/>
      <c r="U40" s="44"/>
      <c r="V40" s="44"/>
      <c r="W40" s="44"/>
    </row>
    <row r="41" spans="1:23" x14ac:dyDescent="0.25">
      <c r="A41" s="7" t="s">
        <v>68</v>
      </c>
      <c r="B41" s="9" t="s">
        <v>57</v>
      </c>
      <c r="C41" s="13" t="s">
        <v>179</v>
      </c>
      <c r="D41" s="9" t="s">
        <v>217</v>
      </c>
      <c r="E41" s="9" t="s">
        <v>48</v>
      </c>
      <c r="F41" s="9" t="s">
        <v>216</v>
      </c>
      <c r="G41" s="7" t="s">
        <v>5</v>
      </c>
      <c r="H41" s="46" t="s">
        <v>210</v>
      </c>
      <c r="I41" s="46"/>
      <c r="J41" s="1"/>
      <c r="K41" s="1"/>
      <c r="L41" s="1"/>
      <c r="M41" s="1"/>
      <c r="N41" s="1"/>
      <c r="O41" s="1"/>
      <c r="Q41" s="46"/>
      <c r="R41" s="1"/>
      <c r="S41" s="1"/>
      <c r="T41" s="1"/>
      <c r="U41" s="1"/>
      <c r="V41" s="1"/>
      <c r="W41" s="1"/>
    </row>
    <row r="42" spans="1:23" x14ac:dyDescent="0.25">
      <c r="A42" s="14" t="s">
        <v>68</v>
      </c>
      <c r="B42" s="18" t="s">
        <v>57</v>
      </c>
      <c r="C42" s="14" t="s">
        <v>176</v>
      </c>
      <c r="D42" s="18" t="s">
        <v>221</v>
      </c>
      <c r="E42" s="18" t="s">
        <v>76</v>
      </c>
      <c r="F42" s="18" t="s">
        <v>222</v>
      </c>
      <c r="G42" s="14" t="s">
        <v>5</v>
      </c>
      <c r="H42" s="129" t="s">
        <v>210</v>
      </c>
      <c r="I42" s="129"/>
      <c r="J42" s="44"/>
      <c r="K42" s="44"/>
      <c r="L42" s="44"/>
      <c r="M42" s="44"/>
      <c r="N42" s="44"/>
      <c r="O42" s="44"/>
      <c r="Q42" s="129">
        <v>46134</v>
      </c>
      <c r="R42" s="44" t="s">
        <v>210</v>
      </c>
      <c r="S42" s="44"/>
      <c r="T42" s="44"/>
      <c r="U42" s="44"/>
      <c r="V42" s="44" t="s">
        <v>267</v>
      </c>
      <c r="W42" s="44" t="s">
        <v>341</v>
      </c>
    </row>
    <row r="43" spans="1:23" x14ac:dyDescent="0.25">
      <c r="A43" s="7" t="s">
        <v>68</v>
      </c>
      <c r="B43" s="9" t="s">
        <v>57</v>
      </c>
      <c r="C43" s="13" t="s">
        <v>105</v>
      </c>
      <c r="D43" s="9" t="s">
        <v>402</v>
      </c>
      <c r="E43" s="9" t="s">
        <v>48</v>
      </c>
      <c r="F43" s="9" t="s">
        <v>216</v>
      </c>
      <c r="G43" s="7" t="s">
        <v>6</v>
      </c>
      <c r="H43" s="46" t="s">
        <v>218</v>
      </c>
      <c r="I43" s="46"/>
      <c r="J43" s="1"/>
      <c r="K43" s="1"/>
      <c r="L43" s="1"/>
      <c r="M43" s="1"/>
      <c r="N43" s="1"/>
      <c r="O43" s="1"/>
      <c r="Q43" s="46">
        <v>46134</v>
      </c>
      <c r="R43" s="1" t="s">
        <v>210</v>
      </c>
      <c r="S43" s="1"/>
      <c r="T43" s="1"/>
      <c r="U43" s="1" t="s">
        <v>267</v>
      </c>
      <c r="V43" s="1"/>
      <c r="W43" s="1" t="s">
        <v>341</v>
      </c>
    </row>
    <row r="44" spans="1:23" x14ac:dyDescent="0.25">
      <c r="A44" s="14" t="s">
        <v>68</v>
      </c>
      <c r="B44" s="18" t="s">
        <v>57</v>
      </c>
      <c r="C44" s="14" t="s">
        <v>177</v>
      </c>
      <c r="D44" s="18" t="s">
        <v>221</v>
      </c>
      <c r="E44" s="18" t="s">
        <v>76</v>
      </c>
      <c r="F44" s="18" t="s">
        <v>222</v>
      </c>
      <c r="G44" s="14" t="s">
        <v>5</v>
      </c>
      <c r="H44" s="129" t="s">
        <v>210</v>
      </c>
      <c r="I44" s="129"/>
      <c r="J44" s="44"/>
      <c r="K44" s="44"/>
      <c r="L44" s="44"/>
      <c r="M44" s="44"/>
      <c r="N44" s="44"/>
      <c r="O44" s="44"/>
      <c r="Q44" s="129">
        <v>46134</v>
      </c>
      <c r="R44" s="44" t="s">
        <v>210</v>
      </c>
      <c r="S44" s="44"/>
      <c r="T44" s="44"/>
      <c r="U44" s="44" t="s">
        <v>267</v>
      </c>
      <c r="V44" s="44"/>
      <c r="W44" s="44" t="s">
        <v>367</v>
      </c>
    </row>
    <row r="45" spans="1:23" x14ac:dyDescent="0.25">
      <c r="A45" s="7" t="s">
        <v>68</v>
      </c>
      <c r="B45" s="9" t="s">
        <v>488</v>
      </c>
      <c r="C45" s="13" t="s">
        <v>156</v>
      </c>
      <c r="D45" s="9" t="s">
        <v>225</v>
      </c>
      <c r="E45" s="9" t="s">
        <v>51</v>
      </c>
      <c r="F45" s="9" t="s">
        <v>209</v>
      </c>
      <c r="G45" s="7" t="s">
        <v>5</v>
      </c>
      <c r="H45" s="46" t="s">
        <v>210</v>
      </c>
      <c r="I45" s="46"/>
      <c r="J45" s="1"/>
      <c r="K45" s="1"/>
      <c r="L45" s="1"/>
      <c r="M45" s="1"/>
      <c r="N45" s="1"/>
      <c r="O45" s="1"/>
      <c r="Q45" s="46">
        <v>46134</v>
      </c>
      <c r="R45" s="1" t="s">
        <v>210</v>
      </c>
      <c r="S45" s="1"/>
      <c r="T45" s="1" t="s">
        <v>267</v>
      </c>
      <c r="U45" s="1"/>
      <c r="V45" s="1"/>
      <c r="W45" s="1" t="s">
        <v>341</v>
      </c>
    </row>
    <row r="46" spans="1:23" x14ac:dyDescent="0.25">
      <c r="A46" s="14" t="s">
        <v>68</v>
      </c>
      <c r="B46" s="18" t="s">
        <v>489</v>
      </c>
      <c r="C46" s="14" t="s">
        <v>153</v>
      </c>
      <c r="D46" s="18" t="s">
        <v>225</v>
      </c>
      <c r="E46" s="18" t="s">
        <v>51</v>
      </c>
      <c r="F46" s="18" t="s">
        <v>209</v>
      </c>
      <c r="G46" s="14" t="s">
        <v>5</v>
      </c>
      <c r="H46" s="129" t="s">
        <v>218</v>
      </c>
      <c r="I46" s="129"/>
      <c r="J46" s="44"/>
      <c r="K46" s="44"/>
      <c r="L46" s="44"/>
      <c r="M46" s="44"/>
      <c r="N46" s="44"/>
      <c r="O46" s="44"/>
      <c r="Q46" s="129">
        <v>46134</v>
      </c>
      <c r="R46" s="44" t="s">
        <v>210</v>
      </c>
      <c r="S46" s="44"/>
      <c r="T46" s="44" t="s">
        <v>267</v>
      </c>
      <c r="U46" s="44"/>
      <c r="V46" s="44"/>
      <c r="W46" s="44" t="s">
        <v>341</v>
      </c>
    </row>
    <row r="47" spans="1:23" x14ac:dyDescent="0.25">
      <c r="A47" s="7" t="s">
        <v>68</v>
      </c>
      <c r="B47" s="9" t="s">
        <v>490</v>
      </c>
      <c r="C47" s="13" t="s">
        <v>159</v>
      </c>
      <c r="D47" s="9" t="s">
        <v>225</v>
      </c>
      <c r="E47" s="9" t="s">
        <v>51</v>
      </c>
      <c r="F47" s="9" t="s">
        <v>209</v>
      </c>
      <c r="G47" s="7" t="s">
        <v>5</v>
      </c>
      <c r="H47" s="46" t="s">
        <v>218</v>
      </c>
      <c r="I47" s="46"/>
      <c r="J47" s="1"/>
      <c r="K47" s="1"/>
      <c r="L47" s="1"/>
      <c r="M47" s="1"/>
      <c r="N47" s="1"/>
      <c r="O47" s="1"/>
      <c r="Q47" s="46">
        <v>46134</v>
      </c>
      <c r="R47" s="1" t="s">
        <v>210</v>
      </c>
      <c r="S47" s="1"/>
      <c r="T47" s="1" t="s">
        <v>267</v>
      </c>
      <c r="U47" s="1"/>
      <c r="V47" s="1"/>
      <c r="W47" s="1" t="s">
        <v>341</v>
      </c>
    </row>
    <row r="48" spans="1:23" x14ac:dyDescent="0.25">
      <c r="A48" s="14" t="s">
        <v>68</v>
      </c>
      <c r="B48" s="18" t="s">
        <v>491</v>
      </c>
      <c r="C48" s="14" t="s">
        <v>75</v>
      </c>
      <c r="D48" s="18" t="s">
        <v>225</v>
      </c>
      <c r="E48" s="18" t="s">
        <v>51</v>
      </c>
      <c r="F48" s="18" t="s">
        <v>209</v>
      </c>
      <c r="G48" s="14" t="s">
        <v>5</v>
      </c>
      <c r="H48" s="129" t="s">
        <v>210</v>
      </c>
      <c r="I48" s="129"/>
      <c r="J48" s="44"/>
      <c r="K48" s="44"/>
      <c r="L48" s="44"/>
      <c r="M48" s="44"/>
      <c r="N48" s="44"/>
      <c r="O48" s="44"/>
      <c r="Q48" s="129">
        <v>46134</v>
      </c>
      <c r="R48" s="44" t="s">
        <v>210</v>
      </c>
      <c r="S48" s="44"/>
      <c r="T48" s="44"/>
      <c r="U48" s="44"/>
      <c r="V48" s="44" t="s">
        <v>267</v>
      </c>
      <c r="W48" s="44" t="s">
        <v>341</v>
      </c>
    </row>
    <row r="49" spans="1:23" x14ac:dyDescent="0.25">
      <c r="A49" s="7"/>
      <c r="B49" s="9"/>
      <c r="C49" s="13"/>
      <c r="D49" s="9"/>
      <c r="E49" s="9"/>
      <c r="F49" s="9"/>
      <c r="G49" s="7"/>
      <c r="H49" s="1"/>
      <c r="I49" s="46"/>
      <c r="J49" s="1"/>
      <c r="K49" s="1"/>
      <c r="L49" s="1"/>
      <c r="M49" s="1"/>
      <c r="N49" s="1"/>
      <c r="O49" s="1"/>
      <c r="Q49" s="46"/>
      <c r="R49" s="1"/>
      <c r="S49" s="1"/>
      <c r="T49" s="1"/>
      <c r="U49" s="1"/>
      <c r="V49" s="1"/>
      <c r="W49" s="1"/>
    </row>
    <row r="50" spans="1:23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23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23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23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23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23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23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23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23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23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23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23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23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23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23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5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3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7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4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9">
    <mergeCell ref="U3:W3"/>
    <mergeCell ref="S5:V5"/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DAEA-5708-40D1-AE59-2D2AFE1AA5DF}">
  <sheetPr codeName="Planilha12">
    <tabColor rgb="FF92D050"/>
    <pageSetUpPr fitToPage="1"/>
  </sheetPr>
  <dimension ref="A1:AE130"/>
  <sheetViews>
    <sheetView showGridLines="0" view="pageBreakPreview" zoomScale="70" zoomScaleNormal="70" zoomScaleSheetLayoutView="70" workbookViewId="0">
      <selection activeCell="S27" sqref="S27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6.42578125" style="3" bestFit="1" customWidth="1"/>
    <col min="19" max="22" width="9.140625" style="3"/>
    <col min="23" max="23" width="10.28515625" style="3" bestFit="1" customWidth="1"/>
    <col min="24" max="24" width="10.28515625" style="3" customWidth="1"/>
    <col min="25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492</v>
      </c>
      <c r="C3" s="26"/>
      <c r="D3" s="35" t="s">
        <v>1059</v>
      </c>
      <c r="E3" s="27"/>
      <c r="F3" s="28"/>
      <c r="G3" s="28"/>
      <c r="H3" s="35" t="s">
        <v>196</v>
      </c>
      <c r="I3" s="27"/>
      <c r="J3" s="27"/>
      <c r="K3" s="35" t="s">
        <v>1058</v>
      </c>
      <c r="L3" s="27"/>
      <c r="M3" s="27"/>
      <c r="N3" s="27"/>
      <c r="O3" s="29"/>
    </row>
    <row r="4" spans="1:31" s="2" customFormat="1" x14ac:dyDescent="0.25">
      <c r="C4" s="24"/>
      <c r="I4" s="20"/>
    </row>
    <row r="5" spans="1:31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  <c r="X5" s="23"/>
    </row>
    <row r="6" spans="1:31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  <c r="X6" s="119"/>
      <c r="Y6" s="118" t="s">
        <v>204</v>
      </c>
      <c r="Z6" s="118" t="s">
        <v>205</v>
      </c>
      <c r="AA6" s="118">
        <v>1</v>
      </c>
      <c r="AB6" s="118">
        <v>2</v>
      </c>
      <c r="AC6" s="118">
        <v>3</v>
      </c>
      <c r="AD6" s="118">
        <v>4</v>
      </c>
      <c r="AE6" s="119" t="s">
        <v>206</v>
      </c>
    </row>
    <row r="7" spans="1:31" ht="15" customHeight="1" x14ac:dyDescent="0.25">
      <c r="A7" s="7" t="s">
        <v>174</v>
      </c>
      <c r="B7" s="9" t="s">
        <v>494</v>
      </c>
      <c r="C7" s="13" t="s">
        <v>55</v>
      </c>
      <c r="D7" s="9" t="s">
        <v>208</v>
      </c>
      <c r="E7" s="9" t="s">
        <v>51</v>
      </c>
      <c r="F7" s="9" t="s">
        <v>209</v>
      </c>
      <c r="G7" s="7" t="s">
        <v>5</v>
      </c>
      <c r="H7" s="9" t="s">
        <v>210</v>
      </c>
      <c r="I7" s="46"/>
      <c r="J7" s="1"/>
      <c r="K7" s="1"/>
      <c r="L7" s="1"/>
      <c r="M7" s="1"/>
      <c r="N7" s="1"/>
      <c r="O7" s="1"/>
      <c r="Q7" s="46">
        <v>46168</v>
      </c>
      <c r="R7" s="1" t="s">
        <v>266</v>
      </c>
      <c r="S7" s="1"/>
      <c r="T7" s="1"/>
      <c r="U7" s="1"/>
      <c r="V7" s="1" t="s">
        <v>267</v>
      </c>
      <c r="W7" s="1" t="s">
        <v>268</v>
      </c>
      <c r="X7" s="41"/>
      <c r="Y7" s="46">
        <v>46248</v>
      </c>
      <c r="Z7" s="1" t="s">
        <v>266</v>
      </c>
      <c r="AA7" s="155" t="b">
        <v>0</v>
      </c>
      <c r="AB7" s="155" t="b">
        <v>0</v>
      </c>
      <c r="AC7" s="155" t="b">
        <v>1</v>
      </c>
      <c r="AD7" s="155" t="b">
        <v>0</v>
      </c>
      <c r="AE7" s="1" t="s">
        <v>268</v>
      </c>
    </row>
    <row r="8" spans="1:31" ht="15" customHeight="1" x14ac:dyDescent="0.25">
      <c r="A8" s="14" t="s">
        <v>174</v>
      </c>
      <c r="B8" s="18" t="s">
        <v>495</v>
      </c>
      <c r="C8" s="14" t="s">
        <v>84</v>
      </c>
      <c r="D8" s="18" t="s">
        <v>208</v>
      </c>
      <c r="E8" s="18" t="s">
        <v>51</v>
      </c>
      <c r="F8" s="18" t="s">
        <v>209</v>
      </c>
      <c r="G8" s="14" t="s">
        <v>5</v>
      </c>
      <c r="H8" s="18" t="s">
        <v>210</v>
      </c>
      <c r="I8" s="129"/>
      <c r="J8" s="44"/>
      <c r="K8" s="44"/>
      <c r="L8" s="44"/>
      <c r="M8" s="44"/>
      <c r="N8" s="44"/>
      <c r="O8" s="44"/>
      <c r="Q8" s="129">
        <v>46168</v>
      </c>
      <c r="R8" s="44" t="s">
        <v>266</v>
      </c>
      <c r="S8" s="44"/>
      <c r="T8" s="44"/>
      <c r="U8" s="44"/>
      <c r="V8" s="44" t="s">
        <v>267</v>
      </c>
      <c r="W8" s="44" t="s">
        <v>268</v>
      </c>
      <c r="X8" s="43"/>
      <c r="Y8" s="46">
        <v>46248</v>
      </c>
      <c r="Z8" s="44" t="s">
        <v>266</v>
      </c>
      <c r="AA8" s="156" t="b">
        <v>0</v>
      </c>
      <c r="AB8" s="156" t="b">
        <v>0</v>
      </c>
      <c r="AC8" s="156" t="b">
        <v>1</v>
      </c>
      <c r="AD8" s="156" t="b">
        <v>0</v>
      </c>
      <c r="AE8" s="44" t="s">
        <v>268</v>
      </c>
    </row>
    <row r="9" spans="1:31" ht="15" customHeight="1" x14ac:dyDescent="0.25">
      <c r="A9" s="7" t="s">
        <v>174</v>
      </c>
      <c r="B9" s="9" t="s">
        <v>496</v>
      </c>
      <c r="C9" s="13" t="s">
        <v>67</v>
      </c>
      <c r="D9" s="9" t="s">
        <v>208</v>
      </c>
      <c r="E9" s="9" t="s">
        <v>51</v>
      </c>
      <c r="F9" s="9" t="s">
        <v>209</v>
      </c>
      <c r="G9" s="7" t="s">
        <v>5</v>
      </c>
      <c r="H9" s="9" t="s">
        <v>210</v>
      </c>
      <c r="I9" s="46"/>
      <c r="J9" s="1"/>
      <c r="K9" s="1"/>
      <c r="L9" s="1"/>
      <c r="M9" s="1"/>
      <c r="N9" s="1"/>
      <c r="O9" s="1"/>
      <c r="Q9" s="46">
        <v>46168</v>
      </c>
      <c r="R9" s="1" t="s">
        <v>266</v>
      </c>
      <c r="S9" s="1"/>
      <c r="T9" s="1"/>
      <c r="U9" s="1"/>
      <c r="V9" s="1" t="s">
        <v>267</v>
      </c>
      <c r="W9" s="1" t="s">
        <v>268</v>
      </c>
      <c r="X9" s="41"/>
      <c r="Y9" s="46">
        <v>46248</v>
      </c>
      <c r="Z9" s="1" t="s">
        <v>266</v>
      </c>
      <c r="AA9" s="155" t="b">
        <v>0</v>
      </c>
      <c r="AB9" s="155" t="b">
        <v>0</v>
      </c>
      <c r="AC9" s="155" t="b">
        <v>1</v>
      </c>
      <c r="AD9" s="155" t="b">
        <v>0</v>
      </c>
      <c r="AE9" s="1" t="s">
        <v>268</v>
      </c>
    </row>
    <row r="10" spans="1:31" ht="15" customHeight="1" x14ac:dyDescent="0.25">
      <c r="A10" s="14" t="s">
        <v>174</v>
      </c>
      <c r="B10" s="18" t="s">
        <v>497</v>
      </c>
      <c r="C10" s="14" t="s">
        <v>71</v>
      </c>
      <c r="D10" s="18" t="s">
        <v>208</v>
      </c>
      <c r="E10" s="18" t="s">
        <v>51</v>
      </c>
      <c r="F10" s="18" t="s">
        <v>209</v>
      </c>
      <c r="G10" s="14" t="s">
        <v>5</v>
      </c>
      <c r="H10" s="18" t="s">
        <v>210</v>
      </c>
      <c r="I10" s="129"/>
      <c r="J10" s="44"/>
      <c r="K10" s="44"/>
      <c r="L10" s="44"/>
      <c r="M10" s="44"/>
      <c r="N10" s="44"/>
      <c r="O10" s="44"/>
      <c r="Q10" s="129">
        <v>46168</v>
      </c>
      <c r="R10" s="44" t="s">
        <v>266</v>
      </c>
      <c r="S10" s="44"/>
      <c r="T10" s="44"/>
      <c r="U10" s="44"/>
      <c r="V10" s="44" t="s">
        <v>267</v>
      </c>
      <c r="W10" s="44" t="s">
        <v>268</v>
      </c>
      <c r="X10" s="43"/>
      <c r="Y10" s="46">
        <v>46248</v>
      </c>
      <c r="Z10" s="44" t="s">
        <v>266</v>
      </c>
      <c r="AA10" s="156" t="b">
        <v>0</v>
      </c>
      <c r="AB10" s="156" t="b">
        <v>0</v>
      </c>
      <c r="AC10" s="156" t="b">
        <v>1</v>
      </c>
      <c r="AD10" s="156" t="b">
        <v>0</v>
      </c>
      <c r="AE10" s="44" t="s">
        <v>268</v>
      </c>
    </row>
    <row r="11" spans="1:31" ht="15" customHeight="1" x14ac:dyDescent="0.25">
      <c r="A11" s="7" t="s">
        <v>174</v>
      </c>
      <c r="B11" s="9" t="s">
        <v>498</v>
      </c>
      <c r="C11" s="13" t="s">
        <v>59</v>
      </c>
      <c r="D11" s="9" t="s">
        <v>215</v>
      </c>
      <c r="E11" s="9" t="s">
        <v>48</v>
      </c>
      <c r="F11" s="9" t="s">
        <v>216</v>
      </c>
      <c r="G11" s="7" t="s">
        <v>6</v>
      </c>
      <c r="H11" s="9" t="s">
        <v>210</v>
      </c>
      <c r="I11" s="46"/>
      <c r="J11" s="1"/>
      <c r="K11" s="1"/>
      <c r="L11" s="1"/>
      <c r="M11" s="1"/>
      <c r="N11" s="1"/>
      <c r="O11" s="1"/>
      <c r="Q11" s="46">
        <v>46168</v>
      </c>
      <c r="R11" s="1" t="s">
        <v>266</v>
      </c>
      <c r="S11" s="1" t="s">
        <v>267</v>
      </c>
      <c r="T11" s="1"/>
      <c r="U11" s="1"/>
      <c r="V11" s="1"/>
      <c r="W11" s="1" t="s">
        <v>268</v>
      </c>
      <c r="X11" s="41"/>
      <c r="Y11" s="46">
        <v>46248</v>
      </c>
      <c r="Z11" s="1" t="s">
        <v>266</v>
      </c>
      <c r="AA11" s="155" t="b">
        <v>0</v>
      </c>
      <c r="AB11" s="155" t="b">
        <v>0</v>
      </c>
      <c r="AC11" s="155" t="b">
        <v>1</v>
      </c>
      <c r="AD11" s="155" t="b">
        <v>0</v>
      </c>
      <c r="AE11" s="1" t="s">
        <v>268</v>
      </c>
    </row>
    <row r="12" spans="1:31" ht="15" customHeight="1" x14ac:dyDescent="0.25">
      <c r="A12" s="14" t="s">
        <v>174</v>
      </c>
      <c r="B12" s="18" t="s">
        <v>57</v>
      </c>
      <c r="C12" s="14" t="s">
        <v>53</v>
      </c>
      <c r="D12" s="18" t="s">
        <v>217</v>
      </c>
      <c r="E12" s="18" t="s">
        <v>54</v>
      </c>
      <c r="F12" s="18" t="s">
        <v>219</v>
      </c>
      <c r="G12" s="14" t="s">
        <v>6</v>
      </c>
      <c r="H12" s="18" t="s">
        <v>210</v>
      </c>
      <c r="I12" s="129"/>
      <c r="J12" s="44"/>
      <c r="K12" s="44"/>
      <c r="L12" s="44"/>
      <c r="M12" s="44"/>
      <c r="N12" s="44"/>
      <c r="O12" s="44"/>
      <c r="Q12" s="129">
        <v>46168</v>
      </c>
      <c r="R12" s="44" t="s">
        <v>266</v>
      </c>
      <c r="S12" s="44"/>
      <c r="T12" s="44"/>
      <c r="U12" s="44"/>
      <c r="V12" s="44" t="s">
        <v>267</v>
      </c>
      <c r="W12" s="44" t="s">
        <v>268</v>
      </c>
      <c r="X12" s="43"/>
      <c r="Y12" s="46">
        <v>46248</v>
      </c>
      <c r="Z12" s="44" t="s">
        <v>266</v>
      </c>
      <c r="AA12" s="156" t="b">
        <v>1</v>
      </c>
      <c r="AB12" s="156" t="b">
        <v>0</v>
      </c>
      <c r="AC12" s="156" t="b">
        <v>0</v>
      </c>
      <c r="AD12" s="156" t="b">
        <v>0</v>
      </c>
      <c r="AE12" s="1" t="s">
        <v>268</v>
      </c>
    </row>
    <row r="13" spans="1:31" ht="15" customHeight="1" x14ac:dyDescent="0.25">
      <c r="A13" s="7" t="s">
        <v>174</v>
      </c>
      <c r="B13" s="9" t="s">
        <v>57</v>
      </c>
      <c r="C13" s="13" t="s">
        <v>58</v>
      </c>
      <c r="D13" s="9" t="s">
        <v>215</v>
      </c>
      <c r="E13" s="9" t="s">
        <v>54</v>
      </c>
      <c r="F13" s="9" t="s">
        <v>219</v>
      </c>
      <c r="G13" s="7" t="s">
        <v>6</v>
      </c>
      <c r="H13" s="9" t="s">
        <v>218</v>
      </c>
      <c r="I13" s="46"/>
      <c r="J13" s="1"/>
      <c r="K13" s="1"/>
      <c r="L13" s="1"/>
      <c r="M13" s="1"/>
      <c r="N13" s="1"/>
      <c r="O13" s="1"/>
      <c r="Q13" s="46">
        <v>46168</v>
      </c>
      <c r="R13" s="1" t="s">
        <v>339</v>
      </c>
      <c r="S13" s="1"/>
      <c r="T13" s="1"/>
      <c r="U13" s="1" t="s">
        <v>267</v>
      </c>
      <c r="V13" s="1"/>
      <c r="W13" s="1" t="s">
        <v>268</v>
      </c>
      <c r="X13" s="41"/>
      <c r="Y13" s="46">
        <v>46248</v>
      </c>
      <c r="Z13" s="1" t="s">
        <v>273</v>
      </c>
      <c r="AA13" s="155" t="b">
        <v>0</v>
      </c>
      <c r="AB13" s="155" t="b">
        <v>0</v>
      </c>
      <c r="AC13" s="155" t="b">
        <v>1</v>
      </c>
      <c r="AD13" s="155" t="b">
        <v>0</v>
      </c>
      <c r="AE13" s="1" t="s">
        <v>268</v>
      </c>
    </row>
    <row r="14" spans="1:31" ht="15" customHeight="1" x14ac:dyDescent="0.25">
      <c r="A14" s="14" t="s">
        <v>174</v>
      </c>
      <c r="B14" s="18" t="s">
        <v>57</v>
      </c>
      <c r="C14" s="14" t="s">
        <v>56</v>
      </c>
      <c r="D14" s="18" t="s">
        <v>215</v>
      </c>
      <c r="E14" s="18" t="s">
        <v>54</v>
      </c>
      <c r="F14" s="18" t="s">
        <v>219</v>
      </c>
      <c r="G14" s="14" t="s">
        <v>6</v>
      </c>
      <c r="H14" s="18" t="s">
        <v>218</v>
      </c>
      <c r="I14" s="129"/>
      <c r="J14" s="44"/>
      <c r="K14" s="44"/>
      <c r="L14" s="44"/>
      <c r="M14" s="44"/>
      <c r="N14" s="44"/>
      <c r="O14" s="44"/>
      <c r="Q14" s="129">
        <v>46168</v>
      </c>
      <c r="R14" s="44" t="s">
        <v>339</v>
      </c>
      <c r="S14" s="44"/>
      <c r="T14" s="44"/>
      <c r="U14" s="44" t="s">
        <v>267</v>
      </c>
      <c r="V14" s="44"/>
      <c r="W14" s="44" t="s">
        <v>268</v>
      </c>
      <c r="X14" s="43"/>
      <c r="Y14" s="46">
        <v>46248</v>
      </c>
      <c r="Z14" s="44" t="s">
        <v>273</v>
      </c>
      <c r="AA14" s="156" t="b">
        <v>0</v>
      </c>
      <c r="AB14" s="156" t="b">
        <v>0</v>
      </c>
      <c r="AC14" s="156" t="b">
        <v>1</v>
      </c>
      <c r="AD14" s="156" t="b">
        <v>0</v>
      </c>
      <c r="AE14" s="1" t="s">
        <v>268</v>
      </c>
    </row>
    <row r="15" spans="1:31" ht="15" customHeight="1" x14ac:dyDescent="0.25">
      <c r="A15" s="7" t="s">
        <v>174</v>
      </c>
      <c r="B15" s="9" t="s">
        <v>57</v>
      </c>
      <c r="C15" s="13" t="s">
        <v>47</v>
      </c>
      <c r="D15" s="9" t="s">
        <v>217</v>
      </c>
      <c r="E15" s="9" t="s">
        <v>48</v>
      </c>
      <c r="F15" s="9" t="s">
        <v>216</v>
      </c>
      <c r="G15" s="7" t="s">
        <v>6</v>
      </c>
      <c r="H15" s="9" t="s">
        <v>218</v>
      </c>
      <c r="I15" s="46"/>
      <c r="J15" s="1"/>
      <c r="K15" s="1"/>
      <c r="L15" s="1"/>
      <c r="M15" s="1"/>
      <c r="N15" s="1"/>
      <c r="O15" s="1"/>
      <c r="Q15" s="46">
        <v>46168</v>
      </c>
      <c r="R15" s="1" t="s">
        <v>339</v>
      </c>
      <c r="S15" s="1"/>
      <c r="T15" s="1"/>
      <c r="U15" s="1" t="s">
        <v>267</v>
      </c>
      <c r="V15" s="1"/>
      <c r="W15" s="1" t="s">
        <v>268</v>
      </c>
      <c r="X15" s="41"/>
      <c r="Y15" s="46">
        <v>46248</v>
      </c>
      <c r="Z15" s="1" t="s">
        <v>273</v>
      </c>
      <c r="AA15" s="155" t="b">
        <v>0</v>
      </c>
      <c r="AB15" s="155" t="b">
        <v>0</v>
      </c>
      <c r="AC15" s="155" t="b">
        <v>1</v>
      </c>
      <c r="AD15" s="155" t="b">
        <v>0</v>
      </c>
      <c r="AE15" s="1" t="s">
        <v>268</v>
      </c>
    </row>
    <row r="16" spans="1:31" ht="15" customHeight="1" x14ac:dyDescent="0.25">
      <c r="A16" s="14" t="s">
        <v>499</v>
      </c>
      <c r="B16" s="18" t="s">
        <v>500</v>
      </c>
      <c r="C16" s="14" t="s">
        <v>175</v>
      </c>
      <c r="D16" s="18" t="s">
        <v>221</v>
      </c>
      <c r="E16" s="18" t="s">
        <v>76</v>
      </c>
      <c r="F16" s="18" t="s">
        <v>222</v>
      </c>
      <c r="G16" s="14" t="s">
        <v>5</v>
      </c>
      <c r="H16" s="18" t="s">
        <v>210</v>
      </c>
      <c r="I16" s="129"/>
      <c r="J16" s="44"/>
      <c r="K16" s="44"/>
      <c r="L16" s="44"/>
      <c r="M16" s="44"/>
      <c r="N16" s="44"/>
      <c r="O16" s="44"/>
      <c r="Q16" s="129">
        <v>46167</v>
      </c>
      <c r="R16" s="44" t="s">
        <v>266</v>
      </c>
      <c r="S16" s="44"/>
      <c r="T16" s="44"/>
      <c r="U16" s="44"/>
      <c r="V16" s="44" t="s">
        <v>267</v>
      </c>
      <c r="W16" s="44" t="s">
        <v>341</v>
      </c>
      <c r="X16" s="43"/>
      <c r="Y16" s="46">
        <v>46248</v>
      </c>
      <c r="Z16" s="44" t="s">
        <v>266</v>
      </c>
      <c r="AA16" s="156" t="b">
        <v>0</v>
      </c>
      <c r="AB16" s="156" t="b">
        <v>0</v>
      </c>
      <c r="AC16" s="156" t="b">
        <v>0</v>
      </c>
      <c r="AD16" s="156" t="b">
        <v>1</v>
      </c>
      <c r="AE16" s="1" t="s">
        <v>268</v>
      </c>
    </row>
    <row r="17" spans="1:31" ht="15" customHeight="1" x14ac:dyDescent="0.25">
      <c r="A17" s="7" t="s">
        <v>174</v>
      </c>
      <c r="B17" s="9" t="s">
        <v>501</v>
      </c>
      <c r="C17" s="13" t="s">
        <v>72</v>
      </c>
      <c r="D17" s="9" t="s">
        <v>221</v>
      </c>
      <c r="E17" s="9" t="s">
        <v>76</v>
      </c>
      <c r="F17" s="9" t="s">
        <v>222</v>
      </c>
      <c r="G17" s="7" t="s">
        <v>5</v>
      </c>
      <c r="H17" s="9" t="s">
        <v>210</v>
      </c>
      <c r="I17" s="46"/>
      <c r="J17" s="1"/>
      <c r="K17" s="1"/>
      <c r="L17" s="1"/>
      <c r="M17" s="1"/>
      <c r="N17" s="1"/>
      <c r="O17" s="1"/>
      <c r="Q17" s="46">
        <v>46168</v>
      </c>
      <c r="R17" s="1" t="s">
        <v>266</v>
      </c>
      <c r="S17" s="1"/>
      <c r="T17" s="1"/>
      <c r="U17" s="1"/>
      <c r="V17" s="1" t="s">
        <v>267</v>
      </c>
      <c r="W17" s="1" t="s">
        <v>268</v>
      </c>
      <c r="X17" s="41"/>
      <c r="Y17" s="46">
        <v>46248</v>
      </c>
      <c r="Z17" s="1" t="s">
        <v>266</v>
      </c>
      <c r="AA17" s="155" t="b">
        <v>0</v>
      </c>
      <c r="AB17" s="155" t="b">
        <v>0</v>
      </c>
      <c r="AC17" s="155" t="b">
        <v>0</v>
      </c>
      <c r="AD17" s="155" t="b">
        <v>1</v>
      </c>
      <c r="AE17" s="1" t="s">
        <v>268</v>
      </c>
    </row>
    <row r="18" spans="1:31" ht="15" customHeight="1" x14ac:dyDescent="0.25">
      <c r="A18" s="14" t="s">
        <v>68</v>
      </c>
      <c r="B18" s="18" t="s">
        <v>502</v>
      </c>
      <c r="C18" s="14" t="s">
        <v>125</v>
      </c>
      <c r="D18" s="18" t="s">
        <v>225</v>
      </c>
      <c r="E18" s="18" t="s">
        <v>51</v>
      </c>
      <c r="F18" s="18" t="s">
        <v>209</v>
      </c>
      <c r="G18" s="14" t="s">
        <v>5</v>
      </c>
      <c r="H18" s="18" t="s">
        <v>218</v>
      </c>
      <c r="I18" s="129"/>
      <c r="J18" s="44"/>
      <c r="K18" s="44"/>
      <c r="L18" s="44"/>
      <c r="M18" s="44"/>
      <c r="N18" s="44"/>
      <c r="O18" s="44"/>
      <c r="Q18" s="129">
        <v>46167</v>
      </c>
      <c r="R18" s="44" t="s">
        <v>266</v>
      </c>
      <c r="S18" s="44"/>
      <c r="T18" s="44"/>
      <c r="U18" s="44"/>
      <c r="V18" s="44" t="s">
        <v>267</v>
      </c>
      <c r="W18" s="44" t="s">
        <v>341</v>
      </c>
      <c r="X18" s="43"/>
      <c r="Y18" s="46">
        <v>46248</v>
      </c>
      <c r="Z18" s="44" t="s">
        <v>273</v>
      </c>
      <c r="AA18" s="156" t="b">
        <v>0</v>
      </c>
      <c r="AB18" s="156" t="b">
        <v>0</v>
      </c>
      <c r="AC18" s="156" t="b">
        <v>0</v>
      </c>
      <c r="AD18" s="156" t="b">
        <v>1</v>
      </c>
      <c r="AE18" s="44" t="s">
        <v>341</v>
      </c>
    </row>
    <row r="19" spans="1:31" ht="15" customHeight="1" x14ac:dyDescent="0.25">
      <c r="A19" s="7" t="s">
        <v>68</v>
      </c>
      <c r="B19" s="9" t="s">
        <v>503</v>
      </c>
      <c r="C19" s="13" t="s">
        <v>158</v>
      </c>
      <c r="D19" s="9" t="s">
        <v>208</v>
      </c>
      <c r="E19" s="9" t="s">
        <v>51</v>
      </c>
      <c r="F19" s="9" t="s">
        <v>209</v>
      </c>
      <c r="G19" s="7" t="s">
        <v>5</v>
      </c>
      <c r="H19" s="9" t="s">
        <v>210</v>
      </c>
      <c r="I19" s="46"/>
      <c r="J19" s="1"/>
      <c r="K19" s="1"/>
      <c r="L19" s="1"/>
      <c r="M19" s="1"/>
      <c r="N19" s="1"/>
      <c r="O19" s="1"/>
      <c r="Q19" s="46">
        <v>46167</v>
      </c>
      <c r="R19" s="1" t="s">
        <v>266</v>
      </c>
      <c r="S19" s="1"/>
      <c r="T19" s="1"/>
      <c r="U19" s="1"/>
      <c r="V19" s="1" t="s">
        <v>267</v>
      </c>
      <c r="W19" s="1" t="s">
        <v>341</v>
      </c>
      <c r="X19" s="41"/>
      <c r="Y19" s="46">
        <v>46248</v>
      </c>
      <c r="Z19" s="1" t="s">
        <v>266</v>
      </c>
      <c r="AA19" s="155" t="b">
        <v>0</v>
      </c>
      <c r="AB19" s="155" t="b">
        <v>0</v>
      </c>
      <c r="AC19" s="155" t="b">
        <v>0</v>
      </c>
      <c r="AD19" s="155" t="b">
        <v>1</v>
      </c>
      <c r="AE19" s="1" t="s">
        <v>341</v>
      </c>
    </row>
    <row r="20" spans="1:31" ht="15" customHeight="1" x14ac:dyDescent="0.25">
      <c r="A20" s="14" t="s">
        <v>68</v>
      </c>
      <c r="B20" s="18" t="s">
        <v>504</v>
      </c>
      <c r="C20" s="14" t="s">
        <v>106</v>
      </c>
      <c r="D20" s="18" t="s">
        <v>225</v>
      </c>
      <c r="E20" s="18" t="s">
        <v>51</v>
      </c>
      <c r="F20" s="18" t="s">
        <v>209</v>
      </c>
      <c r="G20" s="14" t="s">
        <v>5</v>
      </c>
      <c r="H20" s="18" t="s">
        <v>218</v>
      </c>
      <c r="I20" s="129"/>
      <c r="J20" s="44"/>
      <c r="K20" s="44"/>
      <c r="L20" s="44"/>
      <c r="M20" s="44"/>
      <c r="N20" s="44"/>
      <c r="O20" s="44"/>
      <c r="Q20" s="129">
        <v>46167</v>
      </c>
      <c r="R20" s="44" t="s">
        <v>266</v>
      </c>
      <c r="S20" s="44"/>
      <c r="T20" s="44"/>
      <c r="U20" s="44"/>
      <c r="V20" s="44" t="s">
        <v>267</v>
      </c>
      <c r="W20" s="44" t="s">
        <v>341</v>
      </c>
      <c r="X20" s="43"/>
      <c r="Y20" s="46">
        <v>46248</v>
      </c>
      <c r="Z20" s="44" t="s">
        <v>273</v>
      </c>
      <c r="AA20" s="156" t="b">
        <v>0</v>
      </c>
      <c r="AB20" s="156" t="b">
        <v>0</v>
      </c>
      <c r="AC20" s="156" t="b">
        <v>0</v>
      </c>
      <c r="AD20" s="156" t="b">
        <v>1</v>
      </c>
      <c r="AE20" s="44" t="s">
        <v>341</v>
      </c>
    </row>
    <row r="21" spans="1:31" ht="15" customHeight="1" x14ac:dyDescent="0.25">
      <c r="A21" s="7" t="s">
        <v>68</v>
      </c>
      <c r="B21" s="9" t="s">
        <v>505</v>
      </c>
      <c r="C21" s="13" t="s">
        <v>115</v>
      </c>
      <c r="D21" s="9" t="s">
        <v>208</v>
      </c>
      <c r="E21" s="9" t="s">
        <v>51</v>
      </c>
      <c r="F21" s="9" t="s">
        <v>209</v>
      </c>
      <c r="G21" s="7" t="s">
        <v>5</v>
      </c>
      <c r="H21" s="9" t="s">
        <v>218</v>
      </c>
      <c r="I21" s="46"/>
      <c r="J21" s="1"/>
      <c r="K21" s="1"/>
      <c r="L21" s="1"/>
      <c r="M21" s="1"/>
      <c r="N21" s="1"/>
      <c r="O21" s="1"/>
      <c r="Q21" s="46">
        <v>46167</v>
      </c>
      <c r="R21" s="1" t="s">
        <v>273</v>
      </c>
      <c r="S21" s="1"/>
      <c r="T21" s="1"/>
      <c r="U21" s="1"/>
      <c r="V21" s="1" t="s">
        <v>267</v>
      </c>
      <c r="W21" s="1" t="s">
        <v>341</v>
      </c>
      <c r="X21" s="41"/>
      <c r="Y21" s="46">
        <v>46248</v>
      </c>
      <c r="Z21" s="1" t="s">
        <v>273</v>
      </c>
      <c r="AA21" s="155" t="b">
        <v>0</v>
      </c>
      <c r="AB21" s="155" t="b">
        <v>0</v>
      </c>
      <c r="AC21" s="155" t="b">
        <v>0</v>
      </c>
      <c r="AD21" s="155" t="b">
        <v>1</v>
      </c>
      <c r="AE21" s="1" t="s">
        <v>341</v>
      </c>
    </row>
    <row r="22" spans="1:31" ht="15" customHeight="1" x14ac:dyDescent="0.25">
      <c r="A22" s="14" t="s">
        <v>68</v>
      </c>
      <c r="B22" s="18" t="s">
        <v>506</v>
      </c>
      <c r="C22" s="14" t="s">
        <v>147</v>
      </c>
      <c r="D22" s="18" t="s">
        <v>208</v>
      </c>
      <c r="E22" s="18" t="s">
        <v>51</v>
      </c>
      <c r="F22" s="18" t="s">
        <v>209</v>
      </c>
      <c r="G22" s="14" t="s">
        <v>5</v>
      </c>
      <c r="H22" s="18" t="s">
        <v>210</v>
      </c>
      <c r="I22" s="129"/>
      <c r="J22" s="44"/>
      <c r="K22" s="44"/>
      <c r="L22" s="44"/>
      <c r="M22" s="44"/>
      <c r="N22" s="44"/>
      <c r="O22" s="44"/>
      <c r="Q22" s="129">
        <v>46167</v>
      </c>
      <c r="R22" s="44" t="s">
        <v>266</v>
      </c>
      <c r="S22" s="44"/>
      <c r="T22" s="44"/>
      <c r="U22" s="44"/>
      <c r="V22" s="44" t="s">
        <v>267</v>
      </c>
      <c r="W22" s="44" t="s">
        <v>341</v>
      </c>
      <c r="X22" s="43"/>
      <c r="Y22" s="46">
        <v>46248</v>
      </c>
      <c r="Z22" s="44" t="s">
        <v>266</v>
      </c>
      <c r="AA22" s="156" t="b">
        <v>0</v>
      </c>
      <c r="AB22" s="156" t="b">
        <v>0</v>
      </c>
      <c r="AC22" s="156" t="b">
        <v>1</v>
      </c>
      <c r="AD22" s="156" t="b">
        <v>0</v>
      </c>
      <c r="AE22" s="44" t="s">
        <v>341</v>
      </c>
    </row>
    <row r="23" spans="1:31" ht="15" customHeight="1" x14ac:dyDescent="0.25">
      <c r="A23" s="7" t="s">
        <v>68</v>
      </c>
      <c r="B23" s="9" t="s">
        <v>507</v>
      </c>
      <c r="C23" s="13" t="s">
        <v>103</v>
      </c>
      <c r="D23" s="9" t="s">
        <v>208</v>
      </c>
      <c r="E23" s="9" t="s">
        <v>51</v>
      </c>
      <c r="F23" s="9" t="s">
        <v>209</v>
      </c>
      <c r="G23" s="7" t="s">
        <v>5</v>
      </c>
      <c r="H23" s="9" t="s">
        <v>218</v>
      </c>
      <c r="I23" s="46"/>
      <c r="J23" s="1"/>
      <c r="K23" s="1"/>
      <c r="L23" s="1"/>
      <c r="M23" s="1"/>
      <c r="N23" s="1"/>
      <c r="O23" s="1"/>
      <c r="Q23" s="46">
        <v>46167</v>
      </c>
      <c r="R23" s="1" t="s">
        <v>273</v>
      </c>
      <c r="S23" s="1"/>
      <c r="T23" s="1"/>
      <c r="U23" s="1"/>
      <c r="V23" s="1" t="s">
        <v>267</v>
      </c>
      <c r="W23" s="1" t="s">
        <v>341</v>
      </c>
      <c r="X23" s="41"/>
      <c r="Y23" s="46">
        <v>46248</v>
      </c>
      <c r="Z23" s="1" t="s">
        <v>273</v>
      </c>
      <c r="AA23" s="155" t="b">
        <v>0</v>
      </c>
      <c r="AB23" s="155" t="b">
        <v>0</v>
      </c>
      <c r="AC23" s="155" t="b">
        <v>0</v>
      </c>
      <c r="AD23" s="155" t="b">
        <v>1</v>
      </c>
      <c r="AE23" s="1" t="s">
        <v>341</v>
      </c>
    </row>
    <row r="24" spans="1:31" ht="15" customHeight="1" x14ac:dyDescent="0.25">
      <c r="A24" s="14" t="s">
        <v>68</v>
      </c>
      <c r="B24" s="18" t="s">
        <v>508</v>
      </c>
      <c r="C24" s="14" t="s">
        <v>119</v>
      </c>
      <c r="D24" s="18" t="s">
        <v>208</v>
      </c>
      <c r="E24" s="18" t="s">
        <v>51</v>
      </c>
      <c r="F24" s="18" t="s">
        <v>209</v>
      </c>
      <c r="G24" s="14" t="s">
        <v>5</v>
      </c>
      <c r="H24" s="18" t="s">
        <v>218</v>
      </c>
      <c r="I24" s="129"/>
      <c r="J24" s="44"/>
      <c r="K24" s="44"/>
      <c r="L24" s="44"/>
      <c r="M24" s="44"/>
      <c r="N24" s="44"/>
      <c r="O24" s="44"/>
      <c r="Q24" s="129">
        <v>46167</v>
      </c>
      <c r="R24" s="44" t="s">
        <v>266</v>
      </c>
      <c r="S24" s="44"/>
      <c r="T24" s="44"/>
      <c r="U24" s="44"/>
      <c r="V24" s="44" t="s">
        <v>267</v>
      </c>
      <c r="W24" s="44" t="s">
        <v>341</v>
      </c>
      <c r="X24" s="43"/>
      <c r="Y24" s="46">
        <v>46248</v>
      </c>
      <c r="Z24" s="44"/>
      <c r="AA24" s="156" t="b">
        <v>0</v>
      </c>
      <c r="AB24" s="156" t="b">
        <v>0</v>
      </c>
      <c r="AC24" s="156" t="b">
        <v>0</v>
      </c>
      <c r="AD24" s="156" t="b">
        <v>0</v>
      </c>
      <c r="AE24" s="44"/>
    </row>
    <row r="25" spans="1:31" ht="15" customHeight="1" x14ac:dyDescent="0.25">
      <c r="A25" s="7" t="s">
        <v>68</v>
      </c>
      <c r="B25" s="9" t="s">
        <v>509</v>
      </c>
      <c r="C25" s="13" t="s">
        <v>150</v>
      </c>
      <c r="D25" s="9" t="s">
        <v>208</v>
      </c>
      <c r="E25" s="9" t="s">
        <v>51</v>
      </c>
      <c r="F25" s="9" t="s">
        <v>209</v>
      </c>
      <c r="G25" s="7" t="s">
        <v>5</v>
      </c>
      <c r="H25" s="9" t="s">
        <v>210</v>
      </c>
      <c r="I25" s="46"/>
      <c r="J25" s="1"/>
      <c r="K25" s="1"/>
      <c r="L25" s="1"/>
      <c r="M25" s="1"/>
      <c r="N25" s="1"/>
      <c r="O25" s="1"/>
      <c r="Q25" s="46">
        <v>46167</v>
      </c>
      <c r="R25" s="1" t="s">
        <v>266</v>
      </c>
      <c r="S25" s="1"/>
      <c r="T25" s="1"/>
      <c r="U25" s="1"/>
      <c r="V25" s="1" t="s">
        <v>267</v>
      </c>
      <c r="W25" s="1" t="s">
        <v>341</v>
      </c>
      <c r="X25" s="41"/>
      <c r="Y25" s="46">
        <v>46248</v>
      </c>
      <c r="Z25" s="1"/>
      <c r="AA25" s="155" t="b">
        <v>0</v>
      </c>
      <c r="AB25" s="155" t="b">
        <v>0</v>
      </c>
      <c r="AC25" s="155" t="b">
        <v>0</v>
      </c>
      <c r="AD25" s="155" t="b">
        <v>0</v>
      </c>
      <c r="AE25" s="1"/>
    </row>
    <row r="26" spans="1:31" ht="15" customHeight="1" x14ac:dyDescent="0.25">
      <c r="A26" s="14" t="s">
        <v>68</v>
      </c>
      <c r="B26" s="18" t="s">
        <v>510</v>
      </c>
      <c r="C26" s="14" t="s">
        <v>85</v>
      </c>
      <c r="D26" s="18" t="s">
        <v>208</v>
      </c>
      <c r="E26" s="18" t="s">
        <v>51</v>
      </c>
      <c r="F26" s="18" t="s">
        <v>209</v>
      </c>
      <c r="G26" s="14" t="s">
        <v>5</v>
      </c>
      <c r="H26" s="18" t="s">
        <v>218</v>
      </c>
      <c r="I26" s="129"/>
      <c r="J26" s="44"/>
      <c r="K26" s="44"/>
      <c r="L26" s="44"/>
      <c r="M26" s="44"/>
      <c r="N26" s="44"/>
      <c r="O26" s="44"/>
      <c r="Q26" s="129">
        <v>46167</v>
      </c>
      <c r="R26" s="44" t="s">
        <v>266</v>
      </c>
      <c r="S26" s="44"/>
      <c r="T26" s="44"/>
      <c r="U26" s="44"/>
      <c r="V26" s="44" t="s">
        <v>267</v>
      </c>
      <c r="W26" s="44" t="s">
        <v>341</v>
      </c>
      <c r="X26" s="43"/>
      <c r="Y26" s="46">
        <v>46248</v>
      </c>
      <c r="Z26" s="44"/>
      <c r="AA26" s="156" t="b">
        <v>0</v>
      </c>
      <c r="AB26" s="156" t="b">
        <v>0</v>
      </c>
      <c r="AC26" s="156" t="b">
        <v>0</v>
      </c>
      <c r="AD26" s="156" t="b">
        <v>0</v>
      </c>
      <c r="AE26" s="44"/>
    </row>
    <row r="27" spans="1:31" ht="15" customHeight="1" x14ac:dyDescent="0.25">
      <c r="A27" s="7" t="s">
        <v>68</v>
      </c>
      <c r="B27" s="9" t="s">
        <v>511</v>
      </c>
      <c r="C27" s="13" t="s">
        <v>122</v>
      </c>
      <c r="D27" s="9" t="s">
        <v>208</v>
      </c>
      <c r="E27" s="9" t="s">
        <v>51</v>
      </c>
      <c r="F27" s="9" t="s">
        <v>209</v>
      </c>
      <c r="G27" s="7" t="s">
        <v>5</v>
      </c>
      <c r="H27" s="9" t="s">
        <v>218</v>
      </c>
      <c r="I27" s="46"/>
      <c r="J27" s="1"/>
      <c r="K27" s="1"/>
      <c r="L27" s="1"/>
      <c r="M27" s="1"/>
      <c r="N27" s="1"/>
      <c r="O27" s="1"/>
      <c r="Q27" s="46">
        <v>46167</v>
      </c>
      <c r="R27" s="1" t="s">
        <v>266</v>
      </c>
      <c r="S27" s="1"/>
      <c r="T27" s="1"/>
      <c r="U27" s="1"/>
      <c r="V27" s="1" t="s">
        <v>267</v>
      </c>
      <c r="W27" s="1" t="s">
        <v>341</v>
      </c>
      <c r="X27" s="41"/>
      <c r="Y27" s="46">
        <v>46248</v>
      </c>
      <c r="Z27" s="1"/>
      <c r="AA27" s="155" t="b">
        <v>0</v>
      </c>
      <c r="AB27" s="155" t="b">
        <v>0</v>
      </c>
      <c r="AC27" s="155" t="b">
        <v>0</v>
      </c>
      <c r="AD27" s="155" t="b">
        <v>0</v>
      </c>
      <c r="AE27" s="1"/>
    </row>
    <row r="28" spans="1:31" ht="15" customHeight="1" x14ac:dyDescent="0.25">
      <c r="A28" s="14" t="s">
        <v>68</v>
      </c>
      <c r="B28" s="18" t="s">
        <v>512</v>
      </c>
      <c r="C28" s="14" t="s">
        <v>155</v>
      </c>
      <c r="D28" s="18" t="s">
        <v>208</v>
      </c>
      <c r="E28" s="18" t="s">
        <v>51</v>
      </c>
      <c r="F28" s="18" t="s">
        <v>209</v>
      </c>
      <c r="G28" s="14" t="s">
        <v>5</v>
      </c>
      <c r="H28" s="18" t="s">
        <v>210</v>
      </c>
      <c r="I28" s="129"/>
      <c r="J28" s="44"/>
      <c r="K28" s="44"/>
      <c r="L28" s="44"/>
      <c r="M28" s="44"/>
      <c r="N28" s="44"/>
      <c r="O28" s="44"/>
      <c r="Q28" s="129">
        <v>46167</v>
      </c>
      <c r="R28" s="44" t="s">
        <v>266</v>
      </c>
      <c r="S28" s="44"/>
      <c r="T28" s="44"/>
      <c r="U28" s="44"/>
      <c r="V28" s="44" t="s">
        <v>267</v>
      </c>
      <c r="W28" s="44" t="s">
        <v>341</v>
      </c>
      <c r="X28" s="43"/>
      <c r="Y28" s="46">
        <v>46248</v>
      </c>
      <c r="Z28" s="44"/>
      <c r="AA28" s="156" t="b">
        <v>0</v>
      </c>
      <c r="AB28" s="156" t="b">
        <v>0</v>
      </c>
      <c r="AC28" s="156" t="b">
        <v>0</v>
      </c>
      <c r="AD28" s="156" t="b">
        <v>0</v>
      </c>
      <c r="AE28" s="44"/>
    </row>
    <row r="29" spans="1:31" ht="15" customHeight="1" x14ac:dyDescent="0.25">
      <c r="A29" s="7" t="s">
        <v>68</v>
      </c>
      <c r="B29" s="9" t="s">
        <v>513</v>
      </c>
      <c r="C29" s="13" t="s">
        <v>90</v>
      </c>
      <c r="D29" s="9" t="s">
        <v>208</v>
      </c>
      <c r="E29" s="9" t="s">
        <v>51</v>
      </c>
      <c r="F29" s="9" t="s">
        <v>209</v>
      </c>
      <c r="G29" s="7" t="s">
        <v>5</v>
      </c>
      <c r="H29" s="9" t="s">
        <v>218</v>
      </c>
      <c r="I29" s="46"/>
      <c r="J29" s="1"/>
      <c r="K29" s="1"/>
      <c r="L29" s="1"/>
      <c r="M29" s="1"/>
      <c r="N29" s="1"/>
      <c r="O29" s="1"/>
      <c r="Q29" s="46">
        <v>46167</v>
      </c>
      <c r="R29" s="1" t="s">
        <v>266</v>
      </c>
      <c r="S29" s="1"/>
      <c r="T29" s="1"/>
      <c r="U29" s="1"/>
      <c r="V29" s="1" t="s">
        <v>267</v>
      </c>
      <c r="W29" s="1" t="s">
        <v>341</v>
      </c>
      <c r="X29" s="41"/>
      <c r="Y29" s="46">
        <v>46248</v>
      </c>
      <c r="Z29" s="1"/>
      <c r="AA29" s="155" t="b">
        <v>0</v>
      </c>
      <c r="AB29" s="155" t="b">
        <v>0</v>
      </c>
      <c r="AC29" s="155" t="b">
        <v>0</v>
      </c>
      <c r="AD29" s="155" t="b">
        <v>0</v>
      </c>
      <c r="AE29" s="1"/>
    </row>
    <row r="30" spans="1:31" ht="15" customHeight="1" x14ac:dyDescent="0.25">
      <c r="A30" s="14" t="s">
        <v>68</v>
      </c>
      <c r="B30" s="18" t="s">
        <v>514</v>
      </c>
      <c r="C30" s="14" t="s">
        <v>128</v>
      </c>
      <c r="D30" s="18" t="s">
        <v>240</v>
      </c>
      <c r="E30" s="18" t="s">
        <v>86</v>
      </c>
      <c r="F30" s="18" t="s">
        <v>241</v>
      </c>
      <c r="G30" s="14" t="s">
        <v>5</v>
      </c>
      <c r="H30" s="18" t="s">
        <v>218</v>
      </c>
      <c r="I30" s="129"/>
      <c r="J30" s="44"/>
      <c r="K30" s="44"/>
      <c r="L30" s="44"/>
      <c r="M30" s="44"/>
      <c r="N30" s="44"/>
      <c r="O30" s="44"/>
      <c r="Q30" s="129">
        <v>46167</v>
      </c>
      <c r="R30" s="44" t="s">
        <v>273</v>
      </c>
      <c r="S30" s="44"/>
      <c r="T30" s="44"/>
      <c r="U30" s="44"/>
      <c r="V30" s="44" t="s">
        <v>267</v>
      </c>
      <c r="W30" s="44" t="s">
        <v>341</v>
      </c>
      <c r="X30" s="43"/>
      <c r="Y30" s="46">
        <v>46248</v>
      </c>
      <c r="Z30" s="44" t="s">
        <v>273</v>
      </c>
      <c r="AA30" s="156" t="b">
        <v>0</v>
      </c>
      <c r="AB30" s="156" t="b">
        <v>0</v>
      </c>
      <c r="AC30" s="156" t="b">
        <v>0</v>
      </c>
      <c r="AD30" s="156" t="b">
        <v>1</v>
      </c>
      <c r="AE30" s="44" t="s">
        <v>341</v>
      </c>
    </row>
    <row r="31" spans="1:31" ht="15" customHeight="1" x14ac:dyDescent="0.25">
      <c r="A31" s="7" t="s">
        <v>68</v>
      </c>
      <c r="B31" s="9" t="s">
        <v>515</v>
      </c>
      <c r="C31" s="13" t="s">
        <v>152</v>
      </c>
      <c r="D31" s="9" t="s">
        <v>240</v>
      </c>
      <c r="E31" s="9" t="s">
        <v>86</v>
      </c>
      <c r="F31" s="9" t="s">
        <v>241</v>
      </c>
      <c r="G31" s="7" t="s">
        <v>5</v>
      </c>
      <c r="H31" s="9" t="s">
        <v>210</v>
      </c>
      <c r="I31" s="46"/>
      <c r="J31" s="1"/>
      <c r="K31" s="1"/>
      <c r="L31" s="1"/>
      <c r="M31" s="1"/>
      <c r="N31" s="1"/>
      <c r="O31" s="1"/>
      <c r="Q31" s="46">
        <v>46167</v>
      </c>
      <c r="R31" s="1" t="s">
        <v>266</v>
      </c>
      <c r="S31" s="1"/>
      <c r="T31" s="1"/>
      <c r="U31" s="1"/>
      <c r="V31" s="1" t="s">
        <v>267</v>
      </c>
      <c r="W31" s="1" t="s">
        <v>341</v>
      </c>
      <c r="X31" s="41"/>
      <c r="Y31" s="46">
        <v>46248</v>
      </c>
      <c r="Z31" s="1" t="s">
        <v>266</v>
      </c>
      <c r="AA31" s="155" t="b">
        <v>0</v>
      </c>
      <c r="AB31" s="155" t="b">
        <v>0</v>
      </c>
      <c r="AC31" s="155" t="b">
        <v>0</v>
      </c>
      <c r="AD31" s="155" t="b">
        <v>1</v>
      </c>
      <c r="AE31" s="1" t="s">
        <v>341</v>
      </c>
    </row>
    <row r="32" spans="1:31" ht="15" customHeight="1" x14ac:dyDescent="0.25">
      <c r="A32" s="14" t="s">
        <v>68</v>
      </c>
      <c r="B32" s="18" t="s">
        <v>516</v>
      </c>
      <c r="C32" s="14" t="s">
        <v>96</v>
      </c>
      <c r="D32" s="18" t="s">
        <v>240</v>
      </c>
      <c r="E32" s="18" t="s">
        <v>86</v>
      </c>
      <c r="F32" s="18" t="s">
        <v>241</v>
      </c>
      <c r="G32" s="14" t="s">
        <v>5</v>
      </c>
      <c r="H32" s="18" t="s">
        <v>218</v>
      </c>
      <c r="I32" s="129"/>
      <c r="J32" s="44"/>
      <c r="K32" s="44"/>
      <c r="L32" s="44"/>
      <c r="M32" s="44"/>
      <c r="N32" s="44"/>
      <c r="O32" s="44"/>
      <c r="Q32" s="129">
        <v>46167</v>
      </c>
      <c r="R32" s="44" t="s">
        <v>273</v>
      </c>
      <c r="S32" s="44"/>
      <c r="T32" s="44"/>
      <c r="U32" s="44"/>
      <c r="V32" s="44" t="s">
        <v>267</v>
      </c>
      <c r="W32" s="44" t="s">
        <v>341</v>
      </c>
      <c r="X32" s="43"/>
      <c r="Y32" s="46">
        <v>46248</v>
      </c>
      <c r="Z32" s="44" t="s">
        <v>273</v>
      </c>
      <c r="AA32" s="156" t="b">
        <v>0</v>
      </c>
      <c r="AB32" s="156" t="b">
        <v>0</v>
      </c>
      <c r="AC32" s="156" t="b">
        <v>0</v>
      </c>
      <c r="AD32" s="156" t="b">
        <v>1</v>
      </c>
      <c r="AE32" s="44" t="s">
        <v>341</v>
      </c>
    </row>
    <row r="33" spans="1:31" ht="15" customHeight="1" x14ac:dyDescent="0.25">
      <c r="A33" s="7" t="s">
        <v>68</v>
      </c>
      <c r="B33" s="9" t="s">
        <v>517</v>
      </c>
      <c r="C33" s="13" t="s">
        <v>93</v>
      </c>
      <c r="D33" s="9" t="s">
        <v>208</v>
      </c>
      <c r="E33" s="9" t="s">
        <v>51</v>
      </c>
      <c r="F33" s="9" t="s">
        <v>209</v>
      </c>
      <c r="G33" s="7" t="s">
        <v>5</v>
      </c>
      <c r="H33" s="9" t="s">
        <v>210</v>
      </c>
      <c r="I33" s="46"/>
      <c r="J33" s="1"/>
      <c r="K33" s="1"/>
      <c r="L33" s="1"/>
      <c r="M33" s="1"/>
      <c r="N33" s="1"/>
      <c r="O33" s="1"/>
      <c r="Q33" s="46">
        <v>46167</v>
      </c>
      <c r="R33" s="1" t="s">
        <v>266</v>
      </c>
      <c r="S33" s="1"/>
      <c r="T33" s="1"/>
      <c r="U33" s="1"/>
      <c r="V33" s="1" t="s">
        <v>267</v>
      </c>
      <c r="W33" s="1" t="s">
        <v>341</v>
      </c>
      <c r="X33" s="41"/>
      <c r="Y33" s="46">
        <v>46248</v>
      </c>
      <c r="Z33" s="1" t="s">
        <v>266</v>
      </c>
      <c r="AA33" s="155" t="b">
        <v>0</v>
      </c>
      <c r="AB33" s="155" t="b">
        <v>0</v>
      </c>
      <c r="AC33" s="155" t="b">
        <v>0</v>
      </c>
      <c r="AD33" s="155" t="b">
        <v>1</v>
      </c>
      <c r="AE33" s="1" t="s">
        <v>341</v>
      </c>
    </row>
    <row r="34" spans="1:31" ht="15" customHeight="1" x14ac:dyDescent="0.25">
      <c r="A34" s="14" t="s">
        <v>68</v>
      </c>
      <c r="B34" s="18" t="s">
        <v>518</v>
      </c>
      <c r="C34" s="14" t="s">
        <v>161</v>
      </c>
      <c r="D34" s="18" t="s">
        <v>208</v>
      </c>
      <c r="E34" s="18" t="s">
        <v>51</v>
      </c>
      <c r="F34" s="18" t="s">
        <v>209</v>
      </c>
      <c r="G34" s="14" t="s">
        <v>5</v>
      </c>
      <c r="H34" s="18" t="s">
        <v>210</v>
      </c>
      <c r="I34" s="129"/>
      <c r="J34" s="44"/>
      <c r="K34" s="44"/>
      <c r="L34" s="44"/>
      <c r="M34" s="44"/>
      <c r="N34" s="44"/>
      <c r="O34" s="44"/>
      <c r="Q34" s="129">
        <v>46167</v>
      </c>
      <c r="R34" s="44" t="s">
        <v>266</v>
      </c>
      <c r="S34" s="44"/>
      <c r="T34" s="44"/>
      <c r="U34" s="44" t="s">
        <v>267</v>
      </c>
      <c r="V34" s="44"/>
      <c r="W34" s="44" t="s">
        <v>341</v>
      </c>
      <c r="X34" s="43"/>
      <c r="Y34" s="46">
        <v>46248</v>
      </c>
      <c r="Z34" s="44" t="s">
        <v>266</v>
      </c>
      <c r="AA34" s="156" t="b">
        <v>0</v>
      </c>
      <c r="AB34" s="156" t="b">
        <v>0</v>
      </c>
      <c r="AC34" s="156" t="b">
        <v>0</v>
      </c>
      <c r="AD34" s="156" t="b">
        <v>1</v>
      </c>
      <c r="AE34" s="44" t="s">
        <v>341</v>
      </c>
    </row>
    <row r="35" spans="1:31" ht="15" customHeight="1" x14ac:dyDescent="0.25">
      <c r="A35" s="7" t="s">
        <v>68</v>
      </c>
      <c r="B35" s="9" t="s">
        <v>519</v>
      </c>
      <c r="C35" s="13" t="s">
        <v>100</v>
      </c>
      <c r="D35" s="9" t="s">
        <v>208</v>
      </c>
      <c r="E35" s="9" t="s">
        <v>51</v>
      </c>
      <c r="F35" s="9" t="s">
        <v>209</v>
      </c>
      <c r="G35" s="7" t="s">
        <v>5</v>
      </c>
      <c r="H35" s="9" t="s">
        <v>210</v>
      </c>
      <c r="I35" s="46"/>
      <c r="J35" s="1"/>
      <c r="K35" s="1"/>
      <c r="L35" s="1"/>
      <c r="M35" s="1"/>
      <c r="N35" s="1"/>
      <c r="O35" s="1"/>
      <c r="Q35" s="46">
        <v>46167</v>
      </c>
      <c r="R35" s="1" t="s">
        <v>266</v>
      </c>
      <c r="S35" s="1"/>
      <c r="T35" s="1"/>
      <c r="U35" s="1"/>
      <c r="V35" s="1" t="s">
        <v>267</v>
      </c>
      <c r="W35" s="1" t="s">
        <v>341</v>
      </c>
      <c r="X35" s="41"/>
      <c r="Y35" s="46">
        <v>46248</v>
      </c>
      <c r="Z35" s="1" t="s">
        <v>266</v>
      </c>
      <c r="AA35" s="155" t="b">
        <v>0</v>
      </c>
      <c r="AB35" s="155" t="b">
        <v>0</v>
      </c>
      <c r="AC35" s="155" t="b">
        <v>0</v>
      </c>
      <c r="AD35" s="155" t="b">
        <v>1</v>
      </c>
      <c r="AE35" s="1" t="s">
        <v>341</v>
      </c>
    </row>
    <row r="36" spans="1:31" ht="15" customHeight="1" x14ac:dyDescent="0.25">
      <c r="A36" s="14" t="s">
        <v>68</v>
      </c>
      <c r="B36" s="18" t="s">
        <v>57</v>
      </c>
      <c r="C36" s="14" t="s">
        <v>176</v>
      </c>
      <c r="D36" s="18" t="s">
        <v>221</v>
      </c>
      <c r="E36" s="18" t="s">
        <v>76</v>
      </c>
      <c r="F36" s="18" t="s">
        <v>222</v>
      </c>
      <c r="G36" s="14" t="s">
        <v>5</v>
      </c>
      <c r="H36" s="18" t="s">
        <v>218</v>
      </c>
      <c r="I36" s="129"/>
      <c r="J36" s="44"/>
      <c r="K36" s="44"/>
      <c r="L36" s="44"/>
      <c r="M36" s="44"/>
      <c r="N36" s="44"/>
      <c r="O36" s="44"/>
      <c r="Q36" s="129">
        <v>46168</v>
      </c>
      <c r="R36" s="44" t="s">
        <v>266</v>
      </c>
      <c r="S36" s="44"/>
      <c r="T36" s="44"/>
      <c r="U36" s="44"/>
      <c r="V36" s="44" t="s">
        <v>267</v>
      </c>
      <c r="W36" s="44" t="s">
        <v>268</v>
      </c>
      <c r="X36" s="43"/>
      <c r="Y36" s="46">
        <v>46248</v>
      </c>
      <c r="Z36" s="44" t="s">
        <v>273</v>
      </c>
      <c r="AA36" s="156" t="b">
        <v>0</v>
      </c>
      <c r="AB36" s="156" t="b">
        <v>0</v>
      </c>
      <c r="AC36" s="156" t="b">
        <v>0</v>
      </c>
      <c r="AD36" s="156" t="b">
        <v>1</v>
      </c>
      <c r="AE36" s="44" t="s">
        <v>268</v>
      </c>
    </row>
    <row r="37" spans="1:31" ht="15" customHeight="1" x14ac:dyDescent="0.25">
      <c r="A37" s="7" t="s">
        <v>68</v>
      </c>
      <c r="B37" s="9" t="s">
        <v>57</v>
      </c>
      <c r="C37" s="13" t="s">
        <v>177</v>
      </c>
      <c r="D37" s="9" t="s">
        <v>221</v>
      </c>
      <c r="E37" s="9" t="s">
        <v>76</v>
      </c>
      <c r="F37" s="9" t="s">
        <v>222</v>
      </c>
      <c r="G37" s="7" t="s">
        <v>5</v>
      </c>
      <c r="H37" s="9" t="s">
        <v>210</v>
      </c>
      <c r="I37" s="46"/>
      <c r="J37" s="1"/>
      <c r="K37" s="1"/>
      <c r="L37" s="1"/>
      <c r="M37" s="1"/>
      <c r="N37" s="1"/>
      <c r="O37" s="1"/>
      <c r="Q37" s="46">
        <v>46167</v>
      </c>
      <c r="R37" s="1" t="s">
        <v>266</v>
      </c>
      <c r="S37" s="1"/>
      <c r="T37" s="1"/>
      <c r="U37" s="1"/>
      <c r="V37" s="1" t="s">
        <v>267</v>
      </c>
      <c r="W37" s="1" t="s">
        <v>341</v>
      </c>
      <c r="X37" s="41"/>
      <c r="Y37" s="46">
        <v>46248</v>
      </c>
      <c r="Z37" s="1" t="s">
        <v>266</v>
      </c>
      <c r="AA37" s="155" t="b">
        <v>0</v>
      </c>
      <c r="AB37" s="155" t="b">
        <v>0</v>
      </c>
      <c r="AC37" s="155" t="b">
        <v>0</v>
      </c>
      <c r="AD37" s="155" t="b">
        <v>1</v>
      </c>
      <c r="AE37" s="1" t="s">
        <v>341</v>
      </c>
    </row>
    <row r="38" spans="1:31" ht="15" customHeight="1" x14ac:dyDescent="0.25">
      <c r="A38" s="14" t="s">
        <v>68</v>
      </c>
      <c r="B38" s="18" t="s">
        <v>57</v>
      </c>
      <c r="C38" s="14" t="s">
        <v>118</v>
      </c>
      <c r="D38" s="18" t="s">
        <v>217</v>
      </c>
      <c r="E38" s="18" t="s">
        <v>48</v>
      </c>
      <c r="F38" s="18" t="s">
        <v>216</v>
      </c>
      <c r="G38" s="14" t="s">
        <v>6</v>
      </c>
      <c r="H38" s="18" t="s">
        <v>210</v>
      </c>
      <c r="I38" s="129"/>
      <c r="J38" s="44"/>
      <c r="K38" s="44"/>
      <c r="L38" s="44"/>
      <c r="M38" s="44"/>
      <c r="N38" s="44"/>
      <c r="O38" s="44"/>
      <c r="Q38" s="129">
        <v>46167</v>
      </c>
      <c r="R38" s="44" t="s">
        <v>266</v>
      </c>
      <c r="S38" s="44"/>
      <c r="T38" s="44"/>
      <c r="U38" s="44" t="s">
        <v>267</v>
      </c>
      <c r="V38" s="44"/>
      <c r="W38" s="44" t="s">
        <v>341</v>
      </c>
      <c r="X38" s="43"/>
      <c r="Y38" s="46">
        <v>46248</v>
      </c>
      <c r="Z38" s="44" t="s">
        <v>266</v>
      </c>
      <c r="AA38" s="156" t="b">
        <v>1</v>
      </c>
      <c r="AB38" s="156" t="b">
        <v>0</v>
      </c>
      <c r="AC38" s="156" t="b">
        <v>0</v>
      </c>
      <c r="AD38" s="156" t="b">
        <v>0</v>
      </c>
      <c r="AE38" s="44" t="s">
        <v>341</v>
      </c>
    </row>
    <row r="39" spans="1:31" ht="15" customHeight="1" x14ac:dyDescent="0.25">
      <c r="A39" s="7" t="s">
        <v>68</v>
      </c>
      <c r="B39" s="9" t="s">
        <v>57</v>
      </c>
      <c r="C39" s="13" t="s">
        <v>111</v>
      </c>
      <c r="D39" s="9" t="s">
        <v>217</v>
      </c>
      <c r="E39" s="9" t="s">
        <v>48</v>
      </c>
      <c r="F39" s="9" t="s">
        <v>216</v>
      </c>
      <c r="G39" s="7" t="s">
        <v>6</v>
      </c>
      <c r="H39" s="9" t="s">
        <v>218</v>
      </c>
      <c r="I39" s="46"/>
      <c r="J39" s="1"/>
      <c r="K39" s="1"/>
      <c r="L39" s="1"/>
      <c r="M39" s="1"/>
      <c r="N39" s="1"/>
      <c r="O39" s="1"/>
      <c r="Q39" s="46">
        <v>46167</v>
      </c>
      <c r="R39" s="1" t="s">
        <v>266</v>
      </c>
      <c r="S39" s="1"/>
      <c r="T39" s="1"/>
      <c r="U39" s="1" t="s">
        <v>267</v>
      </c>
      <c r="V39" s="1"/>
      <c r="W39" s="1" t="s">
        <v>341</v>
      </c>
      <c r="X39" s="41"/>
      <c r="Y39" s="46">
        <v>46248</v>
      </c>
      <c r="Z39" s="1" t="s">
        <v>266</v>
      </c>
      <c r="AA39" s="155" t="b">
        <v>0</v>
      </c>
      <c r="AB39" s="155" t="b">
        <v>1</v>
      </c>
      <c r="AC39" s="155" t="b">
        <v>0</v>
      </c>
      <c r="AD39" s="155" t="b">
        <v>0</v>
      </c>
      <c r="AE39" s="1" t="s">
        <v>341</v>
      </c>
    </row>
    <row r="40" spans="1:31" ht="15" customHeight="1" x14ac:dyDescent="0.25">
      <c r="A40" s="14" t="s">
        <v>68</v>
      </c>
      <c r="B40" s="18" t="s">
        <v>57</v>
      </c>
      <c r="C40" s="14" t="s">
        <v>105</v>
      </c>
      <c r="D40" s="18" t="s">
        <v>217</v>
      </c>
      <c r="E40" s="18" t="s">
        <v>48</v>
      </c>
      <c r="F40" s="18" t="s">
        <v>216</v>
      </c>
      <c r="G40" s="14" t="s">
        <v>6</v>
      </c>
      <c r="H40" s="18" t="s">
        <v>218</v>
      </c>
      <c r="I40" s="129"/>
      <c r="J40" s="44"/>
      <c r="K40" s="44"/>
      <c r="L40" s="44"/>
      <c r="M40" s="44"/>
      <c r="N40" s="44"/>
      <c r="O40" s="44"/>
      <c r="Q40" s="129">
        <v>46167</v>
      </c>
      <c r="R40" s="44" t="s">
        <v>266</v>
      </c>
      <c r="S40" s="44"/>
      <c r="T40" s="44"/>
      <c r="U40" s="44" t="s">
        <v>267</v>
      </c>
      <c r="V40" s="44"/>
      <c r="W40" s="44" t="s">
        <v>341</v>
      </c>
      <c r="X40" s="43"/>
      <c r="Y40" s="46">
        <v>46248</v>
      </c>
      <c r="Z40" s="44" t="s">
        <v>266</v>
      </c>
      <c r="AA40" s="156" t="b">
        <v>0</v>
      </c>
      <c r="AB40" s="156" t="b">
        <v>0</v>
      </c>
      <c r="AC40" s="156" t="b">
        <v>1</v>
      </c>
      <c r="AD40" s="156" t="b">
        <v>0</v>
      </c>
      <c r="AE40" s="44" t="s">
        <v>341</v>
      </c>
    </row>
    <row r="41" spans="1:31" ht="15" customHeight="1" x14ac:dyDescent="0.25">
      <c r="A41" s="7" t="s">
        <v>68</v>
      </c>
      <c r="B41" s="9" t="s">
        <v>57</v>
      </c>
      <c r="C41" s="13" t="s">
        <v>189</v>
      </c>
      <c r="D41" s="9" t="s">
        <v>215</v>
      </c>
      <c r="E41" s="9" t="s">
        <v>54</v>
      </c>
      <c r="F41" s="9" t="s">
        <v>219</v>
      </c>
      <c r="G41" s="7" t="s">
        <v>6</v>
      </c>
      <c r="H41" s="9" t="s">
        <v>218</v>
      </c>
      <c r="I41" s="46"/>
      <c r="J41" s="1"/>
      <c r="K41" s="1"/>
      <c r="L41" s="1"/>
      <c r="M41" s="1"/>
      <c r="N41" s="1"/>
      <c r="O41" s="1"/>
      <c r="Q41" s="46">
        <v>46167</v>
      </c>
      <c r="R41" s="1" t="s">
        <v>273</v>
      </c>
      <c r="S41" s="1"/>
      <c r="T41" s="1"/>
      <c r="U41" s="1"/>
      <c r="V41" s="1" t="s">
        <v>267</v>
      </c>
      <c r="W41" s="1" t="s">
        <v>341</v>
      </c>
      <c r="X41" s="41"/>
      <c r="Y41" s="46">
        <v>46248</v>
      </c>
      <c r="Z41" s="1" t="s">
        <v>273</v>
      </c>
      <c r="AA41" s="155" t="b">
        <v>0</v>
      </c>
      <c r="AB41" s="155" t="b">
        <v>0</v>
      </c>
      <c r="AC41" s="155" t="b">
        <v>0</v>
      </c>
      <c r="AD41" s="155" t="b">
        <v>1</v>
      </c>
      <c r="AE41" s="1" t="s">
        <v>341</v>
      </c>
    </row>
    <row r="42" spans="1:31" ht="15" customHeight="1" x14ac:dyDescent="0.25">
      <c r="A42" s="14" t="s">
        <v>68</v>
      </c>
      <c r="B42" s="18" t="s">
        <v>57</v>
      </c>
      <c r="C42" s="14" t="s">
        <v>89</v>
      </c>
      <c r="D42" s="18" t="s">
        <v>208</v>
      </c>
      <c r="E42" s="18" t="s">
        <v>51</v>
      </c>
      <c r="F42" s="18" t="s">
        <v>209</v>
      </c>
      <c r="G42" s="14" t="s">
        <v>5</v>
      </c>
      <c r="H42" s="18" t="s">
        <v>218</v>
      </c>
      <c r="I42" s="129"/>
      <c r="J42" s="44"/>
      <c r="K42" s="44"/>
      <c r="L42" s="44"/>
      <c r="M42" s="44"/>
      <c r="N42" s="44"/>
      <c r="O42" s="44"/>
      <c r="Q42" s="129">
        <v>46167</v>
      </c>
      <c r="R42" s="44" t="s">
        <v>273</v>
      </c>
      <c r="S42" s="44"/>
      <c r="T42" s="44"/>
      <c r="U42" s="44"/>
      <c r="V42" s="44" t="s">
        <v>267</v>
      </c>
      <c r="W42" s="44" t="s">
        <v>341</v>
      </c>
      <c r="X42" s="43"/>
      <c r="Y42" s="46">
        <v>46248</v>
      </c>
      <c r="Z42" s="44" t="s">
        <v>273</v>
      </c>
      <c r="AA42" s="156" t="b">
        <v>0</v>
      </c>
      <c r="AB42" s="156" t="b">
        <v>0</v>
      </c>
      <c r="AC42" s="156" t="b">
        <v>0</v>
      </c>
      <c r="AD42" s="156" t="b">
        <v>1</v>
      </c>
      <c r="AE42" s="44" t="s">
        <v>341</v>
      </c>
    </row>
    <row r="43" spans="1:31" ht="15" customHeight="1" x14ac:dyDescent="0.25">
      <c r="A43" s="7" t="s">
        <v>68</v>
      </c>
      <c r="B43" s="9" t="s">
        <v>57</v>
      </c>
      <c r="C43" s="13" t="s">
        <v>114</v>
      </c>
      <c r="D43" s="9" t="s">
        <v>208</v>
      </c>
      <c r="E43" s="9" t="s">
        <v>51</v>
      </c>
      <c r="F43" s="9" t="s">
        <v>209</v>
      </c>
      <c r="G43" s="7" t="s">
        <v>5</v>
      </c>
      <c r="H43" s="9" t="s">
        <v>218</v>
      </c>
      <c r="I43" s="46"/>
      <c r="J43" s="1"/>
      <c r="K43" s="1"/>
      <c r="L43" s="1"/>
      <c r="M43" s="1"/>
      <c r="N43" s="1"/>
      <c r="O43" s="1"/>
      <c r="Q43" s="46">
        <v>46167</v>
      </c>
      <c r="R43" s="1" t="s">
        <v>266</v>
      </c>
      <c r="S43" s="1"/>
      <c r="T43" s="1"/>
      <c r="U43" s="1"/>
      <c r="V43" s="1" t="s">
        <v>267</v>
      </c>
      <c r="W43" s="1" t="s">
        <v>341</v>
      </c>
      <c r="X43" s="41"/>
      <c r="Y43" s="46">
        <v>46248</v>
      </c>
      <c r="Z43" s="1" t="s">
        <v>273</v>
      </c>
      <c r="AA43" s="155" t="b">
        <v>0</v>
      </c>
      <c r="AB43" s="155" t="b">
        <v>0</v>
      </c>
      <c r="AC43" s="155" t="b">
        <v>0</v>
      </c>
      <c r="AD43" s="155" t="b">
        <v>1</v>
      </c>
      <c r="AE43" s="1" t="s">
        <v>341</v>
      </c>
    </row>
    <row r="44" spans="1:31" ht="15" customHeight="1" x14ac:dyDescent="0.25">
      <c r="A44" s="14" t="s">
        <v>68</v>
      </c>
      <c r="B44" s="18" t="s">
        <v>57</v>
      </c>
      <c r="C44" s="14" t="s">
        <v>178</v>
      </c>
      <c r="D44" s="18" t="s">
        <v>217</v>
      </c>
      <c r="E44" s="18" t="s">
        <v>48</v>
      </c>
      <c r="F44" s="18" t="s">
        <v>216</v>
      </c>
      <c r="G44" s="14" t="s">
        <v>5</v>
      </c>
      <c r="H44" s="18" t="s">
        <v>218</v>
      </c>
      <c r="I44" s="129"/>
      <c r="J44" s="44"/>
      <c r="K44" s="44"/>
      <c r="L44" s="44"/>
      <c r="M44" s="44"/>
      <c r="N44" s="44"/>
      <c r="O44" s="44"/>
      <c r="Q44" s="129"/>
      <c r="R44" s="44"/>
      <c r="S44" s="44"/>
      <c r="T44" s="44"/>
      <c r="U44" s="44"/>
      <c r="V44" s="44"/>
      <c r="W44" s="44"/>
      <c r="X44" s="43"/>
      <c r="Y44" s="46">
        <v>46248</v>
      </c>
      <c r="Z44" s="44" t="s">
        <v>266</v>
      </c>
      <c r="AA44" s="156" t="b">
        <v>1</v>
      </c>
      <c r="AB44" s="156" t="b">
        <v>0</v>
      </c>
      <c r="AC44" s="156" t="b">
        <v>0</v>
      </c>
      <c r="AD44" s="156" t="b">
        <v>0</v>
      </c>
      <c r="AE44" s="1" t="s">
        <v>341</v>
      </c>
    </row>
    <row r="45" spans="1:31" ht="15" customHeight="1" x14ac:dyDescent="0.25">
      <c r="A45" s="7" t="s">
        <v>68</v>
      </c>
      <c r="B45" s="9" t="s">
        <v>57</v>
      </c>
      <c r="C45" s="13" t="s">
        <v>179</v>
      </c>
      <c r="D45" s="9" t="s">
        <v>217</v>
      </c>
      <c r="E45" s="9" t="s">
        <v>48</v>
      </c>
      <c r="F45" s="9" t="s">
        <v>216</v>
      </c>
      <c r="G45" s="7" t="s">
        <v>5</v>
      </c>
      <c r="H45" s="9" t="s">
        <v>218</v>
      </c>
      <c r="I45" s="46"/>
      <c r="J45" s="1"/>
      <c r="K45" s="1"/>
      <c r="L45" s="1"/>
      <c r="M45" s="1"/>
      <c r="N45" s="1"/>
      <c r="O45" s="1"/>
      <c r="Q45" s="46"/>
      <c r="R45" s="1"/>
      <c r="S45" s="1"/>
      <c r="T45" s="1"/>
      <c r="U45" s="1"/>
      <c r="V45" s="1"/>
      <c r="W45" s="1"/>
      <c r="X45" s="41"/>
      <c r="Y45" s="46">
        <v>46248</v>
      </c>
      <c r="Z45" s="1" t="s">
        <v>266</v>
      </c>
      <c r="AA45" s="155" t="b">
        <v>0</v>
      </c>
      <c r="AB45" s="155" t="b">
        <v>1</v>
      </c>
      <c r="AC45" s="155" t="b">
        <v>0</v>
      </c>
      <c r="AD45" s="155" t="b">
        <v>0</v>
      </c>
      <c r="AE45" s="1" t="s">
        <v>341</v>
      </c>
    </row>
    <row r="46" spans="1:31" ht="15" customHeight="1" x14ac:dyDescent="0.25">
      <c r="A46" s="14" t="s">
        <v>68</v>
      </c>
      <c r="B46" s="18" t="s">
        <v>520</v>
      </c>
      <c r="C46" s="14" t="s">
        <v>156</v>
      </c>
      <c r="D46" s="18" t="s">
        <v>225</v>
      </c>
      <c r="E46" s="18" t="s">
        <v>51</v>
      </c>
      <c r="F46" s="18" t="s">
        <v>209</v>
      </c>
      <c r="G46" s="14" t="s">
        <v>5</v>
      </c>
      <c r="H46" s="18" t="s">
        <v>218</v>
      </c>
      <c r="I46" s="129"/>
      <c r="J46" s="44"/>
      <c r="K46" s="44"/>
      <c r="L46" s="44"/>
      <c r="M46" s="44"/>
      <c r="N46" s="44"/>
      <c r="O46" s="44"/>
      <c r="Q46" s="129">
        <v>46167</v>
      </c>
      <c r="R46" s="44" t="s">
        <v>266</v>
      </c>
      <c r="S46" s="44"/>
      <c r="T46" s="44" t="s">
        <v>267</v>
      </c>
      <c r="U46" s="44"/>
      <c r="V46" s="44"/>
      <c r="W46" s="44" t="s">
        <v>341</v>
      </c>
      <c r="X46" s="43"/>
      <c r="Y46" s="46">
        <v>46248</v>
      </c>
      <c r="Z46" s="44" t="s">
        <v>266</v>
      </c>
      <c r="AA46" s="156" t="b">
        <v>0</v>
      </c>
      <c r="AB46" s="156" t="b">
        <v>1</v>
      </c>
      <c r="AC46" s="156" t="b">
        <v>0</v>
      </c>
      <c r="AD46" s="156" t="b">
        <v>0</v>
      </c>
      <c r="AE46" s="44" t="s">
        <v>268</v>
      </c>
    </row>
    <row r="47" spans="1:31" ht="15" customHeight="1" x14ac:dyDescent="0.25">
      <c r="A47" s="7" t="s">
        <v>68</v>
      </c>
      <c r="B47" s="9" t="s">
        <v>521</v>
      </c>
      <c r="C47" s="13" t="s">
        <v>153</v>
      </c>
      <c r="D47" s="9" t="s">
        <v>208</v>
      </c>
      <c r="E47" s="9" t="s">
        <v>51</v>
      </c>
      <c r="F47" s="9" t="s">
        <v>209</v>
      </c>
      <c r="G47" s="7" t="s">
        <v>5</v>
      </c>
      <c r="H47" s="9" t="s">
        <v>218</v>
      </c>
      <c r="I47" s="46"/>
      <c r="J47" s="1"/>
      <c r="K47" s="1"/>
      <c r="L47" s="1"/>
      <c r="M47" s="1"/>
      <c r="N47" s="1"/>
      <c r="O47" s="1"/>
      <c r="Q47" s="46">
        <v>46167</v>
      </c>
      <c r="R47" s="1" t="s">
        <v>266</v>
      </c>
      <c r="S47" s="1"/>
      <c r="T47" s="1" t="s">
        <v>267</v>
      </c>
      <c r="U47" s="1"/>
      <c r="V47" s="1"/>
      <c r="W47" s="1" t="s">
        <v>341</v>
      </c>
      <c r="X47" s="41"/>
      <c r="Y47" s="46"/>
      <c r="Z47" s="1"/>
      <c r="AA47" s="155" t="b">
        <v>0</v>
      </c>
      <c r="AB47" s="155" t="b">
        <v>0</v>
      </c>
      <c r="AC47" s="155" t="b">
        <v>0</v>
      </c>
      <c r="AD47" s="155" t="b">
        <v>0</v>
      </c>
      <c r="AE47" s="1"/>
    </row>
    <row r="48" spans="1:31" ht="15" customHeight="1" x14ac:dyDescent="0.25">
      <c r="A48" s="14" t="s">
        <v>68</v>
      </c>
      <c r="B48" s="18" t="s">
        <v>522</v>
      </c>
      <c r="C48" s="14" t="s">
        <v>159</v>
      </c>
      <c r="D48" s="18" t="s">
        <v>208</v>
      </c>
      <c r="E48" s="18" t="s">
        <v>51</v>
      </c>
      <c r="F48" s="18" t="s">
        <v>209</v>
      </c>
      <c r="G48" s="14" t="s">
        <v>5</v>
      </c>
      <c r="H48" s="18" t="s">
        <v>210</v>
      </c>
      <c r="I48" s="129"/>
      <c r="J48" s="44"/>
      <c r="K48" s="44"/>
      <c r="L48" s="44"/>
      <c r="M48" s="44"/>
      <c r="N48" s="44"/>
      <c r="O48" s="44"/>
      <c r="Q48" s="129">
        <v>46167</v>
      </c>
      <c r="R48" s="44" t="s">
        <v>266</v>
      </c>
      <c r="S48" s="44"/>
      <c r="T48" s="44" t="s">
        <v>267</v>
      </c>
      <c r="U48" s="44"/>
      <c r="V48" s="44"/>
      <c r="W48" s="44" t="s">
        <v>341</v>
      </c>
      <c r="X48" s="43"/>
      <c r="Y48" s="46">
        <v>46248</v>
      </c>
      <c r="Z48" s="44" t="s">
        <v>266</v>
      </c>
      <c r="AA48" s="156" t="b">
        <v>0</v>
      </c>
      <c r="AB48" s="156" t="b">
        <v>1</v>
      </c>
      <c r="AC48" s="156" t="b">
        <v>0</v>
      </c>
      <c r="AD48" s="156" t="b">
        <v>0</v>
      </c>
      <c r="AE48" s="44" t="s">
        <v>268</v>
      </c>
    </row>
    <row r="49" spans="1:31" ht="15" customHeight="1" x14ac:dyDescent="0.25">
      <c r="A49" s="7" t="s">
        <v>68</v>
      </c>
      <c r="B49" s="9" t="s">
        <v>523</v>
      </c>
      <c r="C49" s="13" t="s">
        <v>75</v>
      </c>
      <c r="D49" s="9" t="s">
        <v>208</v>
      </c>
      <c r="E49" s="9" t="s">
        <v>51</v>
      </c>
      <c r="F49" s="9" t="s">
        <v>209</v>
      </c>
      <c r="G49" s="7" t="s">
        <v>5</v>
      </c>
      <c r="H49" s="9" t="s">
        <v>210</v>
      </c>
      <c r="I49" s="46"/>
      <c r="J49" s="1"/>
      <c r="K49" s="1"/>
      <c r="L49" s="1"/>
      <c r="M49" s="1"/>
      <c r="N49" s="1"/>
      <c r="O49" s="1"/>
      <c r="Q49" s="46">
        <v>46167</v>
      </c>
      <c r="R49" s="1" t="s">
        <v>266</v>
      </c>
      <c r="S49" s="1"/>
      <c r="T49" s="1"/>
      <c r="U49" s="1"/>
      <c r="V49" s="1" t="s">
        <v>267</v>
      </c>
      <c r="W49" s="1" t="s">
        <v>341</v>
      </c>
      <c r="X49" s="41"/>
      <c r="Y49" s="46">
        <v>46248</v>
      </c>
      <c r="Z49" s="1" t="s">
        <v>266</v>
      </c>
      <c r="AA49" s="155" t="b">
        <v>0</v>
      </c>
      <c r="AB49" s="155" t="b">
        <v>1</v>
      </c>
      <c r="AC49" s="155" t="b">
        <v>0</v>
      </c>
      <c r="AD49" s="155" t="b">
        <v>0</v>
      </c>
      <c r="AE49" s="1" t="s">
        <v>268</v>
      </c>
    </row>
    <row r="50" spans="1:31" ht="30.6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31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31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31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31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31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31" ht="30.6" customHeight="1" x14ac:dyDescent="0.25">
      <c r="A56" s="194" t="s">
        <v>257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6"/>
    </row>
    <row r="57" spans="1:31" ht="15.75" customHeight="1" x14ac:dyDescent="0.25">
      <c r="A57" s="25"/>
      <c r="B57" s="47"/>
      <c r="C57" s="47"/>
      <c r="D57" s="47"/>
      <c r="E57" s="47"/>
      <c r="F57" s="47"/>
      <c r="G57" s="47"/>
      <c r="H57" s="47"/>
      <c r="I57" s="47"/>
      <c r="J57" s="30"/>
      <c r="K57" s="30"/>
      <c r="L57" s="30"/>
      <c r="M57" s="30"/>
      <c r="N57" s="30"/>
      <c r="O57" s="31"/>
    </row>
    <row r="58" spans="1:31" ht="15.75" customHeight="1" x14ac:dyDescent="0.25">
      <c r="A58" s="25"/>
      <c r="B58" s="47"/>
      <c r="C58" s="47"/>
      <c r="D58" s="47"/>
      <c r="E58" s="47"/>
      <c r="F58" s="47"/>
      <c r="G58" s="47"/>
      <c r="H58" s="47"/>
      <c r="I58" s="47"/>
      <c r="J58" s="30"/>
      <c r="K58" s="30"/>
      <c r="L58" s="30"/>
      <c r="M58" s="30"/>
      <c r="N58" s="30"/>
      <c r="O58" s="31"/>
    </row>
    <row r="59" spans="1:31" ht="15.75" customHeight="1" x14ac:dyDescent="0.25">
      <c r="A59" s="25"/>
      <c r="B59" s="47"/>
      <c r="C59" s="47"/>
      <c r="D59" s="47"/>
      <c r="E59" s="47"/>
      <c r="F59" s="47"/>
      <c r="G59" s="47"/>
      <c r="H59" s="47"/>
      <c r="I59" s="47"/>
      <c r="J59" s="30"/>
      <c r="K59" s="30"/>
      <c r="L59" s="30"/>
      <c r="M59" s="30"/>
      <c r="N59" s="30"/>
      <c r="O59" s="31"/>
    </row>
    <row r="60" spans="1:31" ht="15.75" customHeight="1" x14ac:dyDescent="0.25">
      <c r="A60" s="25"/>
      <c r="B60" s="47"/>
      <c r="C60" s="47"/>
      <c r="D60" s="47"/>
      <c r="E60" s="47"/>
      <c r="F60" s="47"/>
      <c r="G60" s="47"/>
      <c r="H60" s="47"/>
      <c r="I60" s="47"/>
      <c r="J60" s="30"/>
      <c r="K60" s="30"/>
      <c r="L60" s="30"/>
      <c r="M60" s="30"/>
      <c r="N60" s="30"/>
      <c r="O60" s="31"/>
    </row>
    <row r="61" spans="1:31" ht="15.75" customHeight="1" x14ac:dyDescent="0.25">
      <c r="A61" s="25"/>
      <c r="B61" s="47"/>
      <c r="C61" s="47"/>
      <c r="D61" s="47"/>
      <c r="E61" s="47"/>
      <c r="F61" s="47"/>
      <c r="G61" s="47"/>
      <c r="H61" s="47"/>
      <c r="I61" s="47"/>
      <c r="J61" s="30"/>
      <c r="K61" s="30"/>
      <c r="L61" s="30"/>
      <c r="M61" s="30"/>
      <c r="N61" s="30"/>
      <c r="O61" s="31"/>
    </row>
    <row r="62" spans="1:31" ht="15.75" customHeight="1" x14ac:dyDescent="0.25">
      <c r="A62" s="25"/>
      <c r="B62" s="47"/>
      <c r="C62" s="47"/>
      <c r="D62" s="47"/>
      <c r="E62" s="47"/>
      <c r="F62" s="47"/>
      <c r="G62" s="47"/>
      <c r="H62" s="47"/>
      <c r="I62" s="47"/>
      <c r="J62" s="30"/>
      <c r="K62" s="30"/>
      <c r="L62" s="30"/>
      <c r="M62" s="30"/>
      <c r="N62" s="30"/>
      <c r="O62" s="31"/>
    </row>
    <row r="63" spans="1:31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31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4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22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11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C130" s="3" t="s">
        <v>493</v>
      </c>
      <c r="H130" s="4"/>
      <c r="I130" s="3"/>
    </row>
  </sheetData>
  <autoFilter ref="A6:O49" xr:uid="{C3D8DAEA-5708-40D1-AE59-2D2AFE1AA5DF}">
    <sortState xmlns:xlrd2="http://schemas.microsoft.com/office/spreadsheetml/2017/richdata2" ref="A7:O49">
      <sortCondition ref="A6:A49"/>
    </sortState>
  </autoFilter>
  <mergeCells count="11">
    <mergeCell ref="S5:V5"/>
    <mergeCell ref="A113:C113"/>
    <mergeCell ref="A122:C122"/>
    <mergeCell ref="A1:O1"/>
    <mergeCell ref="K5:N5"/>
    <mergeCell ref="A56:O56"/>
    <mergeCell ref="A51:O51"/>
    <mergeCell ref="A52:O52"/>
    <mergeCell ref="A53:O53"/>
    <mergeCell ref="A54:O54"/>
    <mergeCell ref="A55:O55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074D-793D-41F8-942B-25E4351BCAAA}">
  <sheetPr codeName="Planilha13">
    <tabColor rgb="FF92D050"/>
    <pageSetUpPr fitToPage="1"/>
  </sheetPr>
  <dimension ref="A1:O130"/>
  <sheetViews>
    <sheetView showGridLines="0" view="pageBreakPreview" topLeftCell="A24" zoomScale="80" zoomScaleNormal="70" zoomScaleSheetLayoutView="80" workbookViewId="0">
      <selection activeCell="A54" sqref="A54:O54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524</v>
      </c>
      <c r="C3" s="26"/>
      <c r="D3" s="35" t="s">
        <v>525</v>
      </c>
      <c r="E3" s="27"/>
      <c r="F3" s="28"/>
      <c r="G3" s="28"/>
      <c r="H3" s="35" t="s">
        <v>196</v>
      </c>
      <c r="I3" s="27"/>
      <c r="J3" s="27"/>
      <c r="K3" s="35" t="s">
        <v>526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174</v>
      </c>
      <c r="B7" s="6" t="s">
        <v>527</v>
      </c>
      <c r="C7" s="6" t="s">
        <v>55</v>
      </c>
      <c r="D7" s="6" t="s">
        <v>225</v>
      </c>
      <c r="E7" s="6" t="s">
        <v>51</v>
      </c>
      <c r="F7" s="6" t="s">
        <v>209</v>
      </c>
      <c r="G7" s="6" t="s">
        <v>5</v>
      </c>
      <c r="H7" s="6" t="s">
        <v>210</v>
      </c>
      <c r="I7" s="45">
        <v>46176</v>
      </c>
      <c r="J7" s="6" t="s">
        <v>266</v>
      </c>
      <c r="K7" s="6"/>
      <c r="L7" s="6"/>
      <c r="M7" s="6"/>
      <c r="N7" s="6" t="s">
        <v>267</v>
      </c>
      <c r="O7" s="6" t="s">
        <v>341</v>
      </c>
    </row>
    <row r="8" spans="1:15" x14ac:dyDescent="0.25">
      <c r="A8" s="7" t="s">
        <v>174</v>
      </c>
      <c r="B8" s="9" t="s">
        <v>528</v>
      </c>
      <c r="C8" s="13" t="s">
        <v>84</v>
      </c>
      <c r="D8" s="9" t="s">
        <v>225</v>
      </c>
      <c r="E8" s="9" t="s">
        <v>51</v>
      </c>
      <c r="F8" s="9" t="s">
        <v>209</v>
      </c>
      <c r="G8" s="7" t="s">
        <v>5</v>
      </c>
      <c r="H8" s="9" t="s">
        <v>210</v>
      </c>
      <c r="I8" s="46">
        <v>46176</v>
      </c>
      <c r="J8" s="1" t="s">
        <v>266</v>
      </c>
      <c r="K8" s="1"/>
      <c r="L8" s="1"/>
      <c r="M8" s="1"/>
      <c r="N8" s="1" t="s">
        <v>267</v>
      </c>
      <c r="O8" s="1" t="s">
        <v>529</v>
      </c>
    </row>
    <row r="9" spans="1:15" x14ac:dyDescent="0.25">
      <c r="A9" s="6" t="s">
        <v>174</v>
      </c>
      <c r="B9" s="6" t="s">
        <v>530</v>
      </c>
      <c r="C9" s="6" t="s">
        <v>67</v>
      </c>
      <c r="D9" s="6" t="s">
        <v>225</v>
      </c>
      <c r="E9" s="6" t="s">
        <v>51</v>
      </c>
      <c r="F9" s="6" t="s">
        <v>209</v>
      </c>
      <c r="G9" s="6" t="s">
        <v>5</v>
      </c>
      <c r="H9" s="6" t="s">
        <v>210</v>
      </c>
      <c r="I9" s="45">
        <v>46176</v>
      </c>
      <c r="J9" s="6" t="s">
        <v>266</v>
      </c>
      <c r="K9" s="6"/>
      <c r="L9" s="6"/>
      <c r="M9" s="6"/>
      <c r="N9" s="6" t="s">
        <v>267</v>
      </c>
      <c r="O9" s="6" t="s">
        <v>341</v>
      </c>
    </row>
    <row r="10" spans="1:15" x14ac:dyDescent="0.25">
      <c r="A10" s="7" t="s">
        <v>174</v>
      </c>
      <c r="B10" s="9" t="s">
        <v>531</v>
      </c>
      <c r="C10" s="13" t="s">
        <v>71</v>
      </c>
      <c r="D10" s="9" t="s">
        <v>225</v>
      </c>
      <c r="E10" s="9" t="s">
        <v>51</v>
      </c>
      <c r="F10" s="9" t="s">
        <v>209</v>
      </c>
      <c r="G10" s="7" t="s">
        <v>5</v>
      </c>
      <c r="H10" s="9" t="s">
        <v>210</v>
      </c>
      <c r="I10" s="46">
        <v>46176</v>
      </c>
      <c r="J10" s="1" t="s">
        <v>266</v>
      </c>
      <c r="K10" s="1"/>
      <c r="L10" s="1"/>
      <c r="M10" s="1"/>
      <c r="N10" s="1" t="s">
        <v>267</v>
      </c>
      <c r="O10" s="1" t="s">
        <v>529</v>
      </c>
    </row>
    <row r="11" spans="1:15" x14ac:dyDescent="0.25">
      <c r="A11" s="6" t="s">
        <v>174</v>
      </c>
      <c r="B11" s="6" t="s">
        <v>532</v>
      </c>
      <c r="C11" s="6" t="s">
        <v>59</v>
      </c>
      <c r="D11" s="6" t="s">
        <v>215</v>
      </c>
      <c r="E11" s="6" t="s">
        <v>48</v>
      </c>
      <c r="F11" s="6" t="s">
        <v>216</v>
      </c>
      <c r="G11" s="6" t="s">
        <v>6</v>
      </c>
      <c r="H11" s="6" t="s">
        <v>210</v>
      </c>
      <c r="I11" s="45">
        <v>46176</v>
      </c>
      <c r="J11" s="6" t="s">
        <v>266</v>
      </c>
      <c r="K11" s="6"/>
      <c r="L11" s="6"/>
      <c r="M11" s="6"/>
      <c r="N11" s="6" t="s">
        <v>267</v>
      </c>
      <c r="O11" s="6" t="s">
        <v>341</v>
      </c>
    </row>
    <row r="12" spans="1:15" x14ac:dyDescent="0.25">
      <c r="A12" s="7" t="s">
        <v>174</v>
      </c>
      <c r="B12" s="9" t="s">
        <v>57</v>
      </c>
      <c r="C12" s="13" t="s">
        <v>53</v>
      </c>
      <c r="D12" s="9" t="s">
        <v>402</v>
      </c>
      <c r="E12" s="9" t="s">
        <v>54</v>
      </c>
      <c r="F12" s="9" t="s">
        <v>219</v>
      </c>
      <c r="G12" s="7" t="s">
        <v>6</v>
      </c>
      <c r="H12" s="9" t="s">
        <v>210</v>
      </c>
      <c r="I12" s="46">
        <v>46176</v>
      </c>
      <c r="J12" s="1" t="s">
        <v>266</v>
      </c>
      <c r="K12" s="1"/>
      <c r="L12" s="1"/>
      <c r="M12" s="1" t="s">
        <v>267</v>
      </c>
      <c r="N12" s="1"/>
      <c r="O12" s="1" t="s">
        <v>341</v>
      </c>
    </row>
    <row r="13" spans="1:15" x14ac:dyDescent="0.25">
      <c r="A13" s="6" t="s">
        <v>174</v>
      </c>
      <c r="B13" s="6" t="s">
        <v>57</v>
      </c>
      <c r="C13" s="6" t="s">
        <v>58</v>
      </c>
      <c r="D13" s="6" t="s">
        <v>215</v>
      </c>
      <c r="E13" s="6" t="s">
        <v>54</v>
      </c>
      <c r="F13" s="6" t="s">
        <v>219</v>
      </c>
      <c r="G13" s="6" t="s">
        <v>6</v>
      </c>
      <c r="H13" s="6" t="s">
        <v>218</v>
      </c>
      <c r="I13" s="45">
        <v>46176</v>
      </c>
      <c r="J13" s="6" t="s">
        <v>273</v>
      </c>
      <c r="K13" s="6"/>
      <c r="L13" s="6"/>
      <c r="M13" s="6"/>
      <c r="N13" s="6" t="s">
        <v>267</v>
      </c>
      <c r="O13" s="6" t="s">
        <v>341</v>
      </c>
    </row>
    <row r="14" spans="1:15" x14ac:dyDescent="0.25">
      <c r="A14" s="7" t="s">
        <v>174</v>
      </c>
      <c r="B14" s="9" t="s">
        <v>57</v>
      </c>
      <c r="C14" s="13" t="s">
        <v>47</v>
      </c>
      <c r="D14" s="9" t="s">
        <v>402</v>
      </c>
      <c r="E14" s="9" t="s">
        <v>48</v>
      </c>
      <c r="F14" s="9" t="s">
        <v>216</v>
      </c>
      <c r="G14" s="7" t="s">
        <v>5</v>
      </c>
      <c r="H14" s="9" t="s">
        <v>218</v>
      </c>
      <c r="I14" s="46">
        <v>46176</v>
      </c>
      <c r="J14" s="1" t="s">
        <v>273</v>
      </c>
      <c r="K14" s="1"/>
      <c r="L14" s="1"/>
      <c r="M14" s="1"/>
      <c r="N14" s="1" t="s">
        <v>267</v>
      </c>
      <c r="O14" s="1" t="s">
        <v>341</v>
      </c>
    </row>
    <row r="15" spans="1:15" x14ac:dyDescent="0.25">
      <c r="A15" s="6" t="s">
        <v>174</v>
      </c>
      <c r="B15" s="6" t="s">
        <v>57</v>
      </c>
      <c r="C15" s="6" t="s">
        <v>56</v>
      </c>
      <c r="D15" s="6" t="s">
        <v>215</v>
      </c>
      <c r="E15" s="6" t="s">
        <v>54</v>
      </c>
      <c r="F15" s="6" t="s">
        <v>219</v>
      </c>
      <c r="G15" s="6" t="s">
        <v>6</v>
      </c>
      <c r="H15" s="6" t="s">
        <v>218</v>
      </c>
      <c r="I15" s="45">
        <v>46176</v>
      </c>
      <c r="J15" s="6" t="s">
        <v>273</v>
      </c>
      <c r="K15" s="6"/>
      <c r="L15" s="6"/>
      <c r="M15" s="6"/>
      <c r="N15" s="6" t="s">
        <v>267</v>
      </c>
      <c r="O15" s="6" t="s">
        <v>341</v>
      </c>
    </row>
    <row r="16" spans="1:15" x14ac:dyDescent="0.25">
      <c r="A16" s="7" t="s">
        <v>174</v>
      </c>
      <c r="B16" s="9" t="s">
        <v>533</v>
      </c>
      <c r="C16" s="13" t="s">
        <v>175</v>
      </c>
      <c r="D16" s="9" t="s">
        <v>221</v>
      </c>
      <c r="E16" s="9" t="s">
        <v>76</v>
      </c>
      <c r="F16" s="9" t="s">
        <v>222</v>
      </c>
      <c r="G16" s="7" t="s">
        <v>5</v>
      </c>
      <c r="H16" s="9" t="s">
        <v>210</v>
      </c>
      <c r="I16" s="46">
        <v>46176</v>
      </c>
      <c r="J16" s="1" t="s">
        <v>266</v>
      </c>
      <c r="K16" s="1"/>
      <c r="L16" s="1"/>
      <c r="M16" s="1"/>
      <c r="N16" s="1" t="s">
        <v>267</v>
      </c>
      <c r="O16" s="1" t="s">
        <v>341</v>
      </c>
    </row>
    <row r="17" spans="1:15" x14ac:dyDescent="0.25">
      <c r="A17" s="6" t="s">
        <v>174</v>
      </c>
      <c r="B17" s="6" t="s">
        <v>534</v>
      </c>
      <c r="C17" s="6" t="s">
        <v>72</v>
      </c>
      <c r="D17" s="6" t="s">
        <v>221</v>
      </c>
      <c r="E17" s="6" t="s">
        <v>76</v>
      </c>
      <c r="F17" s="6" t="s">
        <v>222</v>
      </c>
      <c r="G17" s="6" t="s">
        <v>5</v>
      </c>
      <c r="H17" s="6" t="s">
        <v>210</v>
      </c>
      <c r="I17" s="45">
        <v>46176</v>
      </c>
      <c r="J17" s="6" t="s">
        <v>266</v>
      </c>
      <c r="K17" s="6"/>
      <c r="L17" s="6"/>
      <c r="M17" s="6"/>
      <c r="N17" s="6" t="s">
        <v>267</v>
      </c>
      <c r="O17" s="6" t="s">
        <v>341</v>
      </c>
    </row>
    <row r="18" spans="1:15" x14ac:dyDescent="0.25">
      <c r="A18" s="7" t="s">
        <v>68</v>
      </c>
      <c r="B18" s="9" t="s">
        <v>535</v>
      </c>
      <c r="C18" s="13" t="s">
        <v>125</v>
      </c>
      <c r="D18" s="9" t="s">
        <v>225</v>
      </c>
      <c r="E18" s="9" t="s">
        <v>51</v>
      </c>
      <c r="F18" s="9" t="s">
        <v>209</v>
      </c>
      <c r="G18" s="7" t="s">
        <v>5</v>
      </c>
      <c r="H18" s="9" t="s">
        <v>218</v>
      </c>
      <c r="I18" s="46">
        <v>46176</v>
      </c>
      <c r="J18" s="1" t="s">
        <v>273</v>
      </c>
      <c r="K18" s="1"/>
      <c r="L18" s="1"/>
      <c r="M18" s="1"/>
      <c r="N18" s="1" t="s">
        <v>267</v>
      </c>
      <c r="O18" s="1" t="s">
        <v>341</v>
      </c>
    </row>
    <row r="19" spans="1:15" x14ac:dyDescent="0.25">
      <c r="A19" s="6" t="s">
        <v>68</v>
      </c>
      <c r="B19" s="6" t="s">
        <v>536</v>
      </c>
      <c r="C19" s="6" t="s">
        <v>158</v>
      </c>
      <c r="D19" s="6" t="s">
        <v>225</v>
      </c>
      <c r="E19" s="6" t="s">
        <v>51</v>
      </c>
      <c r="F19" s="6" t="s">
        <v>209</v>
      </c>
      <c r="G19" s="6" t="s">
        <v>5</v>
      </c>
      <c r="H19" s="6" t="s">
        <v>210</v>
      </c>
      <c r="I19" s="45">
        <v>46176</v>
      </c>
      <c r="J19" s="6" t="s">
        <v>266</v>
      </c>
      <c r="K19" s="6"/>
      <c r="L19" s="6"/>
      <c r="M19" s="6"/>
      <c r="N19" s="6" t="s">
        <v>267</v>
      </c>
      <c r="O19" s="6" t="s">
        <v>341</v>
      </c>
    </row>
    <row r="20" spans="1:15" x14ac:dyDescent="0.25">
      <c r="A20" s="7" t="s">
        <v>68</v>
      </c>
      <c r="B20" s="9" t="s">
        <v>537</v>
      </c>
      <c r="C20" s="13" t="s">
        <v>106</v>
      </c>
      <c r="D20" s="9" t="s">
        <v>225</v>
      </c>
      <c r="E20" s="9" t="s">
        <v>51</v>
      </c>
      <c r="F20" s="9" t="s">
        <v>209</v>
      </c>
      <c r="G20" s="7" t="s">
        <v>5</v>
      </c>
      <c r="H20" s="9" t="s">
        <v>218</v>
      </c>
      <c r="I20" s="46">
        <v>46176</v>
      </c>
      <c r="J20" s="1" t="s">
        <v>273</v>
      </c>
      <c r="K20" s="1"/>
      <c r="L20" s="1"/>
      <c r="M20" s="1"/>
      <c r="N20" s="1" t="s">
        <v>267</v>
      </c>
      <c r="O20" s="1" t="s">
        <v>341</v>
      </c>
    </row>
    <row r="21" spans="1:15" x14ac:dyDescent="0.25">
      <c r="A21" s="6" t="s">
        <v>68</v>
      </c>
      <c r="B21" s="6" t="s">
        <v>538</v>
      </c>
      <c r="C21" s="6" t="s">
        <v>115</v>
      </c>
      <c r="D21" s="6" t="s">
        <v>229</v>
      </c>
      <c r="E21" s="6" t="s">
        <v>80</v>
      </c>
      <c r="F21" s="6" t="s">
        <v>230</v>
      </c>
      <c r="G21" s="6" t="s">
        <v>5</v>
      </c>
      <c r="H21" s="6" t="s">
        <v>218</v>
      </c>
      <c r="I21" s="45">
        <v>46176</v>
      </c>
      <c r="J21" s="6" t="s">
        <v>273</v>
      </c>
      <c r="K21" s="6"/>
      <c r="L21" s="6"/>
      <c r="M21" s="6"/>
      <c r="N21" s="6" t="s">
        <v>267</v>
      </c>
      <c r="O21" s="6" t="s">
        <v>341</v>
      </c>
    </row>
    <row r="22" spans="1:15" x14ac:dyDescent="0.25">
      <c r="A22" s="7" t="s">
        <v>68</v>
      </c>
      <c r="B22" s="9" t="s">
        <v>539</v>
      </c>
      <c r="C22" s="13" t="s">
        <v>147</v>
      </c>
      <c r="D22" s="9" t="s">
        <v>229</v>
      </c>
      <c r="E22" s="9" t="s">
        <v>80</v>
      </c>
      <c r="F22" s="9" t="s">
        <v>230</v>
      </c>
      <c r="G22" s="7" t="s">
        <v>5</v>
      </c>
      <c r="H22" s="9" t="s">
        <v>210</v>
      </c>
      <c r="I22" s="46">
        <v>46176</v>
      </c>
      <c r="J22" s="1" t="s">
        <v>266</v>
      </c>
      <c r="K22" s="1"/>
      <c r="L22" s="1"/>
      <c r="M22" s="1"/>
      <c r="N22" s="1" t="s">
        <v>267</v>
      </c>
      <c r="O22" s="1" t="s">
        <v>341</v>
      </c>
    </row>
    <row r="23" spans="1:15" x14ac:dyDescent="0.25">
      <c r="A23" s="6" t="s">
        <v>68</v>
      </c>
      <c r="B23" s="6" t="s">
        <v>540</v>
      </c>
      <c r="C23" s="6" t="s">
        <v>103</v>
      </c>
      <c r="D23" s="6" t="s">
        <v>229</v>
      </c>
      <c r="E23" s="6" t="s">
        <v>80</v>
      </c>
      <c r="F23" s="6" t="s">
        <v>230</v>
      </c>
      <c r="G23" s="6" t="s">
        <v>5</v>
      </c>
      <c r="H23" s="6" t="s">
        <v>218</v>
      </c>
      <c r="I23" s="45">
        <v>46176</v>
      </c>
      <c r="J23" s="6" t="s">
        <v>273</v>
      </c>
      <c r="K23" s="6"/>
      <c r="L23" s="6"/>
      <c r="M23" s="6"/>
      <c r="N23" s="6" t="s">
        <v>267</v>
      </c>
      <c r="O23" s="6" t="s">
        <v>341</v>
      </c>
    </row>
    <row r="24" spans="1:15" x14ac:dyDescent="0.25">
      <c r="A24" s="7" t="s">
        <v>68</v>
      </c>
      <c r="B24" s="9" t="s">
        <v>541</v>
      </c>
      <c r="C24" s="13" t="s">
        <v>119</v>
      </c>
      <c r="D24" s="9" t="s">
        <v>225</v>
      </c>
      <c r="E24" s="9" t="s">
        <v>51</v>
      </c>
      <c r="F24" s="9" t="s">
        <v>209</v>
      </c>
      <c r="G24" s="7" t="s">
        <v>5</v>
      </c>
      <c r="H24" s="9" t="s">
        <v>218</v>
      </c>
      <c r="I24" s="41"/>
      <c r="J24" s="1"/>
      <c r="K24" s="1"/>
      <c r="L24" s="1"/>
      <c r="M24" s="1"/>
      <c r="N24" s="1"/>
      <c r="O24" s="1"/>
    </row>
    <row r="25" spans="1:15" x14ac:dyDescent="0.25">
      <c r="A25" s="6" t="s">
        <v>68</v>
      </c>
      <c r="B25" s="6" t="s">
        <v>542</v>
      </c>
      <c r="C25" s="6" t="s">
        <v>150</v>
      </c>
      <c r="D25" s="6" t="s">
        <v>225</v>
      </c>
      <c r="E25" s="6" t="s">
        <v>51</v>
      </c>
      <c r="F25" s="6" t="s">
        <v>209</v>
      </c>
      <c r="G25" s="6" t="s">
        <v>5</v>
      </c>
      <c r="H25" s="6" t="s">
        <v>210</v>
      </c>
      <c r="I25" s="10"/>
      <c r="J25" s="6"/>
      <c r="K25" s="6"/>
      <c r="L25" s="6"/>
      <c r="M25" s="6"/>
      <c r="N25" s="6"/>
      <c r="O25" s="6"/>
    </row>
    <row r="26" spans="1:15" x14ac:dyDescent="0.25">
      <c r="A26" s="7" t="s">
        <v>68</v>
      </c>
      <c r="B26" s="9" t="s">
        <v>543</v>
      </c>
      <c r="C26" s="13" t="s">
        <v>85</v>
      </c>
      <c r="D26" s="9" t="s">
        <v>225</v>
      </c>
      <c r="E26" s="9" t="s">
        <v>51</v>
      </c>
      <c r="F26" s="9" t="s">
        <v>209</v>
      </c>
      <c r="G26" s="7" t="s">
        <v>5</v>
      </c>
      <c r="H26" s="9" t="s">
        <v>218</v>
      </c>
      <c r="I26" s="41"/>
      <c r="J26" s="1"/>
      <c r="K26" s="1"/>
      <c r="L26" s="1"/>
      <c r="M26" s="1"/>
      <c r="N26" s="1"/>
      <c r="O26" s="1"/>
    </row>
    <row r="27" spans="1:15" x14ac:dyDescent="0.25">
      <c r="A27" s="6" t="s">
        <v>68</v>
      </c>
      <c r="B27" s="6" t="s">
        <v>544</v>
      </c>
      <c r="C27" s="6" t="s">
        <v>122</v>
      </c>
      <c r="D27" s="6" t="s">
        <v>225</v>
      </c>
      <c r="E27" s="6" t="s">
        <v>51</v>
      </c>
      <c r="F27" s="6" t="s">
        <v>209</v>
      </c>
      <c r="G27" s="6" t="s">
        <v>5</v>
      </c>
      <c r="H27" s="6" t="s">
        <v>218</v>
      </c>
      <c r="I27" s="10"/>
      <c r="J27" s="6"/>
      <c r="K27" s="6"/>
      <c r="L27" s="6"/>
      <c r="M27" s="6"/>
      <c r="N27" s="6"/>
      <c r="O27" s="6"/>
    </row>
    <row r="28" spans="1:15" x14ac:dyDescent="0.25">
      <c r="A28" s="7" t="s">
        <v>68</v>
      </c>
      <c r="B28" s="9" t="s">
        <v>545</v>
      </c>
      <c r="C28" s="13" t="s">
        <v>155</v>
      </c>
      <c r="D28" s="9" t="s">
        <v>225</v>
      </c>
      <c r="E28" s="9" t="s">
        <v>51</v>
      </c>
      <c r="F28" s="9" t="s">
        <v>209</v>
      </c>
      <c r="G28" s="7" t="s">
        <v>5</v>
      </c>
      <c r="H28" s="9" t="s">
        <v>210</v>
      </c>
      <c r="I28" s="41"/>
      <c r="J28" s="1"/>
      <c r="K28" s="1"/>
      <c r="L28" s="1"/>
      <c r="M28" s="1"/>
      <c r="N28" s="1"/>
      <c r="O28" s="1"/>
    </row>
    <row r="29" spans="1:15" x14ac:dyDescent="0.25">
      <c r="A29" s="6" t="s">
        <v>68</v>
      </c>
      <c r="B29" s="6" t="s">
        <v>546</v>
      </c>
      <c r="C29" s="6" t="s">
        <v>90</v>
      </c>
      <c r="D29" s="6" t="s">
        <v>225</v>
      </c>
      <c r="E29" s="6" t="s">
        <v>51</v>
      </c>
      <c r="F29" s="6" t="s">
        <v>209</v>
      </c>
      <c r="G29" s="6" t="s">
        <v>5</v>
      </c>
      <c r="H29" s="6" t="s">
        <v>218</v>
      </c>
      <c r="I29" s="10"/>
      <c r="J29" s="6"/>
      <c r="K29" s="6"/>
      <c r="L29" s="6"/>
      <c r="M29" s="6"/>
      <c r="N29" s="6"/>
      <c r="O29" s="6"/>
    </row>
    <row r="30" spans="1:15" x14ac:dyDescent="0.25">
      <c r="A30" s="7" t="s">
        <v>68</v>
      </c>
      <c r="B30" s="9" t="s">
        <v>547</v>
      </c>
      <c r="C30" s="13" t="s">
        <v>128</v>
      </c>
      <c r="D30" s="9" t="s">
        <v>240</v>
      </c>
      <c r="E30" s="9" t="s">
        <v>86</v>
      </c>
      <c r="F30" s="9" t="s">
        <v>241</v>
      </c>
      <c r="G30" s="7" t="s">
        <v>5</v>
      </c>
      <c r="H30" s="9" t="s">
        <v>218</v>
      </c>
      <c r="I30" s="46">
        <v>46176</v>
      </c>
      <c r="J30" s="1" t="s">
        <v>273</v>
      </c>
      <c r="K30" s="1"/>
      <c r="L30" s="1"/>
      <c r="M30" s="1"/>
      <c r="N30" s="1" t="s">
        <v>267</v>
      </c>
      <c r="O30" s="1" t="s">
        <v>341</v>
      </c>
    </row>
    <row r="31" spans="1:15" x14ac:dyDescent="0.25">
      <c r="A31" s="6" t="s">
        <v>68</v>
      </c>
      <c r="B31" s="6" t="s">
        <v>548</v>
      </c>
      <c r="C31" s="6" t="s">
        <v>152</v>
      </c>
      <c r="D31" s="6" t="s">
        <v>240</v>
      </c>
      <c r="E31" s="6" t="s">
        <v>86</v>
      </c>
      <c r="F31" s="6" t="s">
        <v>241</v>
      </c>
      <c r="G31" s="6" t="s">
        <v>5</v>
      </c>
      <c r="H31" s="6" t="s">
        <v>210</v>
      </c>
      <c r="I31" s="45">
        <v>46176</v>
      </c>
      <c r="J31" s="6" t="s">
        <v>266</v>
      </c>
      <c r="K31" s="6"/>
      <c r="L31" s="6"/>
      <c r="M31" s="6"/>
      <c r="N31" s="6" t="s">
        <v>267</v>
      </c>
      <c r="O31" s="6" t="s">
        <v>341</v>
      </c>
    </row>
    <row r="32" spans="1:15" x14ac:dyDescent="0.25">
      <c r="A32" s="7" t="s">
        <v>68</v>
      </c>
      <c r="B32" s="9" t="s">
        <v>549</v>
      </c>
      <c r="C32" s="13" t="s">
        <v>96</v>
      </c>
      <c r="D32" s="9" t="s">
        <v>240</v>
      </c>
      <c r="E32" s="9" t="s">
        <v>86</v>
      </c>
      <c r="F32" s="9" t="s">
        <v>241</v>
      </c>
      <c r="G32" s="7" t="s">
        <v>5</v>
      </c>
      <c r="H32" s="9" t="s">
        <v>218</v>
      </c>
      <c r="I32" s="46">
        <v>46176</v>
      </c>
      <c r="J32" s="1" t="s">
        <v>273</v>
      </c>
      <c r="K32" s="1"/>
      <c r="L32" s="1"/>
      <c r="M32" s="1"/>
      <c r="N32" s="1" t="s">
        <v>267</v>
      </c>
      <c r="O32" s="1" t="s">
        <v>341</v>
      </c>
    </row>
    <row r="33" spans="1:15" ht="18" customHeight="1" x14ac:dyDescent="0.25">
      <c r="A33" s="6" t="s">
        <v>68</v>
      </c>
      <c r="B33" s="6" t="s">
        <v>550</v>
      </c>
      <c r="C33" s="6" t="s">
        <v>93</v>
      </c>
      <c r="D33" s="6" t="s">
        <v>225</v>
      </c>
      <c r="E33" s="6" t="s">
        <v>51</v>
      </c>
      <c r="F33" s="6" t="s">
        <v>209</v>
      </c>
      <c r="G33" s="6" t="s">
        <v>5</v>
      </c>
      <c r="H33" s="6" t="s">
        <v>210</v>
      </c>
      <c r="I33" s="45">
        <v>46176</v>
      </c>
      <c r="J33" s="6" t="s">
        <v>266</v>
      </c>
      <c r="K33" s="6"/>
      <c r="L33" s="6"/>
      <c r="M33" s="6"/>
      <c r="N33" s="6" t="s">
        <v>267</v>
      </c>
      <c r="O33" s="6" t="s">
        <v>341</v>
      </c>
    </row>
    <row r="34" spans="1:15" x14ac:dyDescent="0.25">
      <c r="A34" s="7" t="s">
        <v>68</v>
      </c>
      <c r="B34" s="9" t="s">
        <v>551</v>
      </c>
      <c r="C34" s="13" t="s">
        <v>161</v>
      </c>
      <c r="D34" s="9" t="s">
        <v>225</v>
      </c>
      <c r="E34" s="9" t="s">
        <v>51</v>
      </c>
      <c r="F34" s="9" t="s">
        <v>209</v>
      </c>
      <c r="G34" s="7" t="s">
        <v>5</v>
      </c>
      <c r="H34" s="9" t="s">
        <v>210</v>
      </c>
      <c r="I34" s="46">
        <v>46176</v>
      </c>
      <c r="J34" s="1" t="s">
        <v>266</v>
      </c>
      <c r="K34" s="1"/>
      <c r="L34" s="1"/>
      <c r="M34" s="1"/>
      <c r="N34" s="1" t="s">
        <v>267</v>
      </c>
      <c r="O34" s="1" t="s">
        <v>341</v>
      </c>
    </row>
    <row r="35" spans="1:15" x14ac:dyDescent="0.25">
      <c r="A35" s="6" t="s">
        <v>68</v>
      </c>
      <c r="B35" s="6" t="s">
        <v>552</v>
      </c>
      <c r="C35" s="6" t="s">
        <v>100</v>
      </c>
      <c r="D35" s="6" t="s">
        <v>225</v>
      </c>
      <c r="E35" s="6" t="s">
        <v>51</v>
      </c>
      <c r="F35" s="6" t="s">
        <v>209</v>
      </c>
      <c r="G35" s="6" t="s">
        <v>5</v>
      </c>
      <c r="H35" s="6" t="s">
        <v>210</v>
      </c>
      <c r="I35" s="45">
        <v>46176</v>
      </c>
      <c r="J35" s="6" t="s">
        <v>266</v>
      </c>
      <c r="K35" s="6"/>
      <c r="L35" s="6"/>
      <c r="M35" s="6"/>
      <c r="N35" s="6" t="s">
        <v>267</v>
      </c>
      <c r="O35" s="6" t="s">
        <v>341</v>
      </c>
    </row>
    <row r="36" spans="1:15" x14ac:dyDescent="0.25">
      <c r="A36" s="7" t="s">
        <v>68</v>
      </c>
      <c r="B36" s="9" t="s">
        <v>57</v>
      </c>
      <c r="C36" s="13" t="s">
        <v>176</v>
      </c>
      <c r="D36" s="9" t="s">
        <v>221</v>
      </c>
      <c r="E36" s="9" t="s">
        <v>76</v>
      </c>
      <c r="F36" s="9" t="s">
        <v>222</v>
      </c>
      <c r="G36" s="7" t="s">
        <v>5</v>
      </c>
      <c r="H36" s="9" t="s">
        <v>218</v>
      </c>
      <c r="I36" s="46">
        <v>46176</v>
      </c>
      <c r="J36" s="1" t="s">
        <v>273</v>
      </c>
      <c r="K36" s="1"/>
      <c r="L36" s="1"/>
      <c r="M36" s="1"/>
      <c r="N36" s="1" t="s">
        <v>267</v>
      </c>
      <c r="O36" s="1" t="s">
        <v>341</v>
      </c>
    </row>
    <row r="37" spans="1:15" x14ac:dyDescent="0.25">
      <c r="A37" s="6" t="s">
        <v>68</v>
      </c>
      <c r="B37" s="6" t="s">
        <v>57</v>
      </c>
      <c r="C37" s="6" t="s">
        <v>177</v>
      </c>
      <c r="D37" s="6" t="s">
        <v>221</v>
      </c>
      <c r="E37" s="6" t="s">
        <v>76</v>
      </c>
      <c r="F37" s="6" t="s">
        <v>222</v>
      </c>
      <c r="G37" s="6" t="s">
        <v>5</v>
      </c>
      <c r="H37" s="6" t="s">
        <v>210</v>
      </c>
      <c r="I37" s="45">
        <v>46176</v>
      </c>
      <c r="J37" s="6" t="s">
        <v>266</v>
      </c>
      <c r="K37" s="6"/>
      <c r="L37" s="6"/>
      <c r="M37" s="6"/>
      <c r="N37" s="6" t="s">
        <v>267</v>
      </c>
      <c r="O37" s="6" t="s">
        <v>341</v>
      </c>
    </row>
    <row r="38" spans="1:15" x14ac:dyDescent="0.25">
      <c r="A38" s="7" t="s">
        <v>68</v>
      </c>
      <c r="B38" s="9" t="s">
        <v>57</v>
      </c>
      <c r="C38" s="13" t="s">
        <v>118</v>
      </c>
      <c r="D38" s="9" t="s">
        <v>402</v>
      </c>
      <c r="E38" s="9" t="s">
        <v>48</v>
      </c>
      <c r="F38" s="9" t="s">
        <v>216</v>
      </c>
      <c r="G38" s="7" t="s">
        <v>6</v>
      </c>
      <c r="H38" s="9" t="s">
        <v>210</v>
      </c>
      <c r="I38" s="46">
        <v>46176</v>
      </c>
      <c r="J38" s="1" t="s">
        <v>266</v>
      </c>
      <c r="K38" s="1"/>
      <c r="L38" s="1"/>
      <c r="M38" s="1"/>
      <c r="N38" s="1" t="s">
        <v>267</v>
      </c>
      <c r="O38" s="1" t="s">
        <v>341</v>
      </c>
    </row>
    <row r="39" spans="1:15" x14ac:dyDescent="0.25">
      <c r="A39" s="6" t="s">
        <v>68</v>
      </c>
      <c r="B39" s="6" t="s">
        <v>57</v>
      </c>
      <c r="C39" s="6" t="s">
        <v>111</v>
      </c>
      <c r="D39" s="6" t="s">
        <v>402</v>
      </c>
      <c r="E39" s="6" t="s">
        <v>48</v>
      </c>
      <c r="F39" s="6" t="s">
        <v>216</v>
      </c>
      <c r="G39" s="6" t="s">
        <v>5</v>
      </c>
      <c r="H39" s="6" t="s">
        <v>218</v>
      </c>
      <c r="I39" s="45">
        <v>46176</v>
      </c>
      <c r="J39" s="6" t="s">
        <v>273</v>
      </c>
      <c r="K39" s="6"/>
      <c r="L39" s="6"/>
      <c r="M39" s="6"/>
      <c r="N39" s="6" t="s">
        <v>267</v>
      </c>
      <c r="O39" s="6" t="s">
        <v>341</v>
      </c>
    </row>
    <row r="40" spans="1:15" x14ac:dyDescent="0.25">
      <c r="A40" s="7" t="s">
        <v>68</v>
      </c>
      <c r="B40" s="9" t="s">
        <v>57</v>
      </c>
      <c r="C40" s="13" t="s">
        <v>105</v>
      </c>
      <c r="D40" s="9" t="s">
        <v>402</v>
      </c>
      <c r="E40" s="9" t="s">
        <v>48</v>
      </c>
      <c r="F40" s="9" t="s">
        <v>216</v>
      </c>
      <c r="G40" s="7" t="s">
        <v>6</v>
      </c>
      <c r="H40" s="9" t="s">
        <v>218</v>
      </c>
      <c r="I40" s="46">
        <v>46176</v>
      </c>
      <c r="J40" s="1" t="s">
        <v>273</v>
      </c>
      <c r="K40" s="1"/>
      <c r="L40" s="1"/>
      <c r="M40" s="1"/>
      <c r="N40" s="1" t="s">
        <v>267</v>
      </c>
      <c r="O40" s="1" t="s">
        <v>341</v>
      </c>
    </row>
    <row r="41" spans="1:15" x14ac:dyDescent="0.25">
      <c r="A41" s="6" t="s">
        <v>68</v>
      </c>
      <c r="B41" s="6" t="s">
        <v>57</v>
      </c>
      <c r="C41" s="6" t="s">
        <v>189</v>
      </c>
      <c r="D41" s="6" t="s">
        <v>240</v>
      </c>
      <c r="E41" s="6" t="s">
        <v>54</v>
      </c>
      <c r="F41" s="6" t="s">
        <v>219</v>
      </c>
      <c r="G41" s="6" t="s">
        <v>6</v>
      </c>
      <c r="H41" s="6" t="s">
        <v>218</v>
      </c>
      <c r="I41" s="45">
        <v>46176</v>
      </c>
      <c r="J41" s="6" t="s">
        <v>273</v>
      </c>
      <c r="K41" s="6"/>
      <c r="L41" s="6"/>
      <c r="M41" s="6"/>
      <c r="N41" s="6" t="s">
        <v>267</v>
      </c>
      <c r="O41" s="6" t="s">
        <v>341</v>
      </c>
    </row>
    <row r="42" spans="1:15" x14ac:dyDescent="0.25">
      <c r="A42" s="7" t="s">
        <v>68</v>
      </c>
      <c r="B42" s="9" t="s">
        <v>57</v>
      </c>
      <c r="C42" s="13" t="s">
        <v>89</v>
      </c>
      <c r="D42" s="9" t="s">
        <v>225</v>
      </c>
      <c r="E42" s="9" t="s">
        <v>51</v>
      </c>
      <c r="F42" s="9" t="s">
        <v>209</v>
      </c>
      <c r="G42" s="7" t="s">
        <v>6</v>
      </c>
      <c r="H42" s="9" t="s">
        <v>218</v>
      </c>
      <c r="I42" s="46">
        <v>46176</v>
      </c>
      <c r="J42" s="1" t="s">
        <v>273</v>
      </c>
      <c r="K42" s="1"/>
      <c r="L42" s="1"/>
      <c r="M42" s="1"/>
      <c r="N42" s="1" t="s">
        <v>267</v>
      </c>
      <c r="O42" s="1" t="s">
        <v>341</v>
      </c>
    </row>
    <row r="43" spans="1:15" x14ac:dyDescent="0.25">
      <c r="A43" s="6" t="s">
        <v>68</v>
      </c>
      <c r="B43" s="6" t="s">
        <v>57</v>
      </c>
      <c r="C43" s="6" t="s">
        <v>114</v>
      </c>
      <c r="D43" s="6" t="s">
        <v>225</v>
      </c>
      <c r="E43" s="6" t="s">
        <v>51</v>
      </c>
      <c r="F43" s="6" t="s">
        <v>209</v>
      </c>
      <c r="G43" s="6" t="s">
        <v>6</v>
      </c>
      <c r="H43" s="6" t="s">
        <v>218</v>
      </c>
      <c r="I43" s="45">
        <v>46176</v>
      </c>
      <c r="J43" s="6" t="s">
        <v>273</v>
      </c>
      <c r="K43" s="6"/>
      <c r="L43" s="6"/>
      <c r="M43" s="6"/>
      <c r="N43" s="6" t="s">
        <v>267</v>
      </c>
      <c r="O43" s="6" t="s">
        <v>341</v>
      </c>
    </row>
    <row r="44" spans="1:15" x14ac:dyDescent="0.25">
      <c r="A44" s="7" t="s">
        <v>68</v>
      </c>
      <c r="B44" s="9" t="s">
        <v>57</v>
      </c>
      <c r="C44" s="13" t="s">
        <v>178</v>
      </c>
      <c r="D44" s="9" t="s">
        <v>217</v>
      </c>
      <c r="E44" s="9" t="s">
        <v>48</v>
      </c>
      <c r="F44" s="9" t="s">
        <v>216</v>
      </c>
      <c r="G44" s="7" t="s">
        <v>5</v>
      </c>
      <c r="H44" s="9" t="s">
        <v>218</v>
      </c>
      <c r="I44" s="41"/>
      <c r="J44" s="1"/>
      <c r="K44" s="1"/>
      <c r="L44" s="1"/>
      <c r="M44" s="1"/>
      <c r="N44" s="1"/>
      <c r="O44" s="1"/>
    </row>
    <row r="45" spans="1:15" x14ac:dyDescent="0.25">
      <c r="A45" s="6" t="s">
        <v>68</v>
      </c>
      <c r="B45" s="6" t="s">
        <v>57</v>
      </c>
      <c r="C45" s="6" t="s">
        <v>179</v>
      </c>
      <c r="D45" s="6" t="s">
        <v>217</v>
      </c>
      <c r="E45" s="6" t="s">
        <v>48</v>
      </c>
      <c r="F45" s="6" t="s">
        <v>216</v>
      </c>
      <c r="G45" s="6" t="s">
        <v>5</v>
      </c>
      <c r="H45" s="6" t="s">
        <v>218</v>
      </c>
      <c r="I45" s="10"/>
      <c r="J45" s="6"/>
      <c r="K45" s="6"/>
      <c r="L45" s="6"/>
      <c r="M45" s="6"/>
      <c r="N45" s="6"/>
      <c r="O45" s="6"/>
    </row>
    <row r="46" spans="1:15" x14ac:dyDescent="0.25">
      <c r="A46" s="7" t="s">
        <v>68</v>
      </c>
      <c r="B46" s="9" t="s">
        <v>553</v>
      </c>
      <c r="C46" s="13" t="s">
        <v>156</v>
      </c>
      <c r="D46" s="9" t="s">
        <v>225</v>
      </c>
      <c r="E46" s="9" t="s">
        <v>51</v>
      </c>
      <c r="F46" s="9" t="s">
        <v>209</v>
      </c>
      <c r="G46" s="7" t="s">
        <v>5</v>
      </c>
      <c r="H46" s="9" t="s">
        <v>218</v>
      </c>
      <c r="I46" s="46">
        <v>46176</v>
      </c>
      <c r="J46" s="1" t="s">
        <v>266</v>
      </c>
      <c r="K46" s="1"/>
      <c r="L46" s="1"/>
      <c r="M46" s="1" t="s">
        <v>267</v>
      </c>
      <c r="N46" s="1"/>
      <c r="O46" s="1" t="s">
        <v>341</v>
      </c>
    </row>
    <row r="47" spans="1:15" x14ac:dyDescent="0.25">
      <c r="A47" s="6" t="s">
        <v>68</v>
      </c>
      <c r="B47" s="6" t="s">
        <v>554</v>
      </c>
      <c r="C47" s="6" t="s">
        <v>153</v>
      </c>
      <c r="D47" s="6" t="s">
        <v>225</v>
      </c>
      <c r="E47" s="6" t="s">
        <v>51</v>
      </c>
      <c r="F47" s="6" t="s">
        <v>209</v>
      </c>
      <c r="G47" s="6" t="s">
        <v>5</v>
      </c>
      <c r="H47" s="6" t="s">
        <v>218</v>
      </c>
      <c r="I47" s="10"/>
      <c r="J47" s="6"/>
      <c r="K47" s="6"/>
      <c r="L47" s="6"/>
      <c r="M47" s="6"/>
      <c r="N47" s="6"/>
      <c r="O47" s="6"/>
    </row>
    <row r="48" spans="1:15" x14ac:dyDescent="0.25">
      <c r="A48" s="7" t="s">
        <v>68</v>
      </c>
      <c r="B48" s="9" t="s">
        <v>329</v>
      </c>
      <c r="C48" s="13" t="s">
        <v>159</v>
      </c>
      <c r="D48" s="9" t="s">
        <v>225</v>
      </c>
      <c r="E48" s="9" t="s">
        <v>51</v>
      </c>
      <c r="F48" s="9" t="s">
        <v>209</v>
      </c>
      <c r="G48" s="7" t="s">
        <v>5</v>
      </c>
      <c r="H48" s="9" t="s">
        <v>210</v>
      </c>
      <c r="I48" s="46">
        <v>46176</v>
      </c>
      <c r="J48" s="1" t="s">
        <v>266</v>
      </c>
      <c r="K48" s="1"/>
      <c r="L48" s="1"/>
      <c r="M48" s="1" t="s">
        <v>267</v>
      </c>
      <c r="N48" s="1"/>
      <c r="O48" s="1" t="s">
        <v>341</v>
      </c>
    </row>
    <row r="49" spans="1:15" x14ac:dyDescent="0.25">
      <c r="A49" s="6" t="s">
        <v>68</v>
      </c>
      <c r="B49" s="6" t="s">
        <v>555</v>
      </c>
      <c r="C49" s="6" t="s">
        <v>75</v>
      </c>
      <c r="D49" s="6" t="s">
        <v>225</v>
      </c>
      <c r="E49" s="6" t="s">
        <v>51</v>
      </c>
      <c r="F49" s="6" t="s">
        <v>209</v>
      </c>
      <c r="G49" s="6" t="s">
        <v>5</v>
      </c>
      <c r="H49" s="6" t="s">
        <v>210</v>
      </c>
      <c r="I49" s="45">
        <v>46176</v>
      </c>
      <c r="J49" s="6" t="s">
        <v>266</v>
      </c>
      <c r="K49" s="6"/>
      <c r="L49" s="6"/>
      <c r="M49" s="6"/>
      <c r="N49" s="6" t="s">
        <v>267</v>
      </c>
      <c r="O49" s="6" t="s">
        <v>341</v>
      </c>
    </row>
    <row r="50" spans="1:15" ht="30.6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ht="15" customHeight="1" x14ac:dyDescent="0.25">
      <c r="A51" s="198" t="s">
        <v>252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200"/>
    </row>
    <row r="52" spans="1:15" ht="15" customHeight="1" x14ac:dyDescent="0.25">
      <c r="A52" s="201" t="s">
        <v>253</v>
      </c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3"/>
    </row>
    <row r="53" spans="1:15" ht="15" customHeight="1" x14ac:dyDescent="0.25">
      <c r="A53" s="201" t="s">
        <v>254</v>
      </c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3"/>
    </row>
    <row r="54" spans="1:15" ht="15" customHeight="1" x14ac:dyDescent="0.25">
      <c r="A54" s="201" t="s">
        <v>255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3"/>
    </row>
    <row r="55" spans="1:15" ht="15" customHeight="1" x14ac:dyDescent="0.25">
      <c r="A55" s="204" t="s">
        <v>256</v>
      </c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6"/>
    </row>
    <row r="56" spans="1:15" ht="30.6" customHeight="1" x14ac:dyDescent="0.25">
      <c r="A56" s="194" t="s">
        <v>257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6"/>
    </row>
    <row r="57" spans="1:15" ht="15.75" customHeight="1" x14ac:dyDescent="0.25">
      <c r="A57" s="25"/>
      <c r="B57" s="47"/>
      <c r="C57" s="47"/>
      <c r="D57" s="47"/>
      <c r="E57" s="47"/>
      <c r="F57" s="47"/>
      <c r="G57" s="47"/>
      <c r="H57" s="47"/>
      <c r="I57" s="47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47"/>
      <c r="C58" s="47"/>
      <c r="D58" s="47"/>
      <c r="E58" s="47"/>
      <c r="F58" s="47"/>
      <c r="G58" s="47"/>
      <c r="H58" s="47"/>
      <c r="I58" s="47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47"/>
      <c r="C59" s="47"/>
      <c r="D59" s="47"/>
      <c r="E59" s="47"/>
      <c r="F59" s="47"/>
      <c r="G59" s="47"/>
      <c r="H59" s="47"/>
      <c r="I59" s="47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47"/>
      <c r="C60" s="47"/>
      <c r="D60" s="47"/>
      <c r="E60" s="47"/>
      <c r="F60" s="47"/>
      <c r="G60" s="47"/>
      <c r="H60" s="47"/>
      <c r="I60" s="47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47"/>
      <c r="C61" s="47"/>
      <c r="D61" s="47"/>
      <c r="E61" s="47"/>
      <c r="F61" s="47"/>
      <c r="G61" s="47"/>
      <c r="H61" s="47"/>
      <c r="I61" s="47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47"/>
      <c r="C62" s="47"/>
      <c r="D62" s="47"/>
      <c r="E62" s="47"/>
      <c r="F62" s="47"/>
      <c r="G62" s="47"/>
      <c r="H62" s="47"/>
      <c r="I62" s="47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4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19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9" xr:uid="{FABF074D-793D-41F8-942B-25E4351BCAAA}">
    <sortState xmlns:xlrd2="http://schemas.microsoft.com/office/spreadsheetml/2017/richdata2" ref="A7:O49">
      <sortCondition ref="A6:A49"/>
    </sortState>
  </autoFilter>
  <mergeCells count="10">
    <mergeCell ref="A113:C113"/>
    <mergeCell ref="A122:C122"/>
    <mergeCell ref="A1:O1"/>
    <mergeCell ref="K5:N5"/>
    <mergeCell ref="A56:O56"/>
    <mergeCell ref="A51:O51"/>
    <mergeCell ref="A52:O52"/>
    <mergeCell ref="A53:O53"/>
    <mergeCell ref="A54:O54"/>
    <mergeCell ref="A55:O55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43ED-75C9-4F1B-81C7-9214D43E8CA8}">
  <sheetPr codeName="Planilha14">
    <tabColor rgb="FF92D050"/>
    <pageSetUpPr fitToPage="1"/>
  </sheetPr>
  <dimension ref="A1:W130"/>
  <sheetViews>
    <sheetView showGridLines="0" zoomScale="70" zoomScaleNormal="70" workbookViewId="0">
      <selection activeCell="C6" sqref="C6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556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/>
      <c r="N3" s="193"/>
      <c r="O3" s="29"/>
      <c r="Q3" s="27"/>
      <c r="R3" s="27"/>
      <c r="S3" s="35" t="s">
        <v>197</v>
      </c>
      <c r="T3" s="27">
        <v>42690</v>
      </c>
      <c r="U3" s="27"/>
      <c r="V3" s="27"/>
      <c r="W3" s="29"/>
    </row>
    <row r="4" spans="1:23" s="2" customFormat="1" x14ac:dyDescent="0.25">
      <c r="C4" s="24"/>
      <c r="I4" s="20"/>
      <c r="Q4" s="20"/>
    </row>
    <row r="5" spans="1:23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7" t="s">
        <v>174</v>
      </c>
      <c r="B7" s="9" t="s">
        <v>557</v>
      </c>
      <c r="C7" s="13" t="s">
        <v>55</v>
      </c>
      <c r="D7" s="9" t="s">
        <v>225</v>
      </c>
      <c r="E7" s="9" t="s">
        <v>51</v>
      </c>
      <c r="F7" s="9" t="s">
        <v>209</v>
      </c>
      <c r="G7" s="7" t="s">
        <v>5</v>
      </c>
      <c r="H7" s="9" t="s">
        <v>210</v>
      </c>
      <c r="I7" s="41"/>
      <c r="J7" s="1"/>
      <c r="K7" s="1"/>
      <c r="L7" s="1"/>
      <c r="M7" s="1"/>
      <c r="N7" s="1"/>
      <c r="O7" s="1"/>
      <c r="Q7" s="46">
        <v>46257</v>
      </c>
      <c r="R7" s="1" t="s">
        <v>266</v>
      </c>
      <c r="S7" s="1"/>
      <c r="T7" s="1"/>
      <c r="U7" s="1"/>
      <c r="V7" s="1"/>
      <c r="W7" s="1"/>
    </row>
    <row r="8" spans="1:23" x14ac:dyDescent="0.25">
      <c r="A8" s="14" t="s">
        <v>174</v>
      </c>
      <c r="B8" s="18" t="s">
        <v>558</v>
      </c>
      <c r="C8" s="14" t="s">
        <v>84</v>
      </c>
      <c r="D8" s="18" t="s">
        <v>225</v>
      </c>
      <c r="E8" s="18" t="s">
        <v>51</v>
      </c>
      <c r="F8" s="18" t="s">
        <v>209</v>
      </c>
      <c r="G8" s="14" t="s">
        <v>5</v>
      </c>
      <c r="H8" s="18" t="s">
        <v>210</v>
      </c>
      <c r="I8" s="43"/>
      <c r="J8" s="44"/>
      <c r="K8" s="44"/>
      <c r="L8" s="44"/>
      <c r="M8" s="44"/>
      <c r="N8" s="44"/>
      <c r="O8" s="44"/>
      <c r="Q8" s="46">
        <v>46258</v>
      </c>
      <c r="R8" s="44" t="s">
        <v>266</v>
      </c>
      <c r="S8" s="44"/>
      <c r="T8" s="44"/>
      <c r="U8" s="44"/>
      <c r="V8" s="44"/>
      <c r="W8" s="44"/>
    </row>
    <row r="9" spans="1:23" x14ac:dyDescent="0.25">
      <c r="A9" s="7" t="s">
        <v>174</v>
      </c>
      <c r="B9" s="9" t="s">
        <v>559</v>
      </c>
      <c r="C9" s="13" t="s">
        <v>67</v>
      </c>
      <c r="D9" s="9" t="s">
        <v>225</v>
      </c>
      <c r="E9" s="9" t="s">
        <v>51</v>
      </c>
      <c r="F9" s="9" t="s">
        <v>209</v>
      </c>
      <c r="G9" s="7" t="s">
        <v>5</v>
      </c>
      <c r="H9" s="9" t="s">
        <v>210</v>
      </c>
      <c r="I9" s="41"/>
      <c r="J9" s="1"/>
      <c r="K9" s="1"/>
      <c r="L9" s="1"/>
      <c r="M9" s="1"/>
      <c r="N9" s="1"/>
      <c r="O9" s="1"/>
      <c r="Q9" s="46">
        <v>46258</v>
      </c>
      <c r="R9" s="1" t="s">
        <v>266</v>
      </c>
      <c r="S9" s="1"/>
      <c r="T9" s="1"/>
      <c r="U9" s="1"/>
      <c r="V9" s="1"/>
      <c r="W9" s="1"/>
    </row>
    <row r="10" spans="1:23" x14ac:dyDescent="0.25">
      <c r="A10" s="14" t="s">
        <v>174</v>
      </c>
      <c r="B10" s="18" t="s">
        <v>560</v>
      </c>
      <c r="C10" s="14" t="s">
        <v>71</v>
      </c>
      <c r="D10" s="18" t="s">
        <v>225</v>
      </c>
      <c r="E10" s="18" t="s">
        <v>51</v>
      </c>
      <c r="F10" s="18" t="s">
        <v>209</v>
      </c>
      <c r="G10" s="14" t="s">
        <v>5</v>
      </c>
      <c r="H10" s="18" t="s">
        <v>210</v>
      </c>
      <c r="I10" s="43"/>
      <c r="J10" s="44"/>
      <c r="K10" s="44"/>
      <c r="L10" s="44"/>
      <c r="M10" s="44"/>
      <c r="N10" s="44"/>
      <c r="O10" s="44"/>
      <c r="Q10" s="46">
        <v>46258</v>
      </c>
      <c r="R10" s="44" t="s">
        <v>266</v>
      </c>
      <c r="S10" s="44"/>
      <c r="T10" s="44"/>
      <c r="U10" s="44"/>
      <c r="V10" s="44"/>
      <c r="W10" s="44"/>
    </row>
    <row r="11" spans="1:23" x14ac:dyDescent="0.25">
      <c r="A11" s="7" t="s">
        <v>174</v>
      </c>
      <c r="B11" s="9" t="s">
        <v>561</v>
      </c>
      <c r="C11" s="13" t="s">
        <v>59</v>
      </c>
      <c r="D11" s="9" t="s">
        <v>215</v>
      </c>
      <c r="E11" s="9" t="s">
        <v>48</v>
      </c>
      <c r="F11" s="9" t="s">
        <v>216</v>
      </c>
      <c r="G11" s="7" t="s">
        <v>6</v>
      </c>
      <c r="H11" s="9" t="s">
        <v>210</v>
      </c>
      <c r="I11" s="41"/>
      <c r="J11" s="1"/>
      <c r="K11" s="1"/>
      <c r="L11" s="1"/>
      <c r="M11" s="1"/>
      <c r="N11" s="1"/>
      <c r="O11" s="1"/>
      <c r="Q11" s="46">
        <v>46258</v>
      </c>
      <c r="R11" s="1" t="s">
        <v>266</v>
      </c>
      <c r="S11" s="1"/>
      <c r="T11" s="1"/>
      <c r="U11" s="1"/>
      <c r="V11" s="1"/>
      <c r="W11" s="1"/>
    </row>
    <row r="12" spans="1:23" x14ac:dyDescent="0.25">
      <c r="A12" s="14" t="s">
        <v>174</v>
      </c>
      <c r="B12" s="18" t="s">
        <v>57</v>
      </c>
      <c r="C12" s="14" t="s">
        <v>47</v>
      </c>
      <c r="D12" s="18" t="s">
        <v>402</v>
      </c>
      <c r="E12" s="18" t="s">
        <v>48</v>
      </c>
      <c r="F12" s="18" t="s">
        <v>216</v>
      </c>
      <c r="G12" s="14" t="s">
        <v>5</v>
      </c>
      <c r="H12" s="18" t="s">
        <v>218</v>
      </c>
      <c r="I12" s="43"/>
      <c r="J12" s="44"/>
      <c r="K12" s="44"/>
      <c r="L12" s="44"/>
      <c r="M12" s="44"/>
      <c r="N12" s="44"/>
      <c r="O12" s="44"/>
      <c r="Q12" s="46">
        <v>46258</v>
      </c>
      <c r="R12" s="44" t="s">
        <v>273</v>
      </c>
      <c r="S12" s="44"/>
      <c r="T12" s="44"/>
      <c r="U12" s="44"/>
      <c r="V12" s="44"/>
      <c r="W12" s="44"/>
    </row>
    <row r="13" spans="1:23" x14ac:dyDescent="0.25">
      <c r="A13" s="7" t="s">
        <v>174</v>
      </c>
      <c r="B13" s="9" t="s">
        <v>57</v>
      </c>
      <c r="C13" s="13" t="s">
        <v>56</v>
      </c>
      <c r="D13" s="9" t="s">
        <v>215</v>
      </c>
      <c r="E13" s="9" t="s">
        <v>54</v>
      </c>
      <c r="F13" s="9" t="s">
        <v>219</v>
      </c>
      <c r="G13" s="7" t="s">
        <v>6</v>
      </c>
      <c r="H13" s="9" t="s">
        <v>218</v>
      </c>
      <c r="I13" s="41"/>
      <c r="J13" s="1"/>
      <c r="K13" s="1"/>
      <c r="L13" s="1"/>
      <c r="M13" s="1"/>
      <c r="N13" s="1"/>
      <c r="O13" s="1"/>
      <c r="Q13" s="46">
        <v>46258</v>
      </c>
      <c r="R13" s="1" t="s">
        <v>266</v>
      </c>
      <c r="S13" s="1"/>
      <c r="T13" s="1"/>
      <c r="U13" s="1"/>
      <c r="V13" s="1"/>
      <c r="W13" s="1"/>
    </row>
    <row r="14" spans="1:23" x14ac:dyDescent="0.25">
      <c r="A14" s="14" t="s">
        <v>174</v>
      </c>
      <c r="B14" s="18" t="s">
        <v>57</v>
      </c>
      <c r="C14" s="14" t="s">
        <v>53</v>
      </c>
      <c r="D14" s="18" t="s">
        <v>402</v>
      </c>
      <c r="E14" s="18" t="s">
        <v>54</v>
      </c>
      <c r="F14" s="18" t="s">
        <v>219</v>
      </c>
      <c r="G14" s="14" t="s">
        <v>6</v>
      </c>
      <c r="H14" s="18" t="s">
        <v>210</v>
      </c>
      <c r="I14" s="43"/>
      <c r="J14" s="44"/>
      <c r="K14" s="44"/>
      <c r="L14" s="44"/>
      <c r="M14" s="44"/>
      <c r="N14" s="44"/>
      <c r="O14" s="44"/>
      <c r="Q14" s="46">
        <v>46258</v>
      </c>
      <c r="R14" s="44" t="s">
        <v>273</v>
      </c>
      <c r="S14" s="44"/>
      <c r="T14" s="44"/>
      <c r="U14" s="44"/>
      <c r="V14" s="44"/>
      <c r="W14" s="44"/>
    </row>
    <row r="15" spans="1:23" x14ac:dyDescent="0.25">
      <c r="A15" s="7" t="s">
        <v>174</v>
      </c>
      <c r="B15" s="9" t="s">
        <v>57</v>
      </c>
      <c r="C15" s="13" t="s">
        <v>58</v>
      </c>
      <c r="D15" s="9" t="s">
        <v>215</v>
      </c>
      <c r="E15" s="9" t="s">
        <v>54</v>
      </c>
      <c r="F15" s="9" t="s">
        <v>219</v>
      </c>
      <c r="G15" s="7" t="s">
        <v>6</v>
      </c>
      <c r="H15" s="9" t="s">
        <v>218</v>
      </c>
      <c r="I15" s="41"/>
      <c r="J15" s="1"/>
      <c r="K15" s="1"/>
      <c r="L15" s="1"/>
      <c r="M15" s="1"/>
      <c r="N15" s="1"/>
      <c r="O15" s="1"/>
      <c r="Q15" s="46">
        <v>46258</v>
      </c>
      <c r="R15" s="1" t="s">
        <v>266</v>
      </c>
      <c r="S15" s="1"/>
      <c r="T15" s="1"/>
      <c r="U15" s="1"/>
      <c r="V15" s="1"/>
      <c r="W15" s="1"/>
    </row>
    <row r="16" spans="1:23" x14ac:dyDescent="0.25">
      <c r="A16" s="14" t="s">
        <v>174</v>
      </c>
      <c r="B16" s="18" t="s">
        <v>562</v>
      </c>
      <c r="C16" s="14" t="s">
        <v>175</v>
      </c>
      <c r="D16" s="18" t="s">
        <v>221</v>
      </c>
      <c r="E16" s="18" t="s">
        <v>76</v>
      </c>
      <c r="F16" s="18" t="s">
        <v>222</v>
      </c>
      <c r="G16" s="14" t="s">
        <v>5</v>
      </c>
      <c r="H16" s="18" t="s">
        <v>210</v>
      </c>
      <c r="I16" s="43"/>
      <c r="J16" s="44"/>
      <c r="K16" s="44"/>
      <c r="L16" s="44"/>
      <c r="M16" s="44"/>
      <c r="N16" s="44"/>
      <c r="O16" s="44"/>
      <c r="Q16" s="46">
        <v>46258</v>
      </c>
      <c r="R16" s="44" t="s">
        <v>273</v>
      </c>
      <c r="S16" s="44"/>
      <c r="T16" s="44"/>
      <c r="U16" s="44"/>
      <c r="V16" s="44"/>
      <c r="W16" s="44"/>
    </row>
    <row r="17" spans="1:23" x14ac:dyDescent="0.25">
      <c r="A17" s="7" t="s">
        <v>174</v>
      </c>
      <c r="B17" s="9" t="s">
        <v>563</v>
      </c>
      <c r="C17" s="13" t="s">
        <v>72</v>
      </c>
      <c r="D17" s="9" t="s">
        <v>221</v>
      </c>
      <c r="E17" s="9" t="s">
        <v>76</v>
      </c>
      <c r="F17" s="9" t="s">
        <v>222</v>
      </c>
      <c r="G17" s="7" t="s">
        <v>5</v>
      </c>
      <c r="H17" s="9" t="s">
        <v>210</v>
      </c>
      <c r="I17" s="41"/>
      <c r="J17" s="1"/>
      <c r="K17" s="1"/>
      <c r="L17" s="1"/>
      <c r="M17" s="1"/>
      <c r="N17" s="1"/>
      <c r="O17" s="1"/>
      <c r="Q17" s="46">
        <v>46258</v>
      </c>
      <c r="R17" s="1"/>
      <c r="S17" s="1"/>
      <c r="T17" s="1"/>
      <c r="U17" s="1"/>
      <c r="V17" s="1"/>
      <c r="W17" s="1"/>
    </row>
    <row r="18" spans="1:23" x14ac:dyDescent="0.25">
      <c r="A18" s="14" t="s">
        <v>68</v>
      </c>
      <c r="B18" s="18" t="s">
        <v>564</v>
      </c>
      <c r="C18" s="14" t="s">
        <v>125</v>
      </c>
      <c r="D18" s="18" t="s">
        <v>225</v>
      </c>
      <c r="E18" s="18" t="s">
        <v>51</v>
      </c>
      <c r="F18" s="18" t="s">
        <v>209</v>
      </c>
      <c r="G18" s="14" t="s">
        <v>5</v>
      </c>
      <c r="H18" s="18" t="s">
        <v>218</v>
      </c>
      <c r="I18" s="43"/>
      <c r="J18" s="44"/>
      <c r="K18" s="44"/>
      <c r="L18" s="44"/>
      <c r="M18" s="44"/>
      <c r="N18" s="44"/>
      <c r="O18" s="44"/>
      <c r="Q18" s="46">
        <v>46258</v>
      </c>
      <c r="R18" s="44"/>
      <c r="S18" s="44"/>
      <c r="T18" s="44"/>
      <c r="U18" s="44"/>
      <c r="V18" s="44"/>
      <c r="W18" s="44"/>
    </row>
    <row r="19" spans="1:23" x14ac:dyDescent="0.25">
      <c r="A19" s="7" t="s">
        <v>68</v>
      </c>
      <c r="B19" s="9" t="s">
        <v>565</v>
      </c>
      <c r="C19" s="13" t="s">
        <v>158</v>
      </c>
      <c r="D19" s="9" t="s">
        <v>225</v>
      </c>
      <c r="E19" s="9" t="s">
        <v>51</v>
      </c>
      <c r="F19" s="9" t="s">
        <v>209</v>
      </c>
      <c r="G19" s="7" t="s">
        <v>5</v>
      </c>
      <c r="H19" s="9" t="s">
        <v>210</v>
      </c>
      <c r="I19" s="41"/>
      <c r="J19" s="1"/>
      <c r="K19" s="1"/>
      <c r="L19" s="1"/>
      <c r="M19" s="1"/>
      <c r="N19" s="1"/>
      <c r="O19" s="1"/>
      <c r="Q19" s="46">
        <v>46258</v>
      </c>
      <c r="R19" s="1"/>
      <c r="S19" s="1"/>
      <c r="T19" s="1"/>
      <c r="U19" s="1"/>
      <c r="V19" s="1"/>
      <c r="W19" s="1"/>
    </row>
    <row r="20" spans="1:23" x14ac:dyDescent="0.25">
      <c r="A20" s="14" t="s">
        <v>68</v>
      </c>
      <c r="B20" s="18" t="s">
        <v>566</v>
      </c>
      <c r="C20" s="14" t="s">
        <v>106</v>
      </c>
      <c r="D20" s="18" t="s">
        <v>225</v>
      </c>
      <c r="E20" s="18" t="s">
        <v>51</v>
      </c>
      <c r="F20" s="18" t="s">
        <v>209</v>
      </c>
      <c r="G20" s="14" t="s">
        <v>5</v>
      </c>
      <c r="H20" s="18" t="s">
        <v>218</v>
      </c>
      <c r="I20" s="43"/>
      <c r="J20" s="44"/>
      <c r="K20" s="44"/>
      <c r="L20" s="44"/>
      <c r="M20" s="44"/>
      <c r="N20" s="44"/>
      <c r="O20" s="44"/>
      <c r="Q20" s="46">
        <v>46258</v>
      </c>
      <c r="R20" s="44"/>
      <c r="S20" s="44"/>
      <c r="T20" s="44"/>
      <c r="U20" s="44"/>
      <c r="V20" s="44"/>
      <c r="W20" s="44"/>
    </row>
    <row r="21" spans="1:23" x14ac:dyDescent="0.25">
      <c r="A21" s="7" t="s">
        <v>68</v>
      </c>
      <c r="B21" s="9" t="s">
        <v>567</v>
      </c>
      <c r="C21" s="13" t="s">
        <v>115</v>
      </c>
      <c r="D21" s="9" t="s">
        <v>229</v>
      </c>
      <c r="E21" s="9" t="s">
        <v>80</v>
      </c>
      <c r="F21" s="9" t="s">
        <v>230</v>
      </c>
      <c r="G21" s="7" t="s">
        <v>5</v>
      </c>
      <c r="H21" s="9" t="s">
        <v>218</v>
      </c>
      <c r="I21" s="41"/>
      <c r="J21" s="1"/>
      <c r="K21" s="1"/>
      <c r="L21" s="1"/>
      <c r="M21" s="1"/>
      <c r="N21" s="1"/>
      <c r="O21" s="1"/>
      <c r="Q21" s="46">
        <v>46258</v>
      </c>
      <c r="R21" s="1"/>
      <c r="S21" s="1"/>
      <c r="T21" s="1"/>
      <c r="U21" s="1"/>
      <c r="V21" s="1"/>
      <c r="W21" s="1"/>
    </row>
    <row r="22" spans="1:23" x14ac:dyDescent="0.25">
      <c r="A22" s="14" t="s">
        <v>68</v>
      </c>
      <c r="B22" s="18" t="s">
        <v>568</v>
      </c>
      <c r="C22" s="14" t="s">
        <v>147</v>
      </c>
      <c r="D22" s="18" t="s">
        <v>229</v>
      </c>
      <c r="E22" s="18" t="s">
        <v>80</v>
      </c>
      <c r="F22" s="18" t="s">
        <v>230</v>
      </c>
      <c r="G22" s="14" t="s">
        <v>5</v>
      </c>
      <c r="H22" s="18" t="s">
        <v>210</v>
      </c>
      <c r="I22" s="43"/>
      <c r="J22" s="44"/>
      <c r="K22" s="44"/>
      <c r="L22" s="44"/>
      <c r="M22" s="44"/>
      <c r="N22" s="44"/>
      <c r="O22" s="44"/>
      <c r="Q22" s="46">
        <v>46258</v>
      </c>
      <c r="R22" s="44"/>
      <c r="S22" s="44"/>
      <c r="T22" s="44"/>
      <c r="U22" s="44"/>
      <c r="V22" s="44"/>
      <c r="W22" s="44"/>
    </row>
    <row r="23" spans="1:23" x14ac:dyDescent="0.25">
      <c r="A23" s="7" t="s">
        <v>68</v>
      </c>
      <c r="B23" s="9" t="s">
        <v>569</v>
      </c>
      <c r="C23" s="13" t="s">
        <v>103</v>
      </c>
      <c r="D23" s="9" t="s">
        <v>229</v>
      </c>
      <c r="E23" s="9" t="s">
        <v>80</v>
      </c>
      <c r="F23" s="9" t="s">
        <v>230</v>
      </c>
      <c r="G23" s="7" t="s">
        <v>5</v>
      </c>
      <c r="H23" s="9" t="s">
        <v>218</v>
      </c>
      <c r="I23" s="41"/>
      <c r="J23" s="1"/>
      <c r="K23" s="1"/>
      <c r="L23" s="1"/>
      <c r="M23" s="1"/>
      <c r="N23" s="1"/>
      <c r="O23" s="1"/>
      <c r="Q23" s="46">
        <v>46258</v>
      </c>
      <c r="R23" s="1"/>
      <c r="S23" s="1"/>
      <c r="T23" s="1"/>
      <c r="U23" s="1"/>
      <c r="V23" s="1"/>
      <c r="W23" s="1"/>
    </row>
    <row r="24" spans="1:23" x14ac:dyDescent="0.25">
      <c r="A24" s="14" t="s">
        <v>68</v>
      </c>
      <c r="B24" s="18" t="s">
        <v>570</v>
      </c>
      <c r="C24" s="14" t="s">
        <v>119</v>
      </c>
      <c r="D24" s="18" t="s">
        <v>225</v>
      </c>
      <c r="E24" s="18" t="s">
        <v>51</v>
      </c>
      <c r="F24" s="18" t="s">
        <v>209</v>
      </c>
      <c r="G24" s="14" t="s">
        <v>5</v>
      </c>
      <c r="H24" s="18" t="s">
        <v>218</v>
      </c>
      <c r="I24" s="43"/>
      <c r="J24" s="44"/>
      <c r="K24" s="44"/>
      <c r="L24" s="44"/>
      <c r="M24" s="44"/>
      <c r="N24" s="44"/>
      <c r="O24" s="44"/>
      <c r="Q24" s="46">
        <v>46258</v>
      </c>
      <c r="R24" s="44"/>
      <c r="S24" s="44"/>
      <c r="T24" s="44"/>
      <c r="U24" s="44"/>
      <c r="V24" s="44"/>
      <c r="W24" s="44"/>
    </row>
    <row r="25" spans="1:23" x14ac:dyDescent="0.25">
      <c r="A25" s="7" t="s">
        <v>68</v>
      </c>
      <c r="B25" s="9" t="s">
        <v>571</v>
      </c>
      <c r="C25" s="13" t="s">
        <v>150</v>
      </c>
      <c r="D25" s="9" t="s">
        <v>225</v>
      </c>
      <c r="E25" s="9" t="s">
        <v>51</v>
      </c>
      <c r="F25" s="9" t="s">
        <v>209</v>
      </c>
      <c r="G25" s="7" t="s">
        <v>5</v>
      </c>
      <c r="H25" s="9" t="s">
        <v>210</v>
      </c>
      <c r="I25" s="41"/>
      <c r="J25" s="1"/>
      <c r="K25" s="1"/>
      <c r="L25" s="1"/>
      <c r="M25" s="1"/>
      <c r="N25" s="1"/>
      <c r="O25" s="1"/>
      <c r="Q25" s="46">
        <v>46258</v>
      </c>
      <c r="R25" s="1"/>
      <c r="S25" s="1"/>
      <c r="T25" s="1"/>
      <c r="U25" s="1"/>
      <c r="V25" s="1"/>
      <c r="W25" s="1"/>
    </row>
    <row r="26" spans="1:23" x14ac:dyDescent="0.25">
      <c r="A26" s="14" t="s">
        <v>68</v>
      </c>
      <c r="B26" s="18" t="s">
        <v>572</v>
      </c>
      <c r="C26" s="14" t="s">
        <v>85</v>
      </c>
      <c r="D26" s="18" t="s">
        <v>225</v>
      </c>
      <c r="E26" s="18" t="s">
        <v>51</v>
      </c>
      <c r="F26" s="18" t="s">
        <v>209</v>
      </c>
      <c r="G26" s="14" t="s">
        <v>5</v>
      </c>
      <c r="H26" s="18" t="s">
        <v>218</v>
      </c>
      <c r="I26" s="43"/>
      <c r="J26" s="44"/>
      <c r="K26" s="44"/>
      <c r="L26" s="44"/>
      <c r="M26" s="44"/>
      <c r="N26" s="44"/>
      <c r="O26" s="44"/>
      <c r="Q26" s="46">
        <v>46258</v>
      </c>
      <c r="R26" s="44"/>
      <c r="S26" s="44"/>
      <c r="T26" s="44"/>
      <c r="U26" s="44"/>
      <c r="V26" s="44"/>
      <c r="W26" s="44"/>
    </row>
    <row r="27" spans="1:23" x14ac:dyDescent="0.25">
      <c r="A27" s="7" t="s">
        <v>68</v>
      </c>
      <c r="B27" s="9" t="s">
        <v>573</v>
      </c>
      <c r="C27" s="13" t="s">
        <v>122</v>
      </c>
      <c r="D27" s="9" t="s">
        <v>225</v>
      </c>
      <c r="E27" s="9" t="s">
        <v>51</v>
      </c>
      <c r="F27" s="9" t="s">
        <v>209</v>
      </c>
      <c r="G27" s="7" t="s">
        <v>5</v>
      </c>
      <c r="H27" s="9" t="s">
        <v>218</v>
      </c>
      <c r="I27" s="41"/>
      <c r="J27" s="1"/>
      <c r="K27" s="1"/>
      <c r="L27" s="1"/>
      <c r="M27" s="1"/>
      <c r="N27" s="1"/>
      <c r="O27" s="1"/>
      <c r="Q27" s="46">
        <v>46258</v>
      </c>
      <c r="R27" s="1"/>
      <c r="S27" s="1"/>
      <c r="T27" s="1"/>
      <c r="U27" s="1"/>
      <c r="V27" s="1"/>
      <c r="W27" s="1"/>
    </row>
    <row r="28" spans="1:23" x14ac:dyDescent="0.25">
      <c r="A28" s="14" t="s">
        <v>68</v>
      </c>
      <c r="B28" s="18" t="s">
        <v>574</v>
      </c>
      <c r="C28" s="14" t="s">
        <v>155</v>
      </c>
      <c r="D28" s="18" t="s">
        <v>225</v>
      </c>
      <c r="E28" s="18" t="s">
        <v>51</v>
      </c>
      <c r="F28" s="18" t="s">
        <v>209</v>
      </c>
      <c r="G28" s="14" t="s">
        <v>5</v>
      </c>
      <c r="H28" s="18" t="s">
        <v>210</v>
      </c>
      <c r="I28" s="43"/>
      <c r="J28" s="44"/>
      <c r="K28" s="44"/>
      <c r="L28" s="44"/>
      <c r="M28" s="44"/>
      <c r="N28" s="44"/>
      <c r="O28" s="44"/>
      <c r="Q28" s="46">
        <v>46258</v>
      </c>
      <c r="R28" s="44"/>
      <c r="S28" s="44"/>
      <c r="T28" s="44"/>
      <c r="U28" s="44"/>
      <c r="V28" s="44"/>
      <c r="W28" s="44"/>
    </row>
    <row r="29" spans="1:23" x14ac:dyDescent="0.25">
      <c r="A29" s="7" t="s">
        <v>68</v>
      </c>
      <c r="B29" s="9" t="s">
        <v>575</v>
      </c>
      <c r="C29" s="13" t="s">
        <v>90</v>
      </c>
      <c r="D29" s="9" t="s">
        <v>225</v>
      </c>
      <c r="E29" s="9" t="s">
        <v>51</v>
      </c>
      <c r="F29" s="9" t="s">
        <v>209</v>
      </c>
      <c r="G29" s="7" t="s">
        <v>5</v>
      </c>
      <c r="H29" s="9" t="s">
        <v>218</v>
      </c>
      <c r="I29" s="41"/>
      <c r="J29" s="1"/>
      <c r="K29" s="1"/>
      <c r="L29" s="1"/>
      <c r="M29" s="1"/>
      <c r="N29" s="1"/>
      <c r="O29" s="1"/>
      <c r="Q29" s="46">
        <v>46258</v>
      </c>
      <c r="R29" s="1"/>
      <c r="S29" s="1"/>
      <c r="T29" s="1"/>
      <c r="U29" s="1"/>
      <c r="V29" s="1"/>
      <c r="W29" s="1"/>
    </row>
    <row r="30" spans="1:23" x14ac:dyDescent="0.25">
      <c r="A30" s="14" t="s">
        <v>68</v>
      </c>
      <c r="B30" s="18" t="s">
        <v>576</v>
      </c>
      <c r="C30" s="14" t="s">
        <v>128</v>
      </c>
      <c r="D30" s="18" t="s">
        <v>240</v>
      </c>
      <c r="E30" s="18" t="s">
        <v>86</v>
      </c>
      <c r="F30" s="18" t="s">
        <v>241</v>
      </c>
      <c r="G30" s="14" t="s">
        <v>5</v>
      </c>
      <c r="H30" s="18" t="s">
        <v>218</v>
      </c>
      <c r="I30" s="43"/>
      <c r="J30" s="44"/>
      <c r="K30" s="44"/>
      <c r="L30" s="44"/>
      <c r="M30" s="44"/>
      <c r="N30" s="44"/>
      <c r="O30" s="44"/>
      <c r="Q30" s="46">
        <v>46258</v>
      </c>
      <c r="R30" s="44"/>
      <c r="S30" s="44"/>
      <c r="T30" s="44"/>
      <c r="U30" s="44"/>
      <c r="V30" s="44"/>
      <c r="W30" s="44"/>
    </row>
    <row r="31" spans="1:23" x14ac:dyDescent="0.25">
      <c r="A31" s="7" t="s">
        <v>68</v>
      </c>
      <c r="B31" s="9" t="s">
        <v>577</v>
      </c>
      <c r="C31" s="13" t="s">
        <v>152</v>
      </c>
      <c r="D31" s="9" t="s">
        <v>240</v>
      </c>
      <c r="E31" s="9" t="s">
        <v>86</v>
      </c>
      <c r="F31" s="9" t="s">
        <v>241</v>
      </c>
      <c r="G31" s="7" t="s">
        <v>5</v>
      </c>
      <c r="H31" s="9" t="s">
        <v>210</v>
      </c>
      <c r="I31" s="41"/>
      <c r="J31" s="1"/>
      <c r="K31" s="1"/>
      <c r="L31" s="1"/>
      <c r="M31" s="1"/>
      <c r="N31" s="1"/>
      <c r="O31" s="1"/>
      <c r="Q31" s="46">
        <v>46258</v>
      </c>
      <c r="R31" s="1"/>
      <c r="S31" s="1"/>
      <c r="T31" s="1"/>
      <c r="U31" s="1"/>
      <c r="V31" s="1"/>
      <c r="W31" s="1"/>
    </row>
    <row r="32" spans="1:23" x14ac:dyDescent="0.25">
      <c r="A32" s="14" t="s">
        <v>68</v>
      </c>
      <c r="B32" s="18" t="s">
        <v>578</v>
      </c>
      <c r="C32" s="14" t="s">
        <v>96</v>
      </c>
      <c r="D32" s="18" t="s">
        <v>240</v>
      </c>
      <c r="E32" s="18" t="s">
        <v>86</v>
      </c>
      <c r="F32" s="18" t="s">
        <v>241</v>
      </c>
      <c r="G32" s="14" t="s">
        <v>5</v>
      </c>
      <c r="H32" s="18" t="s">
        <v>218</v>
      </c>
      <c r="I32" s="43"/>
      <c r="J32" s="44"/>
      <c r="K32" s="44"/>
      <c r="L32" s="44"/>
      <c r="M32" s="44"/>
      <c r="N32" s="44"/>
      <c r="O32" s="44"/>
      <c r="Q32" s="46">
        <v>46258</v>
      </c>
      <c r="R32" s="44"/>
      <c r="S32" s="44"/>
      <c r="T32" s="44"/>
      <c r="U32" s="44"/>
      <c r="V32" s="44"/>
      <c r="W32" s="44"/>
    </row>
    <row r="33" spans="1:23" ht="18" customHeight="1" x14ac:dyDescent="0.25">
      <c r="A33" s="7" t="s">
        <v>68</v>
      </c>
      <c r="B33" s="9" t="s">
        <v>579</v>
      </c>
      <c r="C33" s="13" t="s">
        <v>93</v>
      </c>
      <c r="D33" s="9" t="s">
        <v>225</v>
      </c>
      <c r="E33" s="9" t="s">
        <v>51</v>
      </c>
      <c r="F33" s="9" t="s">
        <v>209</v>
      </c>
      <c r="G33" s="7" t="s">
        <v>5</v>
      </c>
      <c r="H33" s="9" t="s">
        <v>210</v>
      </c>
      <c r="I33" s="41"/>
      <c r="J33" s="1"/>
      <c r="K33" s="1"/>
      <c r="L33" s="1"/>
      <c r="M33" s="1"/>
      <c r="N33" s="1"/>
      <c r="O33" s="1"/>
      <c r="Q33" s="46">
        <v>46258</v>
      </c>
      <c r="R33" s="1"/>
      <c r="S33" s="1"/>
      <c r="T33" s="1"/>
      <c r="U33" s="1"/>
      <c r="V33" s="1"/>
      <c r="W33" s="1"/>
    </row>
    <row r="34" spans="1:23" x14ac:dyDescent="0.25">
      <c r="A34" s="14" t="s">
        <v>68</v>
      </c>
      <c r="B34" s="18" t="s">
        <v>580</v>
      </c>
      <c r="C34" s="14" t="s">
        <v>161</v>
      </c>
      <c r="D34" s="18" t="s">
        <v>225</v>
      </c>
      <c r="E34" s="18" t="s">
        <v>51</v>
      </c>
      <c r="F34" s="18" t="s">
        <v>209</v>
      </c>
      <c r="G34" s="14" t="s">
        <v>5</v>
      </c>
      <c r="H34" s="18" t="s">
        <v>210</v>
      </c>
      <c r="I34" s="43"/>
      <c r="J34" s="44"/>
      <c r="K34" s="44"/>
      <c r="L34" s="44"/>
      <c r="M34" s="44"/>
      <c r="N34" s="44"/>
      <c r="O34" s="44"/>
      <c r="Q34" s="46">
        <v>46258</v>
      </c>
      <c r="R34" s="44"/>
      <c r="S34" s="44"/>
      <c r="T34" s="44"/>
      <c r="U34" s="44"/>
      <c r="V34" s="44"/>
      <c r="W34" s="44"/>
    </row>
    <row r="35" spans="1:23" x14ac:dyDescent="0.25">
      <c r="A35" s="7" t="s">
        <v>68</v>
      </c>
      <c r="B35" s="9" t="s">
        <v>581</v>
      </c>
      <c r="C35" s="13" t="s">
        <v>100</v>
      </c>
      <c r="D35" s="9" t="s">
        <v>225</v>
      </c>
      <c r="E35" s="9" t="s">
        <v>51</v>
      </c>
      <c r="F35" s="9" t="s">
        <v>209</v>
      </c>
      <c r="G35" s="7" t="s">
        <v>5</v>
      </c>
      <c r="H35" s="9" t="s">
        <v>210</v>
      </c>
      <c r="I35" s="41"/>
      <c r="J35" s="1"/>
      <c r="K35" s="1"/>
      <c r="L35" s="1"/>
      <c r="M35" s="1"/>
      <c r="N35" s="1"/>
      <c r="O35" s="1"/>
      <c r="Q35" s="46">
        <v>46258</v>
      </c>
      <c r="R35" s="1"/>
      <c r="S35" s="1"/>
      <c r="T35" s="1"/>
      <c r="U35" s="1"/>
      <c r="V35" s="1"/>
      <c r="W35" s="1"/>
    </row>
    <row r="36" spans="1:23" x14ac:dyDescent="0.25">
      <c r="A36" s="14" t="s">
        <v>68</v>
      </c>
      <c r="B36" s="18" t="s">
        <v>57</v>
      </c>
      <c r="C36" s="14" t="s">
        <v>89</v>
      </c>
      <c r="D36" s="18" t="s">
        <v>225</v>
      </c>
      <c r="E36" s="18" t="s">
        <v>51</v>
      </c>
      <c r="F36" s="18" t="s">
        <v>209</v>
      </c>
      <c r="G36" s="14" t="s">
        <v>5</v>
      </c>
      <c r="H36" s="18" t="s">
        <v>218</v>
      </c>
      <c r="I36" s="43"/>
      <c r="J36" s="44"/>
      <c r="K36" s="44"/>
      <c r="L36" s="44"/>
      <c r="M36" s="44"/>
      <c r="N36" s="44"/>
      <c r="O36" s="44"/>
      <c r="Q36" s="46">
        <v>46258</v>
      </c>
      <c r="R36" s="44"/>
      <c r="S36" s="44"/>
      <c r="T36" s="44"/>
      <c r="U36" s="44"/>
      <c r="V36" s="44"/>
      <c r="W36" s="44"/>
    </row>
    <row r="37" spans="1:23" x14ac:dyDescent="0.25">
      <c r="A37" s="7" t="s">
        <v>68</v>
      </c>
      <c r="B37" s="9" t="s">
        <v>57</v>
      </c>
      <c r="C37" s="13" t="s">
        <v>111</v>
      </c>
      <c r="D37" s="9" t="s">
        <v>402</v>
      </c>
      <c r="E37" s="9" t="s">
        <v>48</v>
      </c>
      <c r="F37" s="9" t="s">
        <v>216</v>
      </c>
      <c r="G37" s="7" t="s">
        <v>6</v>
      </c>
      <c r="H37" s="9" t="s">
        <v>218</v>
      </c>
      <c r="I37" s="41"/>
      <c r="J37" s="1"/>
      <c r="K37" s="1"/>
      <c r="L37" s="1"/>
      <c r="M37" s="1"/>
      <c r="N37" s="1"/>
      <c r="O37" s="1"/>
      <c r="Q37" s="46">
        <v>46258</v>
      </c>
      <c r="R37" s="1"/>
      <c r="S37" s="1"/>
      <c r="T37" s="1"/>
      <c r="U37" s="1"/>
      <c r="V37" s="1"/>
      <c r="W37" s="1"/>
    </row>
    <row r="38" spans="1:23" x14ac:dyDescent="0.25">
      <c r="A38" s="14" t="s">
        <v>68</v>
      </c>
      <c r="B38" s="18" t="s">
        <v>57</v>
      </c>
      <c r="C38" s="14" t="s">
        <v>114</v>
      </c>
      <c r="D38" s="18" t="s">
        <v>225</v>
      </c>
      <c r="E38" s="18" t="s">
        <v>51</v>
      </c>
      <c r="F38" s="18" t="s">
        <v>209</v>
      </c>
      <c r="G38" s="14" t="s">
        <v>5</v>
      </c>
      <c r="H38" s="18" t="s">
        <v>218</v>
      </c>
      <c r="I38" s="43"/>
      <c r="J38" s="44"/>
      <c r="K38" s="44"/>
      <c r="L38" s="44"/>
      <c r="M38" s="44"/>
      <c r="N38" s="44"/>
      <c r="O38" s="44"/>
      <c r="Q38" s="46">
        <v>46258</v>
      </c>
      <c r="R38" s="44"/>
      <c r="S38" s="44"/>
      <c r="T38" s="44"/>
      <c r="U38" s="44"/>
      <c r="V38" s="44"/>
      <c r="W38" s="44"/>
    </row>
    <row r="39" spans="1:23" x14ac:dyDescent="0.25">
      <c r="A39" s="7" t="s">
        <v>68</v>
      </c>
      <c r="B39" s="9" t="s">
        <v>57</v>
      </c>
      <c r="C39" s="13" t="s">
        <v>118</v>
      </c>
      <c r="D39" s="9" t="s">
        <v>402</v>
      </c>
      <c r="E39" s="9" t="s">
        <v>48</v>
      </c>
      <c r="F39" s="9" t="s">
        <v>216</v>
      </c>
      <c r="G39" s="7" t="s">
        <v>6</v>
      </c>
      <c r="H39" s="9" t="s">
        <v>210</v>
      </c>
      <c r="I39" s="41"/>
      <c r="J39" s="1"/>
      <c r="K39" s="1"/>
      <c r="L39" s="1"/>
      <c r="M39" s="1"/>
      <c r="N39" s="1"/>
      <c r="O39" s="1"/>
      <c r="Q39" s="46">
        <v>46258</v>
      </c>
      <c r="R39" s="1"/>
      <c r="S39" s="1"/>
      <c r="T39" s="1"/>
      <c r="U39" s="1"/>
      <c r="V39" s="1"/>
      <c r="W39" s="1"/>
    </row>
    <row r="40" spans="1:23" x14ac:dyDescent="0.25">
      <c r="A40" s="14" t="s">
        <v>68</v>
      </c>
      <c r="B40" s="18" t="s">
        <v>57</v>
      </c>
      <c r="C40" s="14" t="s">
        <v>178</v>
      </c>
      <c r="D40" s="18" t="s">
        <v>217</v>
      </c>
      <c r="E40" s="18" t="s">
        <v>48</v>
      </c>
      <c r="F40" s="18" t="s">
        <v>216</v>
      </c>
      <c r="G40" s="14" t="s">
        <v>5</v>
      </c>
      <c r="H40" s="18" t="s">
        <v>218</v>
      </c>
      <c r="I40" s="43"/>
      <c r="J40" s="44"/>
      <c r="K40" s="44"/>
      <c r="L40" s="44"/>
      <c r="M40" s="44"/>
      <c r="N40" s="44"/>
      <c r="O40" s="44"/>
      <c r="Q40" s="46">
        <v>46258</v>
      </c>
      <c r="R40" s="44"/>
      <c r="S40" s="44"/>
      <c r="T40" s="44"/>
      <c r="U40" s="44"/>
      <c r="V40" s="44"/>
      <c r="W40" s="44"/>
    </row>
    <row r="41" spans="1:23" x14ac:dyDescent="0.25">
      <c r="A41" s="7" t="s">
        <v>68</v>
      </c>
      <c r="B41" s="9" t="s">
        <v>57</v>
      </c>
      <c r="C41" s="13" t="s">
        <v>179</v>
      </c>
      <c r="D41" s="9" t="s">
        <v>217</v>
      </c>
      <c r="E41" s="9" t="s">
        <v>48</v>
      </c>
      <c r="F41" s="9" t="s">
        <v>216</v>
      </c>
      <c r="G41" s="7" t="s">
        <v>5</v>
      </c>
      <c r="H41" s="9" t="s">
        <v>218</v>
      </c>
      <c r="I41" s="41"/>
      <c r="J41" s="1"/>
      <c r="K41" s="1"/>
      <c r="L41" s="1"/>
      <c r="M41" s="1"/>
      <c r="N41" s="1"/>
      <c r="O41" s="1"/>
      <c r="Q41" s="46">
        <v>46258</v>
      </c>
      <c r="R41" s="1"/>
      <c r="S41" s="1"/>
      <c r="T41" s="1"/>
      <c r="U41" s="1"/>
      <c r="V41" s="1"/>
      <c r="W41" s="1"/>
    </row>
    <row r="42" spans="1:23" x14ac:dyDescent="0.25">
      <c r="A42" s="14" t="s">
        <v>68</v>
      </c>
      <c r="B42" s="18" t="s">
        <v>57</v>
      </c>
      <c r="C42" s="14" t="s">
        <v>176</v>
      </c>
      <c r="D42" s="18" t="s">
        <v>221</v>
      </c>
      <c r="E42" s="18" t="s">
        <v>76</v>
      </c>
      <c r="F42" s="18" t="s">
        <v>222</v>
      </c>
      <c r="G42" s="14" t="s">
        <v>5</v>
      </c>
      <c r="H42" s="18" t="s">
        <v>218</v>
      </c>
      <c r="I42" s="43"/>
      <c r="J42" s="44"/>
      <c r="K42" s="44"/>
      <c r="L42" s="44"/>
      <c r="M42" s="44"/>
      <c r="N42" s="44"/>
      <c r="O42" s="44"/>
      <c r="Q42" s="46">
        <v>46258</v>
      </c>
      <c r="R42" s="44"/>
      <c r="S42" s="44"/>
      <c r="T42" s="44"/>
      <c r="U42" s="44"/>
      <c r="V42" s="44"/>
      <c r="W42" s="44"/>
    </row>
    <row r="43" spans="1:23" x14ac:dyDescent="0.25">
      <c r="A43" s="7" t="s">
        <v>68</v>
      </c>
      <c r="B43" s="9" t="s">
        <v>57</v>
      </c>
      <c r="C43" s="13" t="s">
        <v>105</v>
      </c>
      <c r="D43" s="9" t="s">
        <v>402</v>
      </c>
      <c r="E43" s="9" t="s">
        <v>48</v>
      </c>
      <c r="F43" s="9" t="s">
        <v>216</v>
      </c>
      <c r="G43" s="7" t="s">
        <v>6</v>
      </c>
      <c r="H43" s="9" t="s">
        <v>218</v>
      </c>
      <c r="I43" s="41"/>
      <c r="J43" s="1"/>
      <c r="K43" s="1"/>
      <c r="L43" s="1"/>
      <c r="M43" s="1"/>
      <c r="N43" s="1"/>
      <c r="O43" s="1"/>
      <c r="Q43" s="46">
        <v>46258</v>
      </c>
      <c r="R43" s="1"/>
      <c r="S43" s="1"/>
      <c r="T43" s="1"/>
      <c r="U43" s="1"/>
      <c r="V43" s="1"/>
      <c r="W43" s="1"/>
    </row>
    <row r="44" spans="1:23" x14ac:dyDescent="0.25">
      <c r="A44" s="14" t="s">
        <v>68</v>
      </c>
      <c r="B44" s="18" t="s">
        <v>57</v>
      </c>
      <c r="C44" s="14" t="s">
        <v>177</v>
      </c>
      <c r="D44" s="18" t="s">
        <v>221</v>
      </c>
      <c r="E44" s="18" t="s">
        <v>76</v>
      </c>
      <c r="F44" s="18" t="s">
        <v>222</v>
      </c>
      <c r="G44" s="14" t="s">
        <v>5</v>
      </c>
      <c r="H44" s="18" t="s">
        <v>210</v>
      </c>
      <c r="I44" s="43"/>
      <c r="J44" s="44"/>
      <c r="K44" s="44"/>
      <c r="L44" s="44"/>
      <c r="M44" s="44"/>
      <c r="N44" s="44"/>
      <c r="O44" s="44"/>
      <c r="Q44" s="46">
        <v>46258</v>
      </c>
      <c r="R44" s="44"/>
      <c r="S44" s="44"/>
      <c r="T44" s="44"/>
      <c r="U44" s="44"/>
      <c r="V44" s="44"/>
      <c r="W44" s="44"/>
    </row>
    <row r="45" spans="1:23" x14ac:dyDescent="0.25">
      <c r="A45" s="7" t="s">
        <v>68</v>
      </c>
      <c r="B45" s="9" t="s">
        <v>582</v>
      </c>
      <c r="C45" s="13" t="s">
        <v>156</v>
      </c>
      <c r="D45" s="9" t="s">
        <v>225</v>
      </c>
      <c r="E45" s="9" t="s">
        <v>51</v>
      </c>
      <c r="F45" s="9" t="s">
        <v>209</v>
      </c>
      <c r="G45" s="7" t="s">
        <v>5</v>
      </c>
      <c r="H45" s="9" t="s">
        <v>218</v>
      </c>
      <c r="I45" s="41"/>
      <c r="J45" s="1"/>
      <c r="K45" s="1"/>
      <c r="L45" s="1"/>
      <c r="M45" s="1"/>
      <c r="N45" s="1"/>
      <c r="O45" s="1"/>
      <c r="Q45" s="46">
        <v>46258</v>
      </c>
      <c r="R45" s="1"/>
      <c r="S45" s="1"/>
      <c r="T45" s="1"/>
      <c r="U45" s="1"/>
      <c r="V45" s="1"/>
      <c r="W45" s="1"/>
    </row>
    <row r="46" spans="1:23" x14ac:dyDescent="0.25">
      <c r="A46" s="14" t="s">
        <v>68</v>
      </c>
      <c r="B46" s="18" t="s">
        <v>583</v>
      </c>
      <c r="C46" s="14" t="s">
        <v>153</v>
      </c>
      <c r="D46" s="18" t="s">
        <v>225</v>
      </c>
      <c r="E46" s="18" t="s">
        <v>51</v>
      </c>
      <c r="F46" s="18" t="s">
        <v>209</v>
      </c>
      <c r="G46" s="14" t="s">
        <v>5</v>
      </c>
      <c r="H46" s="18" t="s">
        <v>218</v>
      </c>
      <c r="I46" s="43"/>
      <c r="J46" s="44"/>
      <c r="K46" s="44"/>
      <c r="L46" s="44"/>
      <c r="M46" s="44"/>
      <c r="N46" s="44"/>
      <c r="O46" s="44"/>
      <c r="Q46" s="46">
        <v>46258</v>
      </c>
      <c r="R46" s="44"/>
      <c r="S46" s="44"/>
      <c r="T46" s="44"/>
      <c r="U46" s="44"/>
      <c r="V46" s="44"/>
      <c r="W46" s="44"/>
    </row>
    <row r="47" spans="1:23" x14ac:dyDescent="0.25">
      <c r="A47" s="7" t="s">
        <v>68</v>
      </c>
      <c r="B47" s="9" t="s">
        <v>584</v>
      </c>
      <c r="C47" s="13" t="s">
        <v>159</v>
      </c>
      <c r="D47" s="9" t="s">
        <v>225</v>
      </c>
      <c r="E47" s="9" t="s">
        <v>51</v>
      </c>
      <c r="F47" s="9" t="s">
        <v>209</v>
      </c>
      <c r="G47" s="7" t="s">
        <v>5</v>
      </c>
      <c r="H47" s="9" t="s">
        <v>210</v>
      </c>
      <c r="I47" s="41"/>
      <c r="J47" s="1"/>
      <c r="K47" s="1"/>
      <c r="L47" s="1"/>
      <c r="M47" s="1"/>
      <c r="N47" s="1"/>
      <c r="O47" s="1"/>
      <c r="Q47" s="46">
        <v>46258</v>
      </c>
      <c r="R47" s="1"/>
      <c r="S47" s="1"/>
      <c r="T47" s="1"/>
      <c r="U47" s="1"/>
      <c r="V47" s="1"/>
      <c r="W47" s="1"/>
    </row>
    <row r="48" spans="1:23" x14ac:dyDescent="0.25">
      <c r="A48" s="14" t="s">
        <v>68</v>
      </c>
      <c r="B48" s="18" t="s">
        <v>585</v>
      </c>
      <c r="C48" s="14" t="s">
        <v>75</v>
      </c>
      <c r="D48" s="18" t="s">
        <v>225</v>
      </c>
      <c r="E48" s="18" t="s">
        <v>51</v>
      </c>
      <c r="F48" s="18" t="s">
        <v>209</v>
      </c>
      <c r="G48" s="14" t="s">
        <v>5</v>
      </c>
      <c r="H48" s="18" t="s">
        <v>210</v>
      </c>
      <c r="I48" s="43"/>
      <c r="J48" s="44"/>
      <c r="K48" s="44"/>
      <c r="L48" s="44"/>
      <c r="M48" s="44"/>
      <c r="N48" s="44"/>
      <c r="O48" s="44"/>
      <c r="Q48" s="46">
        <v>46258</v>
      </c>
      <c r="R48" s="44"/>
      <c r="S48" s="44"/>
      <c r="T48" s="44"/>
      <c r="U48" s="44"/>
      <c r="V48" s="44"/>
      <c r="W48" s="44"/>
    </row>
    <row r="49" spans="1:23" x14ac:dyDescent="0.25">
      <c r="A49" s="7"/>
      <c r="B49" s="9"/>
      <c r="C49" s="13"/>
      <c r="D49" s="9"/>
      <c r="E49" s="9"/>
      <c r="F49" s="9"/>
      <c r="G49" s="7"/>
      <c r="H49" s="9"/>
      <c r="I49" s="41"/>
      <c r="J49" s="1"/>
      <c r="K49" s="1"/>
      <c r="L49" s="1"/>
      <c r="M49" s="1"/>
      <c r="N49" s="1"/>
      <c r="O49" s="1"/>
      <c r="Q49" s="41"/>
      <c r="R49" s="1"/>
      <c r="S49" s="1"/>
      <c r="T49" s="1"/>
      <c r="U49" s="1"/>
      <c r="V49" s="1"/>
      <c r="W49" s="1"/>
    </row>
    <row r="50" spans="1:23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23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23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23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23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23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23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23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23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23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23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23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23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23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23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222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9">
    <mergeCell ref="A122:C122"/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M3:N3"/>
    <mergeCell ref="S5:V5"/>
    <mergeCell ref="B60:I60"/>
    <mergeCell ref="B61:I61"/>
    <mergeCell ref="B62:I62"/>
    <mergeCell ref="A113:C113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DCF2-8E4F-42C5-A58B-4129CB75AB6D}">
  <sheetPr codeName="Planilha15">
    <tabColor rgb="FF92D050"/>
    <pageSetUpPr fitToPage="1"/>
  </sheetPr>
  <dimension ref="A1:AE130"/>
  <sheetViews>
    <sheetView showGridLines="0" view="pageBreakPreview" topLeftCell="E1" zoomScale="70" zoomScaleNormal="70" zoomScaleSheetLayoutView="70" workbookViewId="0">
      <selection activeCell="G19" sqref="G1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1.285156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4.85546875" style="3" bestFit="1" customWidth="1"/>
    <col min="19" max="19" width="2.85546875" style="3" bestFit="1" customWidth="1"/>
    <col min="20" max="22" width="9.140625" style="3"/>
    <col min="23" max="23" width="10.28515625" style="3" bestFit="1" customWidth="1"/>
    <col min="24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586</v>
      </c>
      <c r="C3" s="26"/>
      <c r="D3" s="35" t="s">
        <v>1081</v>
      </c>
      <c r="E3" s="27"/>
      <c r="F3" s="28"/>
      <c r="G3" s="28"/>
      <c r="H3" s="35" t="s">
        <v>196</v>
      </c>
      <c r="I3" s="27"/>
      <c r="J3" s="27"/>
      <c r="K3" s="35" t="s">
        <v>1082</v>
      </c>
      <c r="L3" s="27"/>
      <c r="M3" s="27"/>
      <c r="N3" s="27"/>
      <c r="O3" s="29"/>
      <c r="Q3" s="20"/>
      <c r="AA3" s="2" t="s">
        <v>587</v>
      </c>
    </row>
    <row r="4" spans="1:31" s="2" customFormat="1" ht="15.75" x14ac:dyDescent="0.25">
      <c r="C4" s="24"/>
      <c r="I4" s="20"/>
      <c r="Q4" s="22"/>
      <c r="R4" s="22"/>
      <c r="S4" s="165" t="s">
        <v>198</v>
      </c>
      <c r="T4" s="165"/>
      <c r="U4" s="165"/>
      <c r="V4" s="165"/>
      <c r="W4" s="23">
        <v>36539</v>
      </c>
      <c r="X4" s="3"/>
    </row>
    <row r="5" spans="1:31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118" t="s">
        <v>204</v>
      </c>
      <c r="R5" s="118" t="s">
        <v>205</v>
      </c>
      <c r="S5" s="118">
        <v>1</v>
      </c>
      <c r="T5" s="118">
        <v>2</v>
      </c>
      <c r="U5" s="118">
        <v>3</v>
      </c>
      <c r="V5" s="118">
        <v>4</v>
      </c>
      <c r="W5" s="119" t="s">
        <v>206</v>
      </c>
      <c r="AA5" s="3" t="s">
        <v>198</v>
      </c>
    </row>
    <row r="6" spans="1:31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41">
        <v>46136</v>
      </c>
      <c r="R6" s="1" t="s">
        <v>210</v>
      </c>
      <c r="S6" s="1"/>
      <c r="T6" s="1"/>
      <c r="U6" s="1" t="s">
        <v>267</v>
      </c>
      <c r="V6" s="1"/>
      <c r="W6" s="1" t="s">
        <v>268</v>
      </c>
      <c r="Y6" s="3" t="s">
        <v>204</v>
      </c>
      <c r="Z6" s="3" t="s">
        <v>205</v>
      </c>
      <c r="AA6" s="3">
        <v>1</v>
      </c>
      <c r="AB6" s="3">
        <v>2</v>
      </c>
      <c r="AC6" s="3">
        <v>3</v>
      </c>
      <c r="AD6" s="3">
        <v>4</v>
      </c>
      <c r="AE6" s="3" t="s">
        <v>206</v>
      </c>
    </row>
    <row r="7" spans="1:31" x14ac:dyDescent="0.25">
      <c r="A7" s="7" t="s">
        <v>174</v>
      </c>
      <c r="B7" s="9" t="s">
        <v>588</v>
      </c>
      <c r="C7" s="13" t="s">
        <v>55</v>
      </c>
      <c r="D7" s="9" t="s">
        <v>225</v>
      </c>
      <c r="E7" s="9" t="s">
        <v>51</v>
      </c>
      <c r="F7" s="9" t="s">
        <v>209</v>
      </c>
      <c r="G7" s="7" t="s">
        <v>5</v>
      </c>
      <c r="H7" s="9" t="s">
        <v>210</v>
      </c>
      <c r="I7" s="41"/>
      <c r="J7" s="1"/>
      <c r="K7" s="1"/>
      <c r="L7" s="1"/>
      <c r="M7" s="1"/>
      <c r="N7" s="1"/>
      <c r="O7" s="1"/>
      <c r="Q7" s="43">
        <v>46136</v>
      </c>
      <c r="R7" s="44" t="s">
        <v>210</v>
      </c>
      <c r="S7" s="44"/>
      <c r="T7" s="44"/>
      <c r="U7" s="44" t="s">
        <v>267</v>
      </c>
      <c r="V7" s="44"/>
      <c r="W7" s="44" t="s">
        <v>268</v>
      </c>
      <c r="Y7" s="3">
        <v>46205</v>
      </c>
      <c r="Z7" s="3" t="s">
        <v>266</v>
      </c>
      <c r="AC7" s="3" t="s">
        <v>267</v>
      </c>
      <c r="AE7" s="3" t="s">
        <v>367</v>
      </c>
    </row>
    <row r="8" spans="1:31" x14ac:dyDescent="0.25">
      <c r="A8" s="14" t="s">
        <v>174</v>
      </c>
      <c r="B8" s="18" t="s">
        <v>589</v>
      </c>
      <c r="C8" s="14" t="s">
        <v>84</v>
      </c>
      <c r="D8" s="18" t="s">
        <v>225</v>
      </c>
      <c r="E8" s="18" t="s">
        <v>51</v>
      </c>
      <c r="F8" s="18" t="s">
        <v>209</v>
      </c>
      <c r="G8" s="14" t="s">
        <v>5</v>
      </c>
      <c r="H8" s="18" t="s">
        <v>210</v>
      </c>
      <c r="I8" s="43"/>
      <c r="J8" s="44"/>
      <c r="K8" s="44"/>
      <c r="L8" s="44"/>
      <c r="M8" s="44"/>
      <c r="N8" s="44"/>
      <c r="O8" s="44"/>
      <c r="Q8" s="41">
        <v>46136</v>
      </c>
      <c r="R8" s="1" t="s">
        <v>210</v>
      </c>
      <c r="S8" s="1"/>
      <c r="T8" s="1"/>
      <c r="U8" s="1" t="s">
        <v>267</v>
      </c>
      <c r="V8" s="1"/>
      <c r="W8" s="1" t="s">
        <v>268</v>
      </c>
      <c r="Y8" s="3">
        <v>46205</v>
      </c>
      <c r="Z8" s="3" t="s">
        <v>266</v>
      </c>
      <c r="AC8" s="3" t="s">
        <v>267</v>
      </c>
      <c r="AE8" s="3" t="s">
        <v>367</v>
      </c>
    </row>
    <row r="9" spans="1:31" x14ac:dyDescent="0.25">
      <c r="A9" s="7" t="s">
        <v>174</v>
      </c>
      <c r="B9" s="9" t="s">
        <v>590</v>
      </c>
      <c r="C9" s="13" t="s">
        <v>67</v>
      </c>
      <c r="D9" s="9" t="s">
        <v>225</v>
      </c>
      <c r="E9" s="9" t="s">
        <v>51</v>
      </c>
      <c r="F9" s="9" t="s">
        <v>209</v>
      </c>
      <c r="G9" s="7" t="s">
        <v>5</v>
      </c>
      <c r="H9" s="9" t="s">
        <v>210</v>
      </c>
      <c r="I9" s="41"/>
      <c r="J9" s="1"/>
      <c r="K9" s="1"/>
      <c r="L9" s="1"/>
      <c r="M9" s="1"/>
      <c r="N9" s="1"/>
      <c r="O9" s="1"/>
      <c r="Q9" s="43">
        <v>46136</v>
      </c>
      <c r="R9" s="44" t="s">
        <v>210</v>
      </c>
      <c r="S9" s="44"/>
      <c r="T9" s="44"/>
      <c r="U9" s="44" t="s">
        <v>267</v>
      </c>
      <c r="V9" s="44"/>
      <c r="W9" s="44" t="s">
        <v>268</v>
      </c>
      <c r="Y9" s="3">
        <v>46205</v>
      </c>
      <c r="Z9" s="3" t="s">
        <v>266</v>
      </c>
      <c r="AC9" s="3" t="s">
        <v>267</v>
      </c>
      <c r="AE9" s="3" t="s">
        <v>367</v>
      </c>
    </row>
    <row r="10" spans="1:31" x14ac:dyDescent="0.25">
      <c r="A10" s="14" t="s">
        <v>174</v>
      </c>
      <c r="B10" s="18" t="s">
        <v>591</v>
      </c>
      <c r="C10" s="14" t="s">
        <v>71</v>
      </c>
      <c r="D10" s="18" t="s">
        <v>225</v>
      </c>
      <c r="E10" s="18" t="s">
        <v>51</v>
      </c>
      <c r="F10" s="18" t="s">
        <v>209</v>
      </c>
      <c r="G10" s="14" t="s">
        <v>5</v>
      </c>
      <c r="H10" s="18" t="s">
        <v>210</v>
      </c>
      <c r="I10" s="43"/>
      <c r="J10" s="44"/>
      <c r="K10" s="44"/>
      <c r="L10" s="44"/>
      <c r="M10" s="44"/>
      <c r="N10" s="44"/>
      <c r="O10" s="44"/>
      <c r="Q10" s="41">
        <v>46136</v>
      </c>
      <c r="R10" s="1" t="s">
        <v>210</v>
      </c>
      <c r="S10" s="1"/>
      <c r="T10" s="1"/>
      <c r="U10" s="1" t="s">
        <v>267</v>
      </c>
      <c r="V10" s="1"/>
      <c r="W10" s="1" t="s">
        <v>268</v>
      </c>
      <c r="Y10" s="3">
        <v>46205</v>
      </c>
      <c r="Z10" s="3" t="s">
        <v>266</v>
      </c>
      <c r="AC10" s="3" t="s">
        <v>267</v>
      </c>
      <c r="AE10" s="3" t="s">
        <v>367</v>
      </c>
    </row>
    <row r="11" spans="1:31" x14ac:dyDescent="0.25">
      <c r="A11" s="7" t="s">
        <v>174</v>
      </c>
      <c r="B11" s="9" t="s">
        <v>592</v>
      </c>
      <c r="C11" s="13" t="s">
        <v>59</v>
      </c>
      <c r="D11" s="9" t="s">
        <v>215</v>
      </c>
      <c r="E11" s="9" t="s">
        <v>48</v>
      </c>
      <c r="F11" s="9" t="s">
        <v>216</v>
      </c>
      <c r="G11" s="7" t="s">
        <v>593</v>
      </c>
      <c r="H11" s="9" t="s">
        <v>210</v>
      </c>
      <c r="I11" s="41"/>
      <c r="J11" s="1"/>
      <c r="K11" s="1"/>
      <c r="L11" s="1"/>
      <c r="M11" s="1"/>
      <c r="N11" s="1"/>
      <c r="O11" s="1"/>
      <c r="Q11" s="43">
        <v>46136</v>
      </c>
      <c r="R11" s="44" t="s">
        <v>339</v>
      </c>
      <c r="S11" s="44"/>
      <c r="T11" s="44"/>
      <c r="U11" s="44" t="s">
        <v>267</v>
      </c>
      <c r="V11" s="44"/>
      <c r="W11" s="44" t="s">
        <v>268</v>
      </c>
    </row>
    <row r="12" spans="1:31" x14ac:dyDescent="0.25">
      <c r="A12" s="14" t="s">
        <v>174</v>
      </c>
      <c r="B12" s="18" t="s">
        <v>57</v>
      </c>
      <c r="C12" s="14" t="s">
        <v>47</v>
      </c>
      <c r="D12" s="18" t="s">
        <v>402</v>
      </c>
      <c r="E12" s="18" t="s">
        <v>48</v>
      </c>
      <c r="F12" s="18" t="s">
        <v>216</v>
      </c>
      <c r="G12" s="14" t="s">
        <v>593</v>
      </c>
      <c r="H12" s="18" t="s">
        <v>218</v>
      </c>
      <c r="I12" s="43"/>
      <c r="J12" s="44"/>
      <c r="K12" s="44"/>
      <c r="L12" s="44"/>
      <c r="M12" s="44"/>
      <c r="N12" s="44"/>
      <c r="O12" s="44"/>
      <c r="Q12" s="41">
        <v>46136</v>
      </c>
      <c r="R12" s="1" t="s">
        <v>339</v>
      </c>
      <c r="S12" s="1"/>
      <c r="T12" s="1"/>
      <c r="U12" s="1"/>
      <c r="V12" s="1" t="s">
        <v>267</v>
      </c>
      <c r="W12" s="1" t="s">
        <v>268</v>
      </c>
    </row>
    <row r="13" spans="1:31" x14ac:dyDescent="0.25">
      <c r="A13" s="7" t="s">
        <v>174</v>
      </c>
      <c r="B13" s="9" t="s">
        <v>57</v>
      </c>
      <c r="C13" s="13" t="s">
        <v>56</v>
      </c>
      <c r="D13" s="9" t="s">
        <v>402</v>
      </c>
      <c r="E13" s="9" t="s">
        <v>54</v>
      </c>
      <c r="F13" s="9" t="s">
        <v>219</v>
      </c>
      <c r="G13" s="7" t="s">
        <v>593</v>
      </c>
      <c r="H13" s="9" t="s">
        <v>218</v>
      </c>
      <c r="I13" s="41"/>
      <c r="J13" s="1"/>
      <c r="K13" s="1"/>
      <c r="L13" s="1"/>
      <c r="M13" s="1"/>
      <c r="N13" s="1"/>
      <c r="O13" s="1"/>
      <c r="Q13" s="43">
        <v>46136</v>
      </c>
      <c r="R13" s="44" t="s">
        <v>210</v>
      </c>
      <c r="S13" s="44"/>
      <c r="T13" s="44"/>
      <c r="U13" s="44" t="s">
        <v>267</v>
      </c>
      <c r="V13" s="44"/>
      <c r="W13" s="44" t="s">
        <v>268</v>
      </c>
      <c r="Y13" s="3">
        <v>46205</v>
      </c>
      <c r="Z13" s="3" t="s">
        <v>266</v>
      </c>
      <c r="AB13" s="3" t="s">
        <v>267</v>
      </c>
      <c r="AE13" s="3" t="s">
        <v>309</v>
      </c>
    </row>
    <row r="14" spans="1:31" x14ac:dyDescent="0.25">
      <c r="A14" s="14" t="s">
        <v>174</v>
      </c>
      <c r="B14" s="18" t="s">
        <v>57</v>
      </c>
      <c r="C14" s="14" t="s">
        <v>53</v>
      </c>
      <c r="D14" s="18" t="s">
        <v>215</v>
      </c>
      <c r="E14" s="18" t="s">
        <v>54</v>
      </c>
      <c r="F14" s="18" t="s">
        <v>219</v>
      </c>
      <c r="G14" s="14" t="s">
        <v>593</v>
      </c>
      <c r="H14" s="18" t="s">
        <v>210</v>
      </c>
      <c r="I14" s="43"/>
      <c r="J14" s="44"/>
      <c r="K14" s="44"/>
      <c r="L14" s="44"/>
      <c r="M14" s="44"/>
      <c r="N14" s="44"/>
      <c r="O14" s="44"/>
      <c r="Q14" s="41">
        <v>46136</v>
      </c>
      <c r="R14" s="1" t="s">
        <v>339</v>
      </c>
      <c r="S14" s="1"/>
      <c r="T14" s="1"/>
      <c r="U14" s="1"/>
      <c r="V14" s="1" t="s">
        <v>267</v>
      </c>
      <c r="W14" s="1" t="s">
        <v>268</v>
      </c>
      <c r="Y14" s="3">
        <v>46205</v>
      </c>
      <c r="Z14" s="3" t="s">
        <v>266</v>
      </c>
      <c r="AB14" s="3" t="s">
        <v>267</v>
      </c>
      <c r="AE14" s="3" t="s">
        <v>309</v>
      </c>
    </row>
    <row r="15" spans="1:31" x14ac:dyDescent="0.25">
      <c r="A15" s="7" t="s">
        <v>174</v>
      </c>
      <c r="B15" s="9" t="s">
        <v>57</v>
      </c>
      <c r="C15" s="13" t="s">
        <v>58</v>
      </c>
      <c r="D15" s="9" t="s">
        <v>215</v>
      </c>
      <c r="E15" s="9" t="s">
        <v>54</v>
      </c>
      <c r="F15" s="9" t="s">
        <v>219</v>
      </c>
      <c r="G15" s="7" t="s">
        <v>593</v>
      </c>
      <c r="H15" s="9" t="s">
        <v>218</v>
      </c>
      <c r="I15" s="41"/>
      <c r="J15" s="1"/>
      <c r="K15" s="1"/>
      <c r="L15" s="1"/>
      <c r="M15" s="1"/>
      <c r="N15" s="1"/>
      <c r="O15" s="1"/>
      <c r="Q15" s="43">
        <v>46136</v>
      </c>
      <c r="R15" s="44" t="s">
        <v>210</v>
      </c>
      <c r="S15" s="44"/>
      <c r="T15" s="44"/>
      <c r="U15" s="44" t="s">
        <v>267</v>
      </c>
      <c r="V15" s="44"/>
      <c r="W15" s="44" t="s">
        <v>268</v>
      </c>
      <c r="Y15" s="3">
        <v>46205</v>
      </c>
      <c r="Z15" s="3" t="s">
        <v>266</v>
      </c>
      <c r="AB15" s="3" t="s">
        <v>267</v>
      </c>
      <c r="AE15" s="3" t="s">
        <v>309</v>
      </c>
    </row>
    <row r="16" spans="1:31" x14ac:dyDescent="0.25">
      <c r="A16" s="14" t="s">
        <v>174</v>
      </c>
      <c r="B16" s="18" t="s">
        <v>594</v>
      </c>
      <c r="C16" s="14" t="s">
        <v>175</v>
      </c>
      <c r="D16" s="18" t="s">
        <v>221</v>
      </c>
      <c r="E16" s="18" t="s">
        <v>76</v>
      </c>
      <c r="F16" s="18" t="s">
        <v>222</v>
      </c>
      <c r="G16" s="14" t="s">
        <v>5</v>
      </c>
      <c r="H16" s="18" t="s">
        <v>210</v>
      </c>
      <c r="I16" s="43"/>
      <c r="J16" s="44"/>
      <c r="K16" s="44"/>
      <c r="L16" s="44"/>
      <c r="M16" s="44"/>
      <c r="N16" s="44"/>
      <c r="O16" s="44"/>
      <c r="Q16" s="41">
        <v>46136</v>
      </c>
      <c r="R16" s="1" t="s">
        <v>210</v>
      </c>
      <c r="S16" s="1"/>
      <c r="T16" s="1"/>
      <c r="U16" s="1" t="s">
        <v>267</v>
      </c>
      <c r="V16" s="1"/>
      <c r="W16" s="1" t="s">
        <v>268</v>
      </c>
      <c r="Y16" s="3">
        <v>46205</v>
      </c>
      <c r="Z16" s="3" t="s">
        <v>266</v>
      </c>
      <c r="AC16" s="3" t="s">
        <v>267</v>
      </c>
      <c r="AE16" s="3" t="s">
        <v>367</v>
      </c>
    </row>
    <row r="17" spans="1:31" x14ac:dyDescent="0.25">
      <c r="A17" s="7" t="s">
        <v>174</v>
      </c>
      <c r="B17" s="9" t="s">
        <v>595</v>
      </c>
      <c r="C17" s="13" t="s">
        <v>72</v>
      </c>
      <c r="D17" s="9" t="s">
        <v>221</v>
      </c>
      <c r="E17" s="9" t="s">
        <v>76</v>
      </c>
      <c r="F17" s="9" t="s">
        <v>222</v>
      </c>
      <c r="G17" s="7" t="s">
        <v>5</v>
      </c>
      <c r="H17" s="9" t="s">
        <v>210</v>
      </c>
      <c r="I17" s="41"/>
      <c r="J17" s="1"/>
      <c r="K17" s="1"/>
      <c r="L17" s="1"/>
      <c r="M17" s="1"/>
      <c r="N17" s="1"/>
      <c r="O17" s="1"/>
      <c r="Q17" s="43">
        <v>46136</v>
      </c>
      <c r="R17" s="44" t="s">
        <v>218</v>
      </c>
      <c r="S17" s="44"/>
      <c r="T17" s="44"/>
      <c r="U17" s="44" t="s">
        <v>267</v>
      </c>
      <c r="V17" s="44"/>
      <c r="W17" s="44" t="s">
        <v>367</v>
      </c>
      <c r="Y17" s="3">
        <v>46205</v>
      </c>
      <c r="Z17" s="3" t="s">
        <v>266</v>
      </c>
      <c r="AC17" s="3" t="s">
        <v>267</v>
      </c>
      <c r="AE17" s="3" t="s">
        <v>367</v>
      </c>
    </row>
    <row r="18" spans="1:31" x14ac:dyDescent="0.25">
      <c r="A18" s="14" t="s">
        <v>68</v>
      </c>
      <c r="B18" s="18" t="s">
        <v>596</v>
      </c>
      <c r="C18" s="14" t="s">
        <v>125</v>
      </c>
      <c r="D18" s="18" t="s">
        <v>225</v>
      </c>
      <c r="E18" s="18" t="s">
        <v>51</v>
      </c>
      <c r="F18" s="18" t="s">
        <v>209</v>
      </c>
      <c r="G18" s="14" t="s">
        <v>5</v>
      </c>
      <c r="H18" s="18" t="s">
        <v>218</v>
      </c>
      <c r="I18" s="43"/>
      <c r="J18" s="44"/>
      <c r="K18" s="44"/>
      <c r="L18" s="44"/>
      <c r="M18" s="44"/>
      <c r="N18" s="44"/>
      <c r="O18" s="44"/>
      <c r="Q18" s="41">
        <v>46136</v>
      </c>
      <c r="R18" s="1" t="s">
        <v>210</v>
      </c>
      <c r="S18" s="1"/>
      <c r="T18" s="1" t="s">
        <v>267</v>
      </c>
      <c r="U18" s="1"/>
      <c r="V18" s="1"/>
      <c r="W18" s="1" t="s">
        <v>367</v>
      </c>
      <c r="Y18" s="3">
        <v>46204</v>
      </c>
      <c r="Z18" s="3" t="s">
        <v>273</v>
      </c>
      <c r="AD18" s="3" t="s">
        <v>267</v>
      </c>
      <c r="AE18" s="3" t="s">
        <v>309</v>
      </c>
    </row>
    <row r="19" spans="1:31" x14ac:dyDescent="0.25">
      <c r="A19" s="7" t="s">
        <v>68</v>
      </c>
      <c r="B19" s="9" t="s">
        <v>597</v>
      </c>
      <c r="C19" s="13" t="s">
        <v>158</v>
      </c>
      <c r="D19" s="9" t="s">
        <v>225</v>
      </c>
      <c r="E19" s="9" t="s">
        <v>51</v>
      </c>
      <c r="F19" s="9" t="s">
        <v>209</v>
      </c>
      <c r="G19" s="7" t="s">
        <v>5</v>
      </c>
      <c r="H19" s="9" t="s">
        <v>210</v>
      </c>
      <c r="I19" s="41"/>
      <c r="J19" s="1"/>
      <c r="K19" s="1"/>
      <c r="L19" s="1"/>
      <c r="M19" s="1"/>
      <c r="N19" s="1"/>
      <c r="O19" s="1"/>
      <c r="Q19" s="43">
        <v>46136</v>
      </c>
      <c r="R19" s="44" t="s">
        <v>218</v>
      </c>
      <c r="S19" s="44"/>
      <c r="T19" s="44"/>
      <c r="U19" s="44" t="s">
        <v>267</v>
      </c>
      <c r="V19" s="44"/>
      <c r="W19" s="44" t="s">
        <v>367</v>
      </c>
      <c r="Y19" s="3">
        <v>46204</v>
      </c>
      <c r="Z19" s="3" t="s">
        <v>266</v>
      </c>
      <c r="AD19" s="3" t="s">
        <v>267</v>
      </c>
      <c r="AE19" s="3" t="s">
        <v>309</v>
      </c>
    </row>
    <row r="20" spans="1:31" x14ac:dyDescent="0.25">
      <c r="A20" s="14" t="s">
        <v>68</v>
      </c>
      <c r="B20" s="18" t="s">
        <v>598</v>
      </c>
      <c r="C20" s="14" t="s">
        <v>106</v>
      </c>
      <c r="D20" s="18" t="s">
        <v>225</v>
      </c>
      <c r="E20" s="18" t="s">
        <v>51</v>
      </c>
      <c r="F20" s="18" t="s">
        <v>209</v>
      </c>
      <c r="G20" s="14" t="s">
        <v>5</v>
      </c>
      <c r="H20" s="18" t="s">
        <v>218</v>
      </c>
      <c r="I20" s="43"/>
      <c r="J20" s="44"/>
      <c r="K20" s="44"/>
      <c r="L20" s="44"/>
      <c r="M20" s="44"/>
      <c r="N20" s="44"/>
      <c r="O20" s="44"/>
      <c r="Q20" s="41">
        <v>46136</v>
      </c>
      <c r="R20" s="1" t="s">
        <v>218</v>
      </c>
      <c r="S20" s="1"/>
      <c r="T20" s="1"/>
      <c r="U20" s="1" t="s">
        <v>267</v>
      </c>
      <c r="V20" s="1"/>
      <c r="W20" s="1" t="s">
        <v>367</v>
      </c>
      <c r="Y20" s="3">
        <v>46204</v>
      </c>
      <c r="Z20" s="3" t="s">
        <v>273</v>
      </c>
      <c r="AD20" s="3" t="s">
        <v>267</v>
      </c>
      <c r="AE20" s="3" t="s">
        <v>309</v>
      </c>
    </row>
    <row r="21" spans="1:31" x14ac:dyDescent="0.25">
      <c r="A21" s="7" t="s">
        <v>68</v>
      </c>
      <c r="B21" s="9" t="s">
        <v>599</v>
      </c>
      <c r="C21" s="13" t="s">
        <v>115</v>
      </c>
      <c r="D21" s="9" t="s">
        <v>229</v>
      </c>
      <c r="E21" s="9" t="s">
        <v>80</v>
      </c>
      <c r="F21" s="9" t="s">
        <v>230</v>
      </c>
      <c r="G21" s="7" t="s">
        <v>5</v>
      </c>
      <c r="H21" s="9" t="s">
        <v>218</v>
      </c>
      <c r="I21" s="41"/>
      <c r="J21" s="1"/>
      <c r="K21" s="1"/>
      <c r="L21" s="1"/>
      <c r="M21" s="1"/>
      <c r="N21" s="1"/>
      <c r="O21" s="1"/>
      <c r="Q21" s="43">
        <v>46136</v>
      </c>
      <c r="R21" s="44" t="s">
        <v>210</v>
      </c>
      <c r="S21" s="44"/>
      <c r="T21" s="44" t="s">
        <v>267</v>
      </c>
      <c r="U21" s="44"/>
      <c r="V21" s="44"/>
      <c r="W21" s="44" t="s">
        <v>367</v>
      </c>
      <c r="Y21" s="3">
        <v>46204</v>
      </c>
      <c r="Z21" s="3" t="s">
        <v>273</v>
      </c>
      <c r="AD21" s="3" t="s">
        <v>267</v>
      </c>
      <c r="AE21" s="3" t="s">
        <v>309</v>
      </c>
    </row>
    <row r="22" spans="1:31" x14ac:dyDescent="0.25">
      <c r="A22" s="14" t="s">
        <v>68</v>
      </c>
      <c r="B22" s="18" t="s">
        <v>600</v>
      </c>
      <c r="C22" s="14" t="s">
        <v>147</v>
      </c>
      <c r="D22" s="18" t="s">
        <v>229</v>
      </c>
      <c r="E22" s="18" t="s">
        <v>80</v>
      </c>
      <c r="F22" s="18" t="s">
        <v>230</v>
      </c>
      <c r="G22" s="14" t="s">
        <v>5</v>
      </c>
      <c r="H22" s="18" t="s">
        <v>210</v>
      </c>
      <c r="I22" s="43"/>
      <c r="J22" s="44"/>
      <c r="K22" s="44"/>
      <c r="L22" s="44"/>
      <c r="M22" s="44"/>
      <c r="N22" s="44"/>
      <c r="O22" s="44"/>
      <c r="Q22" s="41">
        <v>46136</v>
      </c>
      <c r="R22" s="1" t="s">
        <v>218</v>
      </c>
      <c r="S22" s="1"/>
      <c r="T22" s="1"/>
      <c r="U22" s="1" t="s">
        <v>267</v>
      </c>
      <c r="V22" s="1"/>
      <c r="W22" s="1" t="s">
        <v>367</v>
      </c>
      <c r="Y22" s="3">
        <v>46204</v>
      </c>
      <c r="Z22" s="3" t="s">
        <v>266</v>
      </c>
      <c r="AD22" s="3" t="s">
        <v>267</v>
      </c>
      <c r="AE22" s="3" t="s">
        <v>309</v>
      </c>
    </row>
    <row r="23" spans="1:31" x14ac:dyDescent="0.25">
      <c r="A23" s="7" t="s">
        <v>68</v>
      </c>
      <c r="B23" s="9" t="s">
        <v>601</v>
      </c>
      <c r="C23" s="13" t="s">
        <v>103</v>
      </c>
      <c r="D23" s="9" t="s">
        <v>229</v>
      </c>
      <c r="E23" s="9" t="s">
        <v>80</v>
      </c>
      <c r="F23" s="9" t="s">
        <v>230</v>
      </c>
      <c r="G23" s="7" t="s">
        <v>5</v>
      </c>
      <c r="H23" s="9" t="s">
        <v>218</v>
      </c>
      <c r="I23" s="41"/>
      <c r="J23" s="1"/>
      <c r="K23" s="1"/>
      <c r="L23" s="1"/>
      <c r="M23" s="1"/>
      <c r="N23" s="1"/>
      <c r="O23" s="1"/>
      <c r="Q23" s="43">
        <v>46136</v>
      </c>
      <c r="R23" s="44" t="s">
        <v>218</v>
      </c>
      <c r="S23" s="44"/>
      <c r="T23" s="44"/>
      <c r="U23" s="44" t="s">
        <v>267</v>
      </c>
      <c r="V23" s="44"/>
      <c r="W23" s="44" t="s">
        <v>367</v>
      </c>
      <c r="Y23" s="3">
        <v>46204</v>
      </c>
      <c r="Z23" s="3" t="s">
        <v>273</v>
      </c>
      <c r="AD23" s="3" t="s">
        <v>267</v>
      </c>
      <c r="AE23" s="3" t="s">
        <v>309</v>
      </c>
    </row>
    <row r="24" spans="1:31" x14ac:dyDescent="0.25">
      <c r="A24" s="14" t="s">
        <v>68</v>
      </c>
      <c r="B24" s="18" t="s">
        <v>602</v>
      </c>
      <c r="C24" s="14" t="s">
        <v>119</v>
      </c>
      <c r="D24" s="18" t="s">
        <v>225</v>
      </c>
      <c r="E24" s="18" t="s">
        <v>51</v>
      </c>
      <c r="F24" s="18" t="s">
        <v>209</v>
      </c>
      <c r="G24" s="14" t="s">
        <v>5</v>
      </c>
      <c r="H24" s="18" t="s">
        <v>218</v>
      </c>
      <c r="I24" s="43"/>
      <c r="J24" s="44"/>
      <c r="K24" s="44"/>
      <c r="L24" s="44"/>
      <c r="M24" s="44"/>
      <c r="N24" s="44"/>
      <c r="O24" s="44"/>
      <c r="Q24" s="41">
        <v>46136</v>
      </c>
      <c r="R24" s="1" t="s">
        <v>210</v>
      </c>
      <c r="S24" s="1"/>
      <c r="T24" s="1" t="s">
        <v>267</v>
      </c>
      <c r="U24" s="1"/>
      <c r="V24" s="1"/>
      <c r="W24" s="1" t="s">
        <v>367</v>
      </c>
      <c r="Y24" s="3">
        <v>46205</v>
      </c>
      <c r="Z24" s="3" t="s">
        <v>273</v>
      </c>
      <c r="AD24" s="3" t="s">
        <v>267</v>
      </c>
      <c r="AE24" s="3" t="s">
        <v>309</v>
      </c>
    </row>
    <row r="25" spans="1:31" x14ac:dyDescent="0.25">
      <c r="A25" s="7" t="s">
        <v>68</v>
      </c>
      <c r="B25" s="9" t="s">
        <v>603</v>
      </c>
      <c r="C25" s="13" t="s">
        <v>150</v>
      </c>
      <c r="D25" s="9" t="s">
        <v>225</v>
      </c>
      <c r="E25" s="9" t="s">
        <v>51</v>
      </c>
      <c r="F25" s="9" t="s">
        <v>209</v>
      </c>
      <c r="G25" s="7" t="s">
        <v>5</v>
      </c>
      <c r="H25" s="9" t="s">
        <v>210</v>
      </c>
      <c r="I25" s="41"/>
      <c r="J25" s="1"/>
      <c r="K25" s="1"/>
      <c r="L25" s="1"/>
      <c r="M25" s="1"/>
      <c r="N25" s="1"/>
      <c r="O25" s="1"/>
      <c r="Q25" s="43">
        <v>46136</v>
      </c>
      <c r="R25" s="44" t="s">
        <v>218</v>
      </c>
      <c r="S25" s="44"/>
      <c r="T25" s="44"/>
      <c r="U25" s="44" t="s">
        <v>267</v>
      </c>
      <c r="V25" s="44"/>
      <c r="W25" s="44" t="s">
        <v>367</v>
      </c>
      <c r="Y25" s="3">
        <v>46205</v>
      </c>
      <c r="Z25" s="3" t="s">
        <v>266</v>
      </c>
      <c r="AC25" s="3" t="s">
        <v>267</v>
      </c>
      <c r="AE25" s="3" t="s">
        <v>309</v>
      </c>
    </row>
    <row r="26" spans="1:31" x14ac:dyDescent="0.25">
      <c r="A26" s="14" t="s">
        <v>68</v>
      </c>
      <c r="B26" s="18" t="s">
        <v>604</v>
      </c>
      <c r="C26" s="14" t="s">
        <v>85</v>
      </c>
      <c r="D26" s="18" t="s">
        <v>225</v>
      </c>
      <c r="E26" s="18" t="s">
        <v>51</v>
      </c>
      <c r="F26" s="18" t="s">
        <v>209</v>
      </c>
      <c r="G26" s="14" t="s">
        <v>5</v>
      </c>
      <c r="H26" s="18" t="s">
        <v>218</v>
      </c>
      <c r="I26" s="43"/>
      <c r="J26" s="44"/>
      <c r="K26" s="44"/>
      <c r="L26" s="44"/>
      <c r="M26" s="44"/>
      <c r="N26" s="44"/>
      <c r="O26" s="44"/>
      <c r="Q26" s="41">
        <v>46136</v>
      </c>
      <c r="R26" s="1" t="s">
        <v>218</v>
      </c>
      <c r="S26" s="1"/>
      <c r="T26" s="1"/>
      <c r="U26" s="1" t="s">
        <v>267</v>
      </c>
      <c r="V26" s="1"/>
      <c r="W26" s="1" t="s">
        <v>367</v>
      </c>
      <c r="Y26" s="3">
        <v>46205</v>
      </c>
      <c r="Z26" s="3" t="s">
        <v>273</v>
      </c>
      <c r="AD26" s="3" t="s">
        <v>267</v>
      </c>
      <c r="AE26" s="3" t="s">
        <v>309</v>
      </c>
    </row>
    <row r="27" spans="1:31" x14ac:dyDescent="0.25">
      <c r="A27" s="7" t="s">
        <v>68</v>
      </c>
      <c r="B27" s="9" t="s">
        <v>605</v>
      </c>
      <c r="C27" s="13" t="s">
        <v>122</v>
      </c>
      <c r="D27" s="9" t="s">
        <v>225</v>
      </c>
      <c r="E27" s="9" t="s">
        <v>51</v>
      </c>
      <c r="F27" s="9" t="s">
        <v>209</v>
      </c>
      <c r="G27" s="7" t="s">
        <v>5</v>
      </c>
      <c r="H27" s="9" t="s">
        <v>218</v>
      </c>
      <c r="I27" s="41"/>
      <c r="J27" s="1"/>
      <c r="K27" s="1"/>
      <c r="L27" s="1"/>
      <c r="M27" s="1"/>
      <c r="N27" s="1"/>
      <c r="O27" s="1"/>
      <c r="Q27" s="43">
        <v>46136</v>
      </c>
      <c r="R27" s="44" t="s">
        <v>210</v>
      </c>
      <c r="S27" s="44"/>
      <c r="T27" s="44" t="s">
        <v>267</v>
      </c>
      <c r="U27" s="44"/>
      <c r="V27" s="44"/>
      <c r="W27" s="44" t="s">
        <v>367</v>
      </c>
    </row>
    <row r="28" spans="1:31" x14ac:dyDescent="0.25">
      <c r="A28" s="14" t="s">
        <v>68</v>
      </c>
      <c r="B28" s="18" t="s">
        <v>606</v>
      </c>
      <c r="C28" s="14" t="s">
        <v>155</v>
      </c>
      <c r="D28" s="18" t="s">
        <v>225</v>
      </c>
      <c r="E28" s="18" t="s">
        <v>51</v>
      </c>
      <c r="F28" s="18" t="s">
        <v>209</v>
      </c>
      <c r="G28" s="14" t="s">
        <v>5</v>
      </c>
      <c r="H28" s="18" t="s">
        <v>210</v>
      </c>
      <c r="I28" s="43"/>
      <c r="J28" s="44"/>
      <c r="K28" s="44"/>
      <c r="L28" s="44"/>
      <c r="M28" s="44"/>
      <c r="N28" s="44"/>
      <c r="O28" s="44"/>
      <c r="Q28" s="41">
        <v>46136</v>
      </c>
      <c r="R28" s="1" t="s">
        <v>218</v>
      </c>
      <c r="S28" s="1"/>
      <c r="T28" s="1"/>
      <c r="U28" s="1" t="s">
        <v>267</v>
      </c>
      <c r="V28" s="1"/>
      <c r="W28" s="1" t="s">
        <v>367</v>
      </c>
    </row>
    <row r="29" spans="1:31" x14ac:dyDescent="0.25">
      <c r="A29" s="7" t="s">
        <v>68</v>
      </c>
      <c r="B29" s="9" t="s">
        <v>607</v>
      </c>
      <c r="C29" s="13" t="s">
        <v>90</v>
      </c>
      <c r="D29" s="9" t="s">
        <v>225</v>
      </c>
      <c r="E29" s="9" t="s">
        <v>51</v>
      </c>
      <c r="F29" s="9" t="s">
        <v>209</v>
      </c>
      <c r="G29" s="7" t="s">
        <v>5</v>
      </c>
      <c r="H29" s="9" t="s">
        <v>218</v>
      </c>
      <c r="I29" s="41"/>
      <c r="J29" s="1"/>
      <c r="K29" s="1"/>
      <c r="L29" s="1"/>
      <c r="M29" s="1"/>
      <c r="N29" s="1"/>
      <c r="O29" s="1"/>
      <c r="Q29" s="43">
        <v>46136</v>
      </c>
      <c r="R29" s="44" t="s">
        <v>218</v>
      </c>
      <c r="S29" s="44"/>
      <c r="T29" s="44"/>
      <c r="U29" s="44" t="s">
        <v>267</v>
      </c>
      <c r="V29" s="44"/>
      <c r="W29" s="44" t="s">
        <v>367</v>
      </c>
    </row>
    <row r="30" spans="1:31" x14ac:dyDescent="0.25">
      <c r="A30" s="14" t="s">
        <v>68</v>
      </c>
      <c r="B30" s="18" t="s">
        <v>608</v>
      </c>
      <c r="C30" s="14" t="s">
        <v>128</v>
      </c>
      <c r="D30" s="18" t="s">
        <v>240</v>
      </c>
      <c r="E30" s="18" t="s">
        <v>86</v>
      </c>
      <c r="F30" s="18" t="s">
        <v>241</v>
      </c>
      <c r="G30" s="14" t="s">
        <v>5</v>
      </c>
      <c r="H30" s="18" t="s">
        <v>218</v>
      </c>
      <c r="I30" s="43"/>
      <c r="J30" s="44"/>
      <c r="K30" s="44"/>
      <c r="L30" s="44"/>
      <c r="M30" s="44"/>
      <c r="N30" s="44"/>
      <c r="O30" s="44"/>
      <c r="Q30" s="41">
        <v>46136</v>
      </c>
      <c r="R30" s="1" t="s">
        <v>210</v>
      </c>
      <c r="S30" s="1"/>
      <c r="T30" s="1" t="s">
        <v>267</v>
      </c>
      <c r="U30" s="1"/>
      <c r="V30" s="1"/>
      <c r="W30" s="1" t="s">
        <v>367</v>
      </c>
      <c r="Y30" s="3">
        <v>46204</v>
      </c>
      <c r="Z30" s="3" t="s">
        <v>273</v>
      </c>
      <c r="AD30" s="3" t="s">
        <v>267</v>
      </c>
      <c r="AE30" s="3" t="s">
        <v>309</v>
      </c>
    </row>
    <row r="31" spans="1:31" x14ac:dyDescent="0.25">
      <c r="A31" s="7" t="s">
        <v>68</v>
      </c>
      <c r="B31" s="9" t="s">
        <v>609</v>
      </c>
      <c r="C31" s="13" t="s">
        <v>152</v>
      </c>
      <c r="D31" s="9" t="s">
        <v>240</v>
      </c>
      <c r="E31" s="9" t="s">
        <v>86</v>
      </c>
      <c r="F31" s="9" t="s">
        <v>241</v>
      </c>
      <c r="G31" s="7" t="s">
        <v>5</v>
      </c>
      <c r="H31" s="9" t="s">
        <v>210</v>
      </c>
      <c r="I31" s="41"/>
      <c r="J31" s="1"/>
      <c r="K31" s="1"/>
      <c r="L31" s="1"/>
      <c r="M31" s="1"/>
      <c r="N31" s="1"/>
      <c r="O31" s="1"/>
      <c r="Q31" s="43">
        <v>46136</v>
      </c>
      <c r="R31" s="44" t="s">
        <v>218</v>
      </c>
      <c r="S31" s="44"/>
      <c r="T31" s="44"/>
      <c r="U31" s="44" t="s">
        <v>267</v>
      </c>
      <c r="V31" s="44"/>
      <c r="W31" s="44" t="s">
        <v>367</v>
      </c>
      <c r="Y31" s="3">
        <v>46204</v>
      </c>
      <c r="Z31" s="3" t="s">
        <v>266</v>
      </c>
      <c r="AD31" s="3" t="s">
        <v>267</v>
      </c>
      <c r="AE31" s="3" t="s">
        <v>309</v>
      </c>
    </row>
    <row r="32" spans="1:31" x14ac:dyDescent="0.25">
      <c r="A32" s="14" t="s">
        <v>68</v>
      </c>
      <c r="B32" s="18" t="s">
        <v>610</v>
      </c>
      <c r="C32" s="14" t="s">
        <v>96</v>
      </c>
      <c r="D32" s="18" t="s">
        <v>240</v>
      </c>
      <c r="E32" s="18" t="s">
        <v>86</v>
      </c>
      <c r="F32" s="18" t="s">
        <v>241</v>
      </c>
      <c r="G32" s="14" t="s">
        <v>5</v>
      </c>
      <c r="H32" s="18" t="s">
        <v>218</v>
      </c>
      <c r="I32" s="43"/>
      <c r="J32" s="44"/>
      <c r="K32" s="44"/>
      <c r="L32" s="44"/>
      <c r="M32" s="44"/>
      <c r="N32" s="44"/>
      <c r="O32" s="44"/>
      <c r="Q32" s="41">
        <v>46136</v>
      </c>
      <c r="R32" s="1" t="s">
        <v>210</v>
      </c>
      <c r="S32" s="1" t="s">
        <v>267</v>
      </c>
      <c r="T32" s="1"/>
      <c r="U32" s="1"/>
      <c r="V32" s="1"/>
      <c r="W32" s="1" t="s">
        <v>367</v>
      </c>
      <c r="Y32" s="3">
        <v>46204</v>
      </c>
      <c r="Z32" s="3" t="s">
        <v>273</v>
      </c>
      <c r="AD32" s="3" t="s">
        <v>267</v>
      </c>
      <c r="AE32" s="3" t="s">
        <v>309</v>
      </c>
    </row>
    <row r="33" spans="1:31" ht="18" customHeight="1" x14ac:dyDescent="0.25">
      <c r="A33" s="7" t="s">
        <v>68</v>
      </c>
      <c r="B33" s="9" t="s">
        <v>611</v>
      </c>
      <c r="C33" s="13" t="s">
        <v>93</v>
      </c>
      <c r="D33" s="9" t="s">
        <v>225</v>
      </c>
      <c r="E33" s="9" t="s">
        <v>51</v>
      </c>
      <c r="F33" s="9" t="s">
        <v>209</v>
      </c>
      <c r="G33" s="7" t="s">
        <v>5</v>
      </c>
      <c r="H33" s="9" t="s">
        <v>210</v>
      </c>
      <c r="I33" s="41"/>
      <c r="J33" s="1"/>
      <c r="K33" s="1"/>
      <c r="L33" s="1"/>
      <c r="M33" s="1"/>
      <c r="N33" s="1"/>
      <c r="O33" s="1"/>
      <c r="Q33" s="43">
        <v>46136</v>
      </c>
      <c r="R33" s="44" t="s">
        <v>210</v>
      </c>
      <c r="S33" s="44"/>
      <c r="T33" s="44" t="s">
        <v>267</v>
      </c>
      <c r="U33" s="44"/>
      <c r="V33" s="44"/>
      <c r="W33" s="44" t="s">
        <v>367</v>
      </c>
      <c r="Y33" s="3">
        <v>46205</v>
      </c>
      <c r="Z33" s="3" t="s">
        <v>266</v>
      </c>
      <c r="AD33" s="3" t="s">
        <v>267</v>
      </c>
      <c r="AE33" s="3" t="s">
        <v>309</v>
      </c>
    </row>
    <row r="34" spans="1:31" x14ac:dyDescent="0.25">
      <c r="A34" s="14" t="s">
        <v>68</v>
      </c>
      <c r="B34" s="18" t="s">
        <v>612</v>
      </c>
      <c r="C34" s="14" t="s">
        <v>161</v>
      </c>
      <c r="D34" s="18" t="s">
        <v>225</v>
      </c>
      <c r="E34" s="18" t="s">
        <v>51</v>
      </c>
      <c r="F34" s="18" t="s">
        <v>209</v>
      </c>
      <c r="G34" s="14" t="s">
        <v>5</v>
      </c>
      <c r="H34" s="18" t="s">
        <v>210</v>
      </c>
      <c r="I34" s="43"/>
      <c r="J34" s="44"/>
      <c r="K34" s="44"/>
      <c r="L34" s="44"/>
      <c r="M34" s="44"/>
      <c r="N34" s="44"/>
      <c r="O34" s="44"/>
      <c r="Q34" s="41">
        <v>46136</v>
      </c>
      <c r="R34" s="1" t="s">
        <v>210</v>
      </c>
      <c r="S34" s="1"/>
      <c r="T34" s="1" t="s">
        <v>267</v>
      </c>
      <c r="U34" s="1"/>
      <c r="V34" s="1"/>
      <c r="W34" s="1" t="s">
        <v>367</v>
      </c>
      <c r="Y34" s="3">
        <v>46205</v>
      </c>
      <c r="Z34" s="3" t="s">
        <v>266</v>
      </c>
      <c r="AD34" s="3" t="s">
        <v>267</v>
      </c>
      <c r="AE34" s="3" t="s">
        <v>309</v>
      </c>
    </row>
    <row r="35" spans="1:31" x14ac:dyDescent="0.25">
      <c r="A35" s="7" t="s">
        <v>68</v>
      </c>
      <c r="B35" s="9" t="s">
        <v>613</v>
      </c>
      <c r="C35" s="13" t="s">
        <v>100</v>
      </c>
      <c r="D35" s="9" t="s">
        <v>225</v>
      </c>
      <c r="E35" s="9" t="s">
        <v>51</v>
      </c>
      <c r="F35" s="9" t="s">
        <v>209</v>
      </c>
      <c r="G35" s="7" t="s">
        <v>5</v>
      </c>
      <c r="H35" s="9" t="s">
        <v>210</v>
      </c>
      <c r="I35" s="41"/>
      <c r="J35" s="1"/>
      <c r="K35" s="1"/>
      <c r="L35" s="1"/>
      <c r="M35" s="1"/>
      <c r="N35" s="1"/>
      <c r="O35" s="1"/>
      <c r="Q35" s="43">
        <v>46136</v>
      </c>
      <c r="R35" s="44" t="s">
        <v>218</v>
      </c>
      <c r="S35" s="44"/>
      <c r="T35" s="44"/>
      <c r="U35" s="44" t="s">
        <v>267</v>
      </c>
      <c r="V35" s="44"/>
      <c r="W35" s="44" t="s">
        <v>367</v>
      </c>
      <c r="Y35" s="3">
        <v>46205</v>
      </c>
      <c r="Z35" s="3" t="s">
        <v>266</v>
      </c>
      <c r="AD35" s="3" t="s">
        <v>267</v>
      </c>
      <c r="AE35" s="3" t="s">
        <v>309</v>
      </c>
    </row>
    <row r="36" spans="1:31" x14ac:dyDescent="0.25">
      <c r="A36" s="14" t="s">
        <v>68</v>
      </c>
      <c r="B36" s="18" t="s">
        <v>57</v>
      </c>
      <c r="C36" s="14" t="s">
        <v>89</v>
      </c>
      <c r="D36" s="18" t="s">
        <v>225</v>
      </c>
      <c r="E36" s="18" t="s">
        <v>51</v>
      </c>
      <c r="F36" s="18" t="s">
        <v>209</v>
      </c>
      <c r="G36" s="14" t="s">
        <v>5</v>
      </c>
      <c r="H36" s="18" t="s">
        <v>218</v>
      </c>
      <c r="I36" s="43"/>
      <c r="J36" s="44"/>
      <c r="K36" s="44"/>
      <c r="L36" s="44"/>
      <c r="M36" s="44"/>
      <c r="N36" s="44"/>
      <c r="O36" s="44"/>
      <c r="Q36" s="41">
        <v>46136</v>
      </c>
      <c r="R36" s="1" t="s">
        <v>218</v>
      </c>
      <c r="S36" s="1"/>
      <c r="T36" s="1"/>
      <c r="U36" s="1" t="s">
        <v>267</v>
      </c>
      <c r="V36" s="1"/>
      <c r="W36" s="1" t="s">
        <v>367</v>
      </c>
      <c r="Y36" s="3">
        <v>46205</v>
      </c>
      <c r="Z36" s="3" t="s">
        <v>273</v>
      </c>
      <c r="AD36" s="3" t="s">
        <v>267</v>
      </c>
      <c r="AE36" s="3" t="s">
        <v>309</v>
      </c>
    </row>
    <row r="37" spans="1:31" x14ac:dyDescent="0.25">
      <c r="A37" s="7" t="s">
        <v>68</v>
      </c>
      <c r="B37" s="9" t="s">
        <v>57</v>
      </c>
      <c r="C37" s="13" t="s">
        <v>111</v>
      </c>
      <c r="D37" s="9" t="s">
        <v>402</v>
      </c>
      <c r="E37" s="9" t="s">
        <v>48</v>
      </c>
      <c r="F37" s="9" t="s">
        <v>216</v>
      </c>
      <c r="G37" s="7" t="s">
        <v>593</v>
      </c>
      <c r="H37" s="9" t="s">
        <v>218</v>
      </c>
      <c r="I37" s="41"/>
      <c r="J37" s="1"/>
      <c r="K37" s="1"/>
      <c r="L37" s="1"/>
      <c r="M37" s="1"/>
      <c r="N37" s="1"/>
      <c r="O37" s="1"/>
      <c r="Q37" s="43">
        <v>46136</v>
      </c>
      <c r="R37" s="44" t="s">
        <v>218</v>
      </c>
      <c r="S37" s="44"/>
      <c r="T37" s="44"/>
      <c r="U37" s="44" t="s">
        <v>267</v>
      </c>
      <c r="V37" s="44"/>
      <c r="W37" s="44" t="s">
        <v>367</v>
      </c>
      <c r="Y37" s="3">
        <v>46205</v>
      </c>
      <c r="Z37" s="3" t="s">
        <v>273</v>
      </c>
      <c r="AD37" s="3" t="s">
        <v>267</v>
      </c>
      <c r="AE37" s="3" t="s">
        <v>309</v>
      </c>
    </row>
    <row r="38" spans="1:31" x14ac:dyDescent="0.25">
      <c r="A38" s="14" t="s">
        <v>68</v>
      </c>
      <c r="B38" s="18" t="s">
        <v>57</v>
      </c>
      <c r="C38" s="14" t="s">
        <v>114</v>
      </c>
      <c r="D38" s="18" t="s">
        <v>225</v>
      </c>
      <c r="E38" s="18" t="s">
        <v>51</v>
      </c>
      <c r="F38" s="18" t="s">
        <v>209</v>
      </c>
      <c r="G38" s="14" t="s">
        <v>5</v>
      </c>
      <c r="H38" s="18" t="s">
        <v>218</v>
      </c>
      <c r="I38" s="43"/>
      <c r="J38" s="44"/>
      <c r="K38" s="44"/>
      <c r="L38" s="44"/>
      <c r="M38" s="44"/>
      <c r="N38" s="44"/>
      <c r="O38" s="44"/>
      <c r="Q38" s="41">
        <v>46136</v>
      </c>
      <c r="R38" s="1" t="s">
        <v>210</v>
      </c>
      <c r="S38" s="1"/>
      <c r="T38" s="1" t="s">
        <v>267</v>
      </c>
      <c r="U38" s="1"/>
      <c r="V38" s="1"/>
      <c r="W38" s="1" t="s">
        <v>614</v>
      </c>
      <c r="Y38" s="3">
        <v>46205</v>
      </c>
      <c r="Z38" s="3" t="s">
        <v>273</v>
      </c>
      <c r="AD38" s="3" t="s">
        <v>267</v>
      </c>
      <c r="AE38" s="3" t="s">
        <v>309</v>
      </c>
    </row>
    <row r="39" spans="1:31" x14ac:dyDescent="0.25">
      <c r="A39" s="7" t="s">
        <v>68</v>
      </c>
      <c r="B39" s="9" t="s">
        <v>57</v>
      </c>
      <c r="C39" s="13" t="s">
        <v>118</v>
      </c>
      <c r="D39" s="9" t="s">
        <v>402</v>
      </c>
      <c r="E39" s="9" t="s">
        <v>48</v>
      </c>
      <c r="F39" s="9" t="s">
        <v>216</v>
      </c>
      <c r="G39" s="7" t="s">
        <v>593</v>
      </c>
      <c r="H39" s="9" t="s">
        <v>210</v>
      </c>
      <c r="I39" s="41"/>
      <c r="J39" s="1"/>
      <c r="K39" s="1"/>
      <c r="L39" s="1"/>
      <c r="M39" s="1"/>
      <c r="N39" s="1"/>
      <c r="O39" s="1"/>
      <c r="Q39" s="43"/>
      <c r="R39" s="44"/>
      <c r="S39" s="44"/>
      <c r="T39" s="44"/>
      <c r="U39" s="44"/>
      <c r="V39" s="44"/>
      <c r="W39" s="44"/>
      <c r="Y39" s="3">
        <v>46205</v>
      </c>
      <c r="Z39" s="3" t="s">
        <v>266</v>
      </c>
      <c r="AC39" s="3" t="s">
        <v>267</v>
      </c>
      <c r="AE39" s="3" t="s">
        <v>309</v>
      </c>
    </row>
    <row r="40" spans="1:31" x14ac:dyDescent="0.25">
      <c r="A40" s="14" t="s">
        <v>68</v>
      </c>
      <c r="B40" s="18" t="s">
        <v>57</v>
      </c>
      <c r="C40" s="14" t="s">
        <v>178</v>
      </c>
      <c r="D40" s="18" t="s">
        <v>217</v>
      </c>
      <c r="E40" s="18" t="s">
        <v>48</v>
      </c>
      <c r="F40" s="18" t="s">
        <v>216</v>
      </c>
      <c r="G40" s="14" t="s">
        <v>5</v>
      </c>
      <c r="H40" s="18" t="s">
        <v>218</v>
      </c>
      <c r="I40" s="43"/>
      <c r="J40" s="44"/>
      <c r="K40" s="44"/>
      <c r="L40" s="44"/>
      <c r="M40" s="44"/>
      <c r="N40" s="44"/>
      <c r="O40" s="44"/>
      <c r="Q40" s="41"/>
      <c r="R40" s="1"/>
      <c r="S40" s="1"/>
      <c r="T40" s="1"/>
      <c r="U40" s="1"/>
      <c r="V40" s="1"/>
      <c r="W40" s="1"/>
      <c r="Y40" s="3">
        <v>46205</v>
      </c>
      <c r="Z40" s="3" t="s">
        <v>273</v>
      </c>
      <c r="AD40" s="3" t="s">
        <v>267</v>
      </c>
      <c r="AE40" s="3" t="s">
        <v>309</v>
      </c>
    </row>
    <row r="41" spans="1:31" x14ac:dyDescent="0.25">
      <c r="A41" s="7" t="s">
        <v>68</v>
      </c>
      <c r="B41" s="9" t="s">
        <v>57</v>
      </c>
      <c r="C41" s="13" t="s">
        <v>179</v>
      </c>
      <c r="D41" s="9" t="s">
        <v>217</v>
      </c>
      <c r="E41" s="9" t="s">
        <v>48</v>
      </c>
      <c r="F41" s="9" t="s">
        <v>216</v>
      </c>
      <c r="G41" s="7" t="s">
        <v>5</v>
      </c>
      <c r="H41" s="9" t="s">
        <v>218</v>
      </c>
      <c r="I41" s="41"/>
      <c r="J41" s="1"/>
      <c r="K41" s="1"/>
      <c r="L41" s="1"/>
      <c r="M41" s="1"/>
      <c r="N41" s="1"/>
      <c r="O41" s="1"/>
      <c r="Q41" s="43">
        <v>46136</v>
      </c>
      <c r="R41" s="44" t="s">
        <v>210</v>
      </c>
      <c r="S41" s="44"/>
      <c r="T41" s="44"/>
      <c r="U41" s="44" t="s">
        <v>267</v>
      </c>
      <c r="V41" s="44"/>
      <c r="W41" s="44" t="s">
        <v>268</v>
      </c>
      <c r="Y41" s="3">
        <v>46205</v>
      </c>
      <c r="Z41" s="3" t="s">
        <v>273</v>
      </c>
      <c r="AD41" s="3" t="s">
        <v>267</v>
      </c>
      <c r="AE41" s="3" t="s">
        <v>309</v>
      </c>
    </row>
    <row r="42" spans="1:31" x14ac:dyDescent="0.25">
      <c r="A42" s="14" t="s">
        <v>68</v>
      </c>
      <c r="B42" s="18" t="s">
        <v>57</v>
      </c>
      <c r="C42" s="14" t="s">
        <v>176</v>
      </c>
      <c r="D42" s="18" t="s">
        <v>221</v>
      </c>
      <c r="E42" s="18" t="s">
        <v>76</v>
      </c>
      <c r="F42" s="18" t="s">
        <v>222</v>
      </c>
      <c r="G42" s="14" t="s">
        <v>5</v>
      </c>
      <c r="H42" s="18" t="s">
        <v>218</v>
      </c>
      <c r="I42" s="43"/>
      <c r="J42" s="44"/>
      <c r="K42" s="44"/>
      <c r="L42" s="44"/>
      <c r="M42" s="44"/>
      <c r="N42" s="44"/>
      <c r="O42" s="44"/>
      <c r="Q42" s="41">
        <v>46136</v>
      </c>
      <c r="R42" s="1" t="s">
        <v>218</v>
      </c>
      <c r="S42" s="1"/>
      <c r="T42" s="1"/>
      <c r="U42" s="1" t="s">
        <v>267</v>
      </c>
      <c r="V42" s="1"/>
      <c r="W42" s="1" t="s">
        <v>367</v>
      </c>
      <c r="Y42" s="3">
        <v>46205</v>
      </c>
      <c r="Z42" s="3" t="s">
        <v>273</v>
      </c>
      <c r="AD42" s="3" t="s">
        <v>267</v>
      </c>
      <c r="AE42" s="3" t="s">
        <v>309</v>
      </c>
    </row>
    <row r="43" spans="1:31" x14ac:dyDescent="0.25">
      <c r="A43" s="7" t="s">
        <v>68</v>
      </c>
      <c r="B43" s="9" t="s">
        <v>57</v>
      </c>
      <c r="C43" s="13" t="s">
        <v>105</v>
      </c>
      <c r="D43" s="9" t="s">
        <v>402</v>
      </c>
      <c r="E43" s="9" t="s">
        <v>48</v>
      </c>
      <c r="F43" s="9" t="s">
        <v>216</v>
      </c>
      <c r="G43" s="7" t="s">
        <v>593</v>
      </c>
      <c r="H43" s="9" t="s">
        <v>218</v>
      </c>
      <c r="I43" s="41"/>
      <c r="J43" s="1"/>
      <c r="K43" s="1"/>
      <c r="L43" s="1"/>
      <c r="M43" s="1"/>
      <c r="N43" s="1"/>
      <c r="O43" s="1"/>
      <c r="Q43" s="43">
        <v>46136</v>
      </c>
      <c r="R43" s="44" t="s">
        <v>210</v>
      </c>
      <c r="S43" s="44"/>
      <c r="T43" s="44"/>
      <c r="U43" s="44" t="s">
        <v>267</v>
      </c>
      <c r="V43" s="44"/>
      <c r="W43" s="44" t="s">
        <v>367</v>
      </c>
      <c r="Y43" s="3">
        <v>46205</v>
      </c>
      <c r="Z43" s="3" t="s">
        <v>273</v>
      </c>
      <c r="AD43" s="3" t="s">
        <v>267</v>
      </c>
      <c r="AE43" s="3" t="s">
        <v>309</v>
      </c>
    </row>
    <row r="44" spans="1:31" x14ac:dyDescent="0.25">
      <c r="A44" s="14" t="s">
        <v>68</v>
      </c>
      <c r="B44" s="18" t="s">
        <v>57</v>
      </c>
      <c r="C44" s="14" t="s">
        <v>177</v>
      </c>
      <c r="D44" s="18" t="s">
        <v>221</v>
      </c>
      <c r="E44" s="18" t="s">
        <v>76</v>
      </c>
      <c r="F44" s="18" t="s">
        <v>222</v>
      </c>
      <c r="G44" s="14" t="s">
        <v>5</v>
      </c>
      <c r="H44" s="18" t="s">
        <v>210</v>
      </c>
      <c r="I44" s="43"/>
      <c r="J44" s="44"/>
      <c r="K44" s="44"/>
      <c r="L44" s="44"/>
      <c r="M44" s="44"/>
      <c r="N44" s="44"/>
      <c r="O44" s="44"/>
      <c r="Q44" s="41">
        <v>46136</v>
      </c>
      <c r="R44" s="1" t="s">
        <v>218</v>
      </c>
      <c r="S44" s="1"/>
      <c r="T44" s="1"/>
      <c r="U44" s="1" t="s">
        <v>267</v>
      </c>
      <c r="V44" s="1"/>
      <c r="W44" s="1" t="s">
        <v>367</v>
      </c>
      <c r="Y44" s="3">
        <v>46205</v>
      </c>
      <c r="Z44" s="3" t="s">
        <v>266</v>
      </c>
      <c r="AD44" s="3" t="s">
        <v>267</v>
      </c>
      <c r="AE44" s="3" t="s">
        <v>309</v>
      </c>
    </row>
    <row r="45" spans="1:31" x14ac:dyDescent="0.25">
      <c r="A45" s="7" t="s">
        <v>68</v>
      </c>
      <c r="B45" s="9" t="s">
        <v>615</v>
      </c>
      <c r="C45" s="13" t="s">
        <v>156</v>
      </c>
      <c r="D45" s="9" t="s">
        <v>225</v>
      </c>
      <c r="E45" s="9" t="s">
        <v>51</v>
      </c>
      <c r="F45" s="9" t="s">
        <v>209</v>
      </c>
      <c r="G45" s="7" t="s">
        <v>5</v>
      </c>
      <c r="H45" s="9" t="s">
        <v>218</v>
      </c>
      <c r="I45" s="41"/>
      <c r="J45" s="1"/>
      <c r="K45" s="1"/>
      <c r="L45" s="1"/>
      <c r="M45" s="1"/>
      <c r="N45" s="1"/>
      <c r="O45" s="1"/>
      <c r="Q45" s="43">
        <v>46136</v>
      </c>
      <c r="R45" s="44" t="s">
        <v>218</v>
      </c>
      <c r="S45" s="44"/>
      <c r="T45" s="44"/>
      <c r="U45" s="44" t="s">
        <v>267</v>
      </c>
      <c r="V45" s="44"/>
      <c r="W45" s="44" t="s">
        <v>367</v>
      </c>
      <c r="Y45" s="3">
        <v>46205</v>
      </c>
      <c r="Z45" s="3" t="s">
        <v>273</v>
      </c>
      <c r="AD45" s="3" t="s">
        <v>267</v>
      </c>
      <c r="AE45" s="3" t="s">
        <v>309</v>
      </c>
    </row>
    <row r="46" spans="1:31" x14ac:dyDescent="0.25">
      <c r="A46" s="14" t="s">
        <v>68</v>
      </c>
      <c r="B46" s="18" t="s">
        <v>616</v>
      </c>
      <c r="C46" s="14" t="s">
        <v>153</v>
      </c>
      <c r="D46" s="18" t="s">
        <v>225</v>
      </c>
      <c r="E46" s="18" t="s">
        <v>51</v>
      </c>
      <c r="F46" s="18" t="s">
        <v>209</v>
      </c>
      <c r="G46" s="14" t="s">
        <v>5</v>
      </c>
      <c r="H46" s="18" t="s">
        <v>218</v>
      </c>
      <c r="I46" s="43"/>
      <c r="J46" s="44"/>
      <c r="K46" s="44"/>
      <c r="L46" s="44"/>
      <c r="M46" s="44"/>
      <c r="N46" s="44"/>
      <c r="O46" s="44"/>
      <c r="Q46" s="41">
        <v>46136</v>
      </c>
      <c r="R46" s="1" t="s">
        <v>210</v>
      </c>
      <c r="S46" s="1" t="s">
        <v>267</v>
      </c>
      <c r="T46" s="1"/>
      <c r="U46" s="1"/>
      <c r="V46" s="1"/>
      <c r="W46" s="1" t="s">
        <v>367</v>
      </c>
    </row>
    <row r="47" spans="1:31" x14ac:dyDescent="0.25">
      <c r="A47" s="7" t="s">
        <v>68</v>
      </c>
      <c r="B47" s="9" t="s">
        <v>617</v>
      </c>
      <c r="C47" s="13" t="s">
        <v>159</v>
      </c>
      <c r="D47" s="9" t="s">
        <v>225</v>
      </c>
      <c r="E47" s="9" t="s">
        <v>51</v>
      </c>
      <c r="F47" s="9" t="s">
        <v>209</v>
      </c>
      <c r="G47" s="7" t="s">
        <v>5</v>
      </c>
      <c r="H47" s="9" t="s">
        <v>210</v>
      </c>
      <c r="I47" s="41"/>
      <c r="J47" s="1"/>
      <c r="K47" s="1"/>
      <c r="L47" s="1"/>
      <c r="M47" s="1"/>
      <c r="N47" s="1"/>
      <c r="O47" s="1"/>
      <c r="Q47" s="43">
        <v>46136</v>
      </c>
      <c r="R47" s="44" t="s">
        <v>218</v>
      </c>
      <c r="S47" s="44"/>
      <c r="T47" s="44"/>
      <c r="U47" s="44" t="s">
        <v>267</v>
      </c>
      <c r="V47" s="44"/>
      <c r="W47" s="44" t="s">
        <v>367</v>
      </c>
      <c r="Y47" s="3">
        <v>46205</v>
      </c>
      <c r="Z47" s="3" t="s">
        <v>266</v>
      </c>
      <c r="AC47" s="3" t="s">
        <v>267</v>
      </c>
      <c r="AE47" s="3" t="s">
        <v>309</v>
      </c>
    </row>
    <row r="48" spans="1:31" x14ac:dyDescent="0.25">
      <c r="A48" s="14" t="s">
        <v>68</v>
      </c>
      <c r="B48" s="18" t="s">
        <v>618</v>
      </c>
      <c r="C48" s="14" t="s">
        <v>75</v>
      </c>
      <c r="D48" s="18" t="s">
        <v>225</v>
      </c>
      <c r="E48" s="18" t="s">
        <v>51</v>
      </c>
      <c r="F48" s="18" t="s">
        <v>209</v>
      </c>
      <c r="G48" s="14" t="s">
        <v>5</v>
      </c>
      <c r="H48" s="18" t="s">
        <v>210</v>
      </c>
      <c r="I48" s="43"/>
      <c r="J48" s="44"/>
      <c r="K48" s="44"/>
      <c r="L48" s="44"/>
      <c r="M48" s="44"/>
      <c r="N48" s="44"/>
      <c r="O48" s="44"/>
      <c r="Y48" s="3">
        <v>46205</v>
      </c>
      <c r="Z48" s="3" t="s">
        <v>266</v>
      </c>
      <c r="AD48" s="3" t="s">
        <v>267</v>
      </c>
      <c r="AE48" s="3" t="s">
        <v>309</v>
      </c>
    </row>
    <row r="49" spans="1:31" x14ac:dyDescent="0.25">
      <c r="A49" s="7"/>
      <c r="B49" s="9"/>
      <c r="C49" s="13"/>
      <c r="D49" s="9"/>
      <c r="E49" s="9"/>
      <c r="F49" s="9"/>
      <c r="G49" s="7"/>
      <c r="H49" s="9"/>
      <c r="I49" s="137"/>
      <c r="J49" s="1"/>
      <c r="K49" s="1"/>
      <c r="L49" s="1"/>
      <c r="M49" s="1"/>
      <c r="N49" s="1"/>
      <c r="O49" s="1"/>
      <c r="Y49" s="137"/>
      <c r="Z49" s="1"/>
      <c r="AA49" s="1"/>
      <c r="AB49" s="1"/>
      <c r="AC49" s="1"/>
      <c r="AD49" s="1"/>
      <c r="AE49" s="1"/>
    </row>
    <row r="50" spans="1:31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31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31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31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31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31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31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31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31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31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31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31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31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31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31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7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3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3</v>
      </c>
      <c r="H119" s="4"/>
      <c r="I119" s="3"/>
    </row>
    <row r="120" spans="1:9" x14ac:dyDescent="0.25">
      <c r="A120" s="38" t="s">
        <v>76</v>
      </c>
      <c r="B120" s="7" t="s">
        <v>619</v>
      </c>
      <c r="C120" s="38">
        <f t="shared" si="0"/>
        <v>4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2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1</v>
      </c>
      <c r="H128" s="4"/>
      <c r="I128" s="3"/>
    </row>
    <row r="129" spans="1:9" x14ac:dyDescent="0.25">
      <c r="A129" s="39" t="s">
        <v>76</v>
      </c>
      <c r="B129" s="1" t="s">
        <v>619</v>
      </c>
      <c r="C129" s="38">
        <f t="shared" si="1"/>
        <v>3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8">
    <mergeCell ref="S4:V4"/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D52B-C2F2-403F-B16D-9EC7EAC43D43}">
  <sheetPr>
    <tabColor rgb="FF92D050"/>
    <pageSetUpPr fitToPage="1"/>
  </sheetPr>
  <dimension ref="A1:AE130"/>
  <sheetViews>
    <sheetView showGridLines="0" zoomScale="70" zoomScaleNormal="70" zoomScaleSheetLayoutView="70" workbookViewId="0">
      <selection activeCell="D11" sqref="D11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1.285156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4.85546875" style="3" bestFit="1" customWidth="1"/>
    <col min="19" max="19" width="2.85546875" style="3" bestFit="1" customWidth="1"/>
    <col min="20" max="22" width="9.140625" style="3"/>
    <col min="23" max="23" width="10.28515625" style="3" bestFit="1" customWidth="1"/>
    <col min="24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1067</v>
      </c>
      <c r="C3" s="26"/>
      <c r="D3" s="35" t="s">
        <v>333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31" s="2" customFormat="1" ht="15.75" customHeight="1" x14ac:dyDescent="0.25">
      <c r="C4" s="24"/>
      <c r="I4" s="20"/>
    </row>
    <row r="5" spans="1:31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/>
      <c r="B7" s="9"/>
      <c r="C7" s="13"/>
      <c r="D7" s="9"/>
      <c r="E7" s="9"/>
      <c r="F7" s="9"/>
      <c r="G7" s="7"/>
      <c r="H7" s="9"/>
      <c r="I7" s="41"/>
      <c r="J7" s="1"/>
      <c r="K7" s="1"/>
      <c r="L7" s="1"/>
      <c r="M7" s="1"/>
      <c r="N7" s="1"/>
      <c r="O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14"/>
      <c r="B8" s="18"/>
      <c r="C8" s="14"/>
      <c r="D8" s="18"/>
      <c r="E8" s="18"/>
      <c r="F8" s="18"/>
      <c r="G8" s="14"/>
      <c r="H8" s="18"/>
      <c r="I8" s="43"/>
      <c r="J8" s="44"/>
      <c r="K8" s="44"/>
      <c r="L8" s="44"/>
      <c r="M8" s="44"/>
      <c r="N8" s="44"/>
      <c r="O8" s="4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/>
      <c r="B9" s="9"/>
      <c r="C9" s="13"/>
      <c r="D9" s="9"/>
      <c r="E9" s="9"/>
      <c r="F9" s="9"/>
      <c r="G9" s="7"/>
      <c r="H9" s="9"/>
      <c r="I9" s="41"/>
      <c r="J9" s="1"/>
      <c r="K9" s="1"/>
      <c r="L9" s="1"/>
      <c r="M9" s="1"/>
      <c r="N9" s="1"/>
      <c r="O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14"/>
      <c r="B10" s="18"/>
      <c r="C10" s="14"/>
      <c r="D10" s="18"/>
      <c r="E10" s="18"/>
      <c r="F10" s="18"/>
      <c r="G10" s="14"/>
      <c r="H10" s="18"/>
      <c r="I10" s="43"/>
      <c r="J10" s="44"/>
      <c r="K10" s="44"/>
      <c r="L10" s="44"/>
      <c r="M10" s="44"/>
      <c r="N10" s="44"/>
      <c r="O10" s="4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/>
      <c r="B11" s="9"/>
      <c r="C11" s="13"/>
      <c r="D11" s="9"/>
      <c r="E11" s="9"/>
      <c r="F11" s="9"/>
      <c r="G11" s="7"/>
      <c r="H11" s="9"/>
      <c r="I11" s="41"/>
      <c r="J11" s="1"/>
      <c r="K11" s="1"/>
      <c r="L11" s="1"/>
      <c r="M11" s="1"/>
      <c r="N11" s="1"/>
      <c r="O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14"/>
      <c r="B12" s="18"/>
      <c r="C12" s="14"/>
      <c r="D12" s="18"/>
      <c r="E12" s="18"/>
      <c r="F12" s="18"/>
      <c r="G12" s="14"/>
      <c r="H12" s="18"/>
      <c r="I12" s="43"/>
      <c r="J12" s="44"/>
      <c r="K12" s="44"/>
      <c r="L12" s="44"/>
      <c r="M12" s="44"/>
      <c r="N12" s="44"/>
      <c r="O12" s="4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/>
      <c r="B13" s="9"/>
      <c r="C13" s="13"/>
      <c r="D13" s="9"/>
      <c r="E13" s="9"/>
      <c r="F13" s="9"/>
      <c r="G13" s="7"/>
      <c r="H13" s="9"/>
      <c r="I13" s="41"/>
      <c r="J13" s="1"/>
      <c r="K13" s="1"/>
      <c r="L13" s="1"/>
      <c r="M13" s="1"/>
      <c r="N13" s="1"/>
      <c r="O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14"/>
      <c r="B14" s="18"/>
      <c r="C14" s="14"/>
      <c r="D14" s="18"/>
      <c r="E14" s="18"/>
      <c r="F14" s="18"/>
      <c r="G14" s="14"/>
      <c r="H14" s="18"/>
      <c r="I14" s="43"/>
      <c r="J14" s="44"/>
      <c r="K14" s="44"/>
      <c r="L14" s="44"/>
      <c r="M14" s="44"/>
      <c r="N14" s="44"/>
      <c r="O14" s="4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7"/>
      <c r="B15" s="9"/>
      <c r="C15" s="13"/>
      <c r="D15" s="9"/>
      <c r="E15" s="9"/>
      <c r="F15" s="9"/>
      <c r="G15" s="7"/>
      <c r="H15" s="9"/>
      <c r="I15" s="41"/>
      <c r="J15" s="1"/>
      <c r="K15" s="1"/>
      <c r="L15" s="1"/>
      <c r="M15" s="1"/>
      <c r="N15" s="1"/>
      <c r="O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14"/>
      <c r="B16" s="18"/>
      <c r="C16" s="14"/>
      <c r="D16" s="18"/>
      <c r="E16" s="18"/>
      <c r="F16" s="18"/>
      <c r="G16" s="14"/>
      <c r="H16" s="18"/>
      <c r="I16" s="43"/>
      <c r="J16" s="44"/>
      <c r="K16" s="44"/>
      <c r="L16" s="44"/>
      <c r="M16" s="44"/>
      <c r="N16" s="44"/>
      <c r="O16" s="4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7"/>
      <c r="B17" s="9"/>
      <c r="C17" s="13"/>
      <c r="D17" s="9"/>
      <c r="E17" s="9"/>
      <c r="F17" s="9"/>
      <c r="G17" s="7"/>
      <c r="H17" s="9"/>
      <c r="I17" s="41"/>
      <c r="J17" s="1"/>
      <c r="K17" s="1"/>
      <c r="L17" s="1"/>
      <c r="M17" s="1"/>
      <c r="N17" s="1"/>
      <c r="O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14"/>
      <c r="B18" s="18"/>
      <c r="C18" s="14"/>
      <c r="D18" s="18"/>
      <c r="E18" s="18"/>
      <c r="F18" s="18"/>
      <c r="G18" s="14"/>
      <c r="H18" s="18"/>
      <c r="I18" s="43"/>
      <c r="J18" s="44"/>
      <c r="K18" s="44"/>
      <c r="L18" s="44"/>
      <c r="M18" s="44"/>
      <c r="N18" s="44"/>
      <c r="O18" s="4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/>
      <c r="B19" s="9"/>
      <c r="C19" s="13"/>
      <c r="D19" s="9"/>
      <c r="E19" s="9"/>
      <c r="F19" s="9"/>
      <c r="G19" s="7"/>
      <c r="H19" s="9"/>
      <c r="I19" s="41"/>
      <c r="J19" s="1"/>
      <c r="K19" s="1"/>
      <c r="L19" s="1"/>
      <c r="M19" s="1"/>
      <c r="N19" s="1"/>
      <c r="O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14"/>
      <c r="B20" s="18"/>
      <c r="C20" s="14"/>
      <c r="D20" s="18"/>
      <c r="E20" s="18"/>
      <c r="F20" s="18"/>
      <c r="G20" s="14"/>
      <c r="H20" s="18"/>
      <c r="I20" s="43"/>
      <c r="J20" s="44"/>
      <c r="K20" s="44"/>
      <c r="L20" s="44"/>
      <c r="M20" s="44"/>
      <c r="N20" s="44"/>
      <c r="O20" s="4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/>
      <c r="B21" s="9"/>
      <c r="C21" s="13"/>
      <c r="D21" s="9"/>
      <c r="E21" s="9"/>
      <c r="F21" s="9"/>
      <c r="G21" s="7"/>
      <c r="H21" s="9"/>
      <c r="I21" s="41"/>
      <c r="J21" s="1"/>
      <c r="K21" s="1"/>
      <c r="L21" s="1"/>
      <c r="M21" s="1"/>
      <c r="N21" s="1"/>
      <c r="O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14"/>
      <c r="B22" s="18"/>
      <c r="C22" s="14"/>
      <c r="D22" s="18"/>
      <c r="E22" s="18"/>
      <c r="F22" s="18"/>
      <c r="G22" s="14"/>
      <c r="H22" s="18"/>
      <c r="I22" s="43"/>
      <c r="J22" s="44"/>
      <c r="K22" s="44"/>
      <c r="L22" s="44"/>
      <c r="M22" s="44"/>
      <c r="N22" s="44"/>
      <c r="O22" s="4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7"/>
      <c r="B23" s="9"/>
      <c r="C23" s="13"/>
      <c r="D23" s="9"/>
      <c r="E23" s="9"/>
      <c r="F23" s="9"/>
      <c r="G23" s="7"/>
      <c r="H23" s="9"/>
      <c r="I23" s="41"/>
      <c r="J23" s="1"/>
      <c r="K23" s="1"/>
      <c r="L23" s="1"/>
      <c r="M23" s="1"/>
      <c r="N23" s="1"/>
      <c r="O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14"/>
      <c r="B24" s="18"/>
      <c r="C24" s="14"/>
      <c r="D24" s="18"/>
      <c r="E24" s="18"/>
      <c r="F24" s="18"/>
      <c r="G24" s="14"/>
      <c r="H24" s="18"/>
      <c r="I24" s="43"/>
      <c r="J24" s="44"/>
      <c r="K24" s="44"/>
      <c r="L24" s="44"/>
      <c r="M24" s="44"/>
      <c r="N24" s="44"/>
      <c r="O24" s="4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7"/>
      <c r="B25" s="9"/>
      <c r="C25" s="13"/>
      <c r="D25" s="9"/>
      <c r="E25" s="9"/>
      <c r="F25" s="9"/>
      <c r="G25" s="7"/>
      <c r="H25" s="9"/>
      <c r="I25" s="41"/>
      <c r="J25" s="1"/>
      <c r="K25" s="1"/>
      <c r="L25" s="1"/>
      <c r="M25" s="1"/>
      <c r="N25" s="1"/>
      <c r="O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14"/>
      <c r="B26" s="18"/>
      <c r="C26" s="14"/>
      <c r="D26" s="18"/>
      <c r="E26" s="18"/>
      <c r="F26" s="18"/>
      <c r="G26" s="14"/>
      <c r="H26" s="18"/>
      <c r="I26" s="43"/>
      <c r="J26" s="44"/>
      <c r="K26" s="44"/>
      <c r="L26" s="44"/>
      <c r="M26" s="44"/>
      <c r="N26" s="44"/>
      <c r="O26" s="4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7"/>
      <c r="B27" s="9"/>
      <c r="C27" s="13"/>
      <c r="D27" s="9"/>
      <c r="E27" s="9"/>
      <c r="F27" s="9"/>
      <c r="G27" s="7"/>
      <c r="H27" s="9"/>
      <c r="I27" s="41"/>
      <c r="J27" s="1"/>
      <c r="K27" s="1"/>
      <c r="L27" s="1"/>
      <c r="M27" s="1"/>
      <c r="N27" s="1"/>
      <c r="O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14"/>
      <c r="B28" s="18"/>
      <c r="C28" s="14"/>
      <c r="D28" s="18"/>
      <c r="E28" s="18"/>
      <c r="F28" s="18"/>
      <c r="G28" s="14"/>
      <c r="H28" s="18"/>
      <c r="I28" s="43"/>
      <c r="J28" s="44"/>
      <c r="K28" s="44"/>
      <c r="L28" s="44"/>
      <c r="M28" s="44"/>
      <c r="N28" s="44"/>
      <c r="O28" s="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7"/>
      <c r="B29" s="9"/>
      <c r="C29" s="13"/>
      <c r="D29" s="9"/>
      <c r="E29" s="9"/>
      <c r="F29" s="9"/>
      <c r="G29" s="7"/>
      <c r="H29" s="9"/>
      <c r="I29" s="41"/>
      <c r="J29" s="1"/>
      <c r="K29" s="1"/>
      <c r="L29" s="1"/>
      <c r="M29" s="1"/>
      <c r="N29" s="1"/>
      <c r="O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14"/>
      <c r="B30" s="18"/>
      <c r="C30" s="14"/>
      <c r="D30" s="18"/>
      <c r="E30" s="18"/>
      <c r="F30" s="18"/>
      <c r="G30" s="14"/>
      <c r="H30" s="18"/>
      <c r="I30" s="43"/>
      <c r="J30" s="44"/>
      <c r="K30" s="44"/>
      <c r="L30" s="44"/>
      <c r="M30" s="44"/>
      <c r="N30" s="44"/>
      <c r="O30" s="4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7"/>
      <c r="B31" s="9"/>
      <c r="C31" s="13"/>
      <c r="D31" s="9"/>
      <c r="E31" s="9"/>
      <c r="F31" s="9"/>
      <c r="G31" s="7"/>
      <c r="H31" s="9"/>
      <c r="I31" s="41"/>
      <c r="J31" s="1"/>
      <c r="K31" s="1"/>
      <c r="L31" s="1"/>
      <c r="M31" s="1"/>
      <c r="N31" s="1"/>
      <c r="O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14"/>
      <c r="B32" s="18"/>
      <c r="C32" s="14"/>
      <c r="D32" s="18"/>
      <c r="E32" s="18"/>
      <c r="F32" s="18"/>
      <c r="G32" s="14"/>
      <c r="H32" s="18"/>
      <c r="I32" s="43"/>
      <c r="J32" s="44"/>
      <c r="K32" s="44"/>
      <c r="L32" s="44"/>
      <c r="M32" s="44"/>
      <c r="N32" s="44"/>
      <c r="O32" s="4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8" customHeight="1" x14ac:dyDescent="0.25">
      <c r="A33" s="7"/>
      <c r="B33" s="9"/>
      <c r="C33" s="13"/>
      <c r="D33" s="9"/>
      <c r="E33" s="9"/>
      <c r="F33" s="9"/>
      <c r="G33" s="7"/>
      <c r="H33" s="9"/>
      <c r="I33" s="41"/>
      <c r="J33" s="1"/>
      <c r="K33" s="1"/>
      <c r="L33" s="1"/>
      <c r="M33" s="1"/>
      <c r="N33" s="1"/>
      <c r="O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14"/>
      <c r="B34" s="18"/>
      <c r="C34" s="14"/>
      <c r="D34" s="18"/>
      <c r="E34" s="18"/>
      <c r="F34" s="18"/>
      <c r="G34" s="14"/>
      <c r="H34" s="18"/>
      <c r="I34" s="43"/>
      <c r="J34" s="44"/>
      <c r="K34" s="44"/>
      <c r="L34" s="44"/>
      <c r="M34" s="44"/>
      <c r="N34" s="44"/>
      <c r="O34" s="4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7"/>
      <c r="B35" s="9"/>
      <c r="C35" s="13"/>
      <c r="D35" s="9"/>
      <c r="E35" s="9"/>
      <c r="F35" s="9"/>
      <c r="G35" s="7"/>
      <c r="H35" s="9"/>
      <c r="I35" s="41"/>
      <c r="J35" s="1"/>
      <c r="K35" s="1"/>
      <c r="L35" s="1"/>
      <c r="M35" s="1"/>
      <c r="N35" s="1"/>
      <c r="O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14"/>
      <c r="B36" s="18"/>
      <c r="C36" s="14"/>
      <c r="D36" s="18"/>
      <c r="E36" s="18"/>
      <c r="F36" s="18"/>
      <c r="G36" s="14"/>
      <c r="H36" s="18"/>
      <c r="I36" s="43"/>
      <c r="J36" s="44"/>
      <c r="K36" s="44"/>
      <c r="L36" s="44"/>
      <c r="M36" s="44"/>
      <c r="N36" s="44"/>
      <c r="O36" s="4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7"/>
      <c r="B37" s="9"/>
      <c r="C37" s="13"/>
      <c r="D37" s="9"/>
      <c r="E37" s="9"/>
      <c r="F37" s="9"/>
      <c r="G37" s="7"/>
      <c r="H37" s="9"/>
      <c r="I37" s="41"/>
      <c r="J37" s="1"/>
      <c r="K37" s="1"/>
      <c r="L37" s="1"/>
      <c r="M37" s="1"/>
      <c r="N37" s="1"/>
      <c r="O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14"/>
      <c r="B38" s="18"/>
      <c r="C38" s="14"/>
      <c r="D38" s="18"/>
      <c r="E38" s="18"/>
      <c r="F38" s="18"/>
      <c r="G38" s="14"/>
      <c r="H38" s="18"/>
      <c r="I38" s="43"/>
      <c r="J38" s="44"/>
      <c r="K38" s="44"/>
      <c r="L38" s="44"/>
      <c r="M38" s="44"/>
      <c r="N38" s="44"/>
      <c r="O38" s="4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7"/>
      <c r="B39" s="9"/>
      <c r="C39" s="13"/>
      <c r="D39" s="9"/>
      <c r="E39" s="9"/>
      <c r="F39" s="9"/>
      <c r="G39" s="7"/>
      <c r="H39" s="9"/>
      <c r="I39" s="41"/>
      <c r="J39" s="1"/>
      <c r="K39" s="1"/>
      <c r="L39" s="1"/>
      <c r="M39" s="1"/>
      <c r="N39" s="1"/>
      <c r="O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14"/>
      <c r="B40" s="18"/>
      <c r="C40" s="14"/>
      <c r="D40" s="18"/>
      <c r="E40" s="18"/>
      <c r="F40" s="18"/>
      <c r="G40" s="14"/>
      <c r="H40" s="18"/>
      <c r="I40" s="43"/>
      <c r="J40" s="44"/>
      <c r="K40" s="44"/>
      <c r="L40" s="44"/>
      <c r="M40" s="44"/>
      <c r="N40" s="44"/>
      <c r="O40" s="4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7"/>
      <c r="B41" s="9"/>
      <c r="C41" s="13"/>
      <c r="D41" s="9"/>
      <c r="E41" s="9"/>
      <c r="F41" s="9"/>
      <c r="G41" s="7"/>
      <c r="H41" s="9"/>
      <c r="I41" s="41"/>
      <c r="J41" s="1"/>
      <c r="K41" s="1"/>
      <c r="L41" s="1"/>
      <c r="M41" s="1"/>
      <c r="N41" s="1"/>
      <c r="O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14"/>
      <c r="B42" s="18"/>
      <c r="C42" s="14"/>
      <c r="D42" s="18"/>
      <c r="E42" s="18"/>
      <c r="F42" s="18"/>
      <c r="G42" s="14"/>
      <c r="H42" s="18"/>
      <c r="I42" s="43"/>
      <c r="J42" s="44"/>
      <c r="K42" s="44"/>
      <c r="L42" s="44"/>
      <c r="M42" s="44"/>
      <c r="N42" s="44"/>
      <c r="O42" s="4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7"/>
      <c r="B43" s="9"/>
      <c r="C43" s="13"/>
      <c r="D43" s="9"/>
      <c r="E43" s="9"/>
      <c r="F43" s="9"/>
      <c r="G43" s="7"/>
      <c r="H43" s="9"/>
      <c r="I43" s="41"/>
      <c r="J43" s="1"/>
      <c r="K43" s="1"/>
      <c r="L43" s="1"/>
      <c r="M43" s="1"/>
      <c r="N43" s="1"/>
      <c r="O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14"/>
      <c r="B44" s="18"/>
      <c r="C44" s="14"/>
      <c r="D44" s="18"/>
      <c r="E44" s="18"/>
      <c r="F44" s="18"/>
      <c r="G44" s="14"/>
      <c r="H44" s="18"/>
      <c r="I44" s="43"/>
      <c r="J44" s="44"/>
      <c r="K44" s="44"/>
      <c r="L44" s="44"/>
      <c r="M44" s="44"/>
      <c r="N44" s="44"/>
      <c r="O44" s="4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7"/>
      <c r="B45" s="9"/>
      <c r="C45" s="13"/>
      <c r="D45" s="9"/>
      <c r="E45" s="9"/>
      <c r="F45" s="9"/>
      <c r="G45" s="7"/>
      <c r="H45" s="9"/>
      <c r="I45" s="41"/>
      <c r="J45" s="1"/>
      <c r="K45" s="1"/>
      <c r="L45" s="1"/>
      <c r="M45" s="1"/>
      <c r="N45" s="1"/>
      <c r="O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14"/>
      <c r="B46" s="18"/>
      <c r="C46" s="14"/>
      <c r="D46" s="18"/>
      <c r="E46" s="18"/>
      <c r="F46" s="18"/>
      <c r="G46" s="14"/>
      <c r="H46" s="18"/>
      <c r="I46" s="43"/>
      <c r="J46" s="44"/>
      <c r="K46" s="44"/>
      <c r="L46" s="44"/>
      <c r="M46" s="44"/>
      <c r="N46" s="44"/>
      <c r="O46" s="4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7"/>
      <c r="B47" s="9"/>
      <c r="C47" s="13"/>
      <c r="D47" s="9"/>
      <c r="E47" s="9"/>
      <c r="F47" s="9"/>
      <c r="G47" s="7"/>
      <c r="H47" s="9"/>
      <c r="I47" s="41"/>
      <c r="J47" s="1"/>
      <c r="K47" s="1"/>
      <c r="L47" s="1"/>
      <c r="M47" s="1"/>
      <c r="N47" s="1"/>
      <c r="O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14"/>
      <c r="B48" s="18"/>
      <c r="C48" s="14"/>
      <c r="D48" s="18"/>
      <c r="E48" s="18"/>
      <c r="F48" s="18"/>
      <c r="G48" s="14"/>
      <c r="H48" s="18"/>
      <c r="I48" s="43"/>
      <c r="J48" s="44"/>
      <c r="K48" s="44"/>
      <c r="L48" s="44"/>
      <c r="M48" s="44"/>
      <c r="N48" s="44"/>
      <c r="O48" s="4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7"/>
      <c r="B49" s="9"/>
      <c r="C49" s="13"/>
      <c r="D49" s="9"/>
      <c r="E49" s="9"/>
      <c r="F49" s="9"/>
      <c r="G49" s="7"/>
      <c r="H49" s="9"/>
      <c r="I49" s="137"/>
      <c r="J49" s="1"/>
      <c r="K49" s="1"/>
      <c r="L49" s="1"/>
      <c r="M49" s="1"/>
      <c r="N49" s="1"/>
      <c r="O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619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619</v>
      </c>
      <c r="C129" s="38">
        <f t="shared" si="1"/>
        <v>0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1CBE-F480-4C61-99AA-FA15CBA13991}">
  <sheetPr>
    <tabColor rgb="FF92D050"/>
    <pageSetUpPr fitToPage="1"/>
  </sheetPr>
  <dimension ref="A1:AE130"/>
  <sheetViews>
    <sheetView showGridLines="0" zoomScale="70" zoomScaleNormal="70" zoomScaleSheetLayoutView="70" workbookViewId="0">
      <selection activeCell="E10" sqref="E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1.285156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4.85546875" style="3" bestFit="1" customWidth="1"/>
    <col min="19" max="19" width="2.85546875" style="3" bestFit="1" customWidth="1"/>
    <col min="20" max="22" width="9.140625" style="3"/>
    <col min="23" max="23" width="10.28515625" style="3" bestFit="1" customWidth="1"/>
    <col min="24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1064</v>
      </c>
      <c r="C3" s="26"/>
      <c r="D3" s="35" t="s">
        <v>333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31" s="2" customFormat="1" ht="15.75" customHeight="1" x14ac:dyDescent="0.25">
      <c r="C4" s="24"/>
      <c r="I4" s="20"/>
    </row>
    <row r="5" spans="1:31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/>
      <c r="B7" s="9"/>
      <c r="C7" s="13"/>
      <c r="D7" s="9"/>
      <c r="E7" s="9"/>
      <c r="F7" s="9"/>
      <c r="G7" s="7"/>
      <c r="H7" s="9"/>
      <c r="I7" s="41"/>
      <c r="J7" s="1"/>
      <c r="K7" s="1"/>
      <c r="L7" s="1"/>
      <c r="M7" s="1"/>
      <c r="N7" s="1"/>
      <c r="O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14"/>
      <c r="B8" s="18"/>
      <c r="C8" s="14"/>
      <c r="D8" s="18"/>
      <c r="E8" s="18"/>
      <c r="F8" s="18"/>
      <c r="G8" s="14"/>
      <c r="H8" s="18"/>
      <c r="I8" s="43"/>
      <c r="J8" s="44"/>
      <c r="K8" s="44"/>
      <c r="L8" s="44"/>
      <c r="M8" s="44"/>
      <c r="N8" s="44"/>
      <c r="O8" s="4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/>
      <c r="B9" s="9"/>
      <c r="C9" s="13"/>
      <c r="D9" s="9"/>
      <c r="E9" s="9"/>
      <c r="F9" s="9"/>
      <c r="G9" s="7"/>
      <c r="H9" s="9"/>
      <c r="I9" s="41"/>
      <c r="J9" s="1"/>
      <c r="K9" s="1"/>
      <c r="L9" s="1"/>
      <c r="M9" s="1"/>
      <c r="N9" s="1"/>
      <c r="O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14"/>
      <c r="B10" s="18"/>
      <c r="C10" s="14"/>
      <c r="D10" s="18"/>
      <c r="E10" s="18"/>
      <c r="F10" s="18"/>
      <c r="G10" s="14"/>
      <c r="H10" s="18"/>
      <c r="I10" s="43"/>
      <c r="J10" s="44"/>
      <c r="K10" s="44"/>
      <c r="L10" s="44"/>
      <c r="M10" s="44"/>
      <c r="N10" s="44"/>
      <c r="O10" s="4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/>
      <c r="B11" s="9"/>
      <c r="C11" s="13"/>
      <c r="D11" s="9"/>
      <c r="E11" s="9"/>
      <c r="F11" s="9"/>
      <c r="G11" s="7"/>
      <c r="H11" s="9"/>
      <c r="I11" s="41"/>
      <c r="J11" s="1"/>
      <c r="K11" s="1"/>
      <c r="L11" s="1"/>
      <c r="M11" s="1"/>
      <c r="N11" s="1"/>
      <c r="O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14"/>
      <c r="B12" s="18"/>
      <c r="C12" s="14"/>
      <c r="D12" s="18"/>
      <c r="E12" s="18"/>
      <c r="F12" s="18"/>
      <c r="G12" s="14"/>
      <c r="H12" s="18"/>
      <c r="I12" s="43"/>
      <c r="J12" s="44"/>
      <c r="K12" s="44"/>
      <c r="L12" s="44"/>
      <c r="M12" s="44"/>
      <c r="N12" s="44"/>
      <c r="O12" s="4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/>
      <c r="B13" s="9"/>
      <c r="C13" s="13"/>
      <c r="D13" s="9"/>
      <c r="E13" s="9"/>
      <c r="F13" s="9"/>
      <c r="G13" s="7"/>
      <c r="H13" s="9"/>
      <c r="I13" s="41"/>
      <c r="J13" s="1"/>
      <c r="K13" s="1"/>
      <c r="L13" s="1"/>
      <c r="M13" s="1"/>
      <c r="N13" s="1"/>
      <c r="O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14"/>
      <c r="B14" s="18"/>
      <c r="C14" s="14"/>
      <c r="D14" s="18"/>
      <c r="E14" s="18"/>
      <c r="F14" s="18"/>
      <c r="G14" s="14"/>
      <c r="H14" s="18"/>
      <c r="I14" s="43"/>
      <c r="J14" s="44"/>
      <c r="K14" s="44"/>
      <c r="L14" s="44"/>
      <c r="M14" s="44"/>
      <c r="N14" s="44"/>
      <c r="O14" s="4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7"/>
      <c r="B15" s="9"/>
      <c r="C15" s="13"/>
      <c r="D15" s="9"/>
      <c r="E15" s="9"/>
      <c r="F15" s="9"/>
      <c r="G15" s="7"/>
      <c r="H15" s="9"/>
      <c r="I15" s="41"/>
      <c r="J15" s="1"/>
      <c r="K15" s="1"/>
      <c r="L15" s="1"/>
      <c r="M15" s="1"/>
      <c r="N15" s="1"/>
      <c r="O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14"/>
      <c r="B16" s="18"/>
      <c r="C16" s="14"/>
      <c r="D16" s="18"/>
      <c r="E16" s="18"/>
      <c r="F16" s="18"/>
      <c r="G16" s="14"/>
      <c r="H16" s="18"/>
      <c r="I16" s="43"/>
      <c r="J16" s="44"/>
      <c r="K16" s="44"/>
      <c r="L16" s="44"/>
      <c r="M16" s="44"/>
      <c r="N16" s="44"/>
      <c r="O16" s="4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7"/>
      <c r="B17" s="9"/>
      <c r="C17" s="13"/>
      <c r="D17" s="9"/>
      <c r="E17" s="9"/>
      <c r="F17" s="9"/>
      <c r="G17" s="7"/>
      <c r="H17" s="9"/>
      <c r="I17" s="41"/>
      <c r="J17" s="1"/>
      <c r="K17" s="1"/>
      <c r="L17" s="1"/>
      <c r="M17" s="1"/>
      <c r="N17" s="1"/>
      <c r="O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14"/>
      <c r="B18" s="18"/>
      <c r="C18" s="14"/>
      <c r="D18" s="18"/>
      <c r="E18" s="18"/>
      <c r="F18" s="18"/>
      <c r="G18" s="14"/>
      <c r="H18" s="18"/>
      <c r="I18" s="43"/>
      <c r="J18" s="44"/>
      <c r="K18" s="44"/>
      <c r="L18" s="44"/>
      <c r="M18" s="44"/>
      <c r="N18" s="44"/>
      <c r="O18" s="4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/>
      <c r="B19" s="9"/>
      <c r="C19" s="13"/>
      <c r="D19" s="9"/>
      <c r="E19" s="9"/>
      <c r="F19" s="9"/>
      <c r="G19" s="7"/>
      <c r="H19" s="9"/>
      <c r="I19" s="41"/>
      <c r="J19" s="1"/>
      <c r="K19" s="1"/>
      <c r="L19" s="1"/>
      <c r="M19" s="1"/>
      <c r="N19" s="1"/>
      <c r="O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14"/>
      <c r="B20" s="18"/>
      <c r="C20" s="14"/>
      <c r="D20" s="18"/>
      <c r="E20" s="18"/>
      <c r="F20" s="18"/>
      <c r="G20" s="14"/>
      <c r="H20" s="18"/>
      <c r="I20" s="43"/>
      <c r="J20" s="44"/>
      <c r="K20" s="44"/>
      <c r="L20" s="44"/>
      <c r="M20" s="44"/>
      <c r="N20" s="44"/>
      <c r="O20" s="4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/>
      <c r="B21" s="9"/>
      <c r="C21" s="13"/>
      <c r="D21" s="9"/>
      <c r="E21" s="9"/>
      <c r="F21" s="9"/>
      <c r="G21" s="7"/>
      <c r="H21" s="9"/>
      <c r="I21" s="41"/>
      <c r="J21" s="1"/>
      <c r="K21" s="1"/>
      <c r="L21" s="1"/>
      <c r="M21" s="1"/>
      <c r="N21" s="1"/>
      <c r="O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14"/>
      <c r="B22" s="18"/>
      <c r="C22" s="14"/>
      <c r="D22" s="18"/>
      <c r="E22" s="18"/>
      <c r="F22" s="18"/>
      <c r="G22" s="14"/>
      <c r="H22" s="18"/>
      <c r="I22" s="43"/>
      <c r="J22" s="44"/>
      <c r="K22" s="44"/>
      <c r="L22" s="44"/>
      <c r="M22" s="44"/>
      <c r="N22" s="44"/>
      <c r="O22" s="4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7"/>
      <c r="B23" s="9"/>
      <c r="C23" s="13"/>
      <c r="D23" s="9"/>
      <c r="E23" s="9"/>
      <c r="F23" s="9"/>
      <c r="G23" s="7"/>
      <c r="H23" s="9"/>
      <c r="I23" s="41"/>
      <c r="J23" s="1"/>
      <c r="K23" s="1"/>
      <c r="L23" s="1"/>
      <c r="M23" s="1"/>
      <c r="N23" s="1"/>
      <c r="O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14"/>
      <c r="B24" s="18"/>
      <c r="C24" s="14"/>
      <c r="D24" s="18"/>
      <c r="E24" s="18"/>
      <c r="F24" s="18"/>
      <c r="G24" s="14"/>
      <c r="H24" s="18"/>
      <c r="I24" s="43"/>
      <c r="J24" s="44"/>
      <c r="K24" s="44"/>
      <c r="L24" s="44"/>
      <c r="M24" s="44"/>
      <c r="N24" s="44"/>
      <c r="O24" s="4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7"/>
      <c r="B25" s="9"/>
      <c r="C25" s="13"/>
      <c r="D25" s="9"/>
      <c r="E25" s="9"/>
      <c r="F25" s="9"/>
      <c r="G25" s="7"/>
      <c r="H25" s="9"/>
      <c r="I25" s="41"/>
      <c r="J25" s="1"/>
      <c r="K25" s="1"/>
      <c r="L25" s="1"/>
      <c r="M25" s="1"/>
      <c r="N25" s="1"/>
      <c r="O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14"/>
      <c r="B26" s="18"/>
      <c r="C26" s="14"/>
      <c r="D26" s="18"/>
      <c r="E26" s="18"/>
      <c r="F26" s="18"/>
      <c r="G26" s="14"/>
      <c r="H26" s="18"/>
      <c r="I26" s="43"/>
      <c r="J26" s="44"/>
      <c r="K26" s="44"/>
      <c r="L26" s="44"/>
      <c r="M26" s="44"/>
      <c r="N26" s="44"/>
      <c r="O26" s="4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7"/>
      <c r="B27" s="9"/>
      <c r="C27" s="13"/>
      <c r="D27" s="9"/>
      <c r="E27" s="9"/>
      <c r="F27" s="9"/>
      <c r="G27" s="7"/>
      <c r="H27" s="9"/>
      <c r="I27" s="41"/>
      <c r="J27" s="1"/>
      <c r="K27" s="1"/>
      <c r="L27" s="1"/>
      <c r="M27" s="1"/>
      <c r="N27" s="1"/>
      <c r="O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14"/>
      <c r="B28" s="18"/>
      <c r="C28" s="14"/>
      <c r="D28" s="18"/>
      <c r="E28" s="18"/>
      <c r="F28" s="18"/>
      <c r="G28" s="14"/>
      <c r="H28" s="18"/>
      <c r="I28" s="43"/>
      <c r="J28" s="44"/>
      <c r="K28" s="44"/>
      <c r="L28" s="44"/>
      <c r="M28" s="44"/>
      <c r="N28" s="44"/>
      <c r="O28" s="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7"/>
      <c r="B29" s="9"/>
      <c r="C29" s="13"/>
      <c r="D29" s="9"/>
      <c r="E29" s="9"/>
      <c r="F29" s="9"/>
      <c r="G29" s="7"/>
      <c r="H29" s="9"/>
      <c r="I29" s="41"/>
      <c r="J29" s="1"/>
      <c r="K29" s="1"/>
      <c r="L29" s="1"/>
      <c r="M29" s="1"/>
      <c r="N29" s="1"/>
      <c r="O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14"/>
      <c r="B30" s="18"/>
      <c r="C30" s="14"/>
      <c r="D30" s="18"/>
      <c r="E30" s="18"/>
      <c r="F30" s="18"/>
      <c r="G30" s="14"/>
      <c r="H30" s="18"/>
      <c r="I30" s="43"/>
      <c r="J30" s="44"/>
      <c r="K30" s="44"/>
      <c r="L30" s="44"/>
      <c r="M30" s="44"/>
      <c r="N30" s="44"/>
      <c r="O30" s="4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7"/>
      <c r="B31" s="9"/>
      <c r="C31" s="13"/>
      <c r="D31" s="9"/>
      <c r="E31" s="9"/>
      <c r="F31" s="9"/>
      <c r="G31" s="7"/>
      <c r="H31" s="9"/>
      <c r="I31" s="41"/>
      <c r="J31" s="1"/>
      <c r="K31" s="1"/>
      <c r="L31" s="1"/>
      <c r="M31" s="1"/>
      <c r="N31" s="1"/>
      <c r="O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14"/>
      <c r="B32" s="18"/>
      <c r="C32" s="14"/>
      <c r="D32" s="18"/>
      <c r="E32" s="18"/>
      <c r="F32" s="18"/>
      <c r="G32" s="14"/>
      <c r="H32" s="18"/>
      <c r="I32" s="43"/>
      <c r="J32" s="44"/>
      <c r="K32" s="44"/>
      <c r="L32" s="44"/>
      <c r="M32" s="44"/>
      <c r="N32" s="44"/>
      <c r="O32" s="4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8" customHeight="1" x14ac:dyDescent="0.25">
      <c r="A33" s="7"/>
      <c r="B33" s="9"/>
      <c r="C33" s="13"/>
      <c r="D33" s="9"/>
      <c r="E33" s="9"/>
      <c r="F33" s="9"/>
      <c r="G33" s="7"/>
      <c r="H33" s="9"/>
      <c r="I33" s="41"/>
      <c r="J33" s="1"/>
      <c r="K33" s="1"/>
      <c r="L33" s="1"/>
      <c r="M33" s="1"/>
      <c r="N33" s="1"/>
      <c r="O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14"/>
      <c r="B34" s="18"/>
      <c r="C34" s="14"/>
      <c r="D34" s="18"/>
      <c r="E34" s="18"/>
      <c r="F34" s="18"/>
      <c r="G34" s="14"/>
      <c r="H34" s="18"/>
      <c r="I34" s="43"/>
      <c r="J34" s="44"/>
      <c r="K34" s="44"/>
      <c r="L34" s="44"/>
      <c r="M34" s="44"/>
      <c r="N34" s="44"/>
      <c r="O34" s="4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7"/>
      <c r="B35" s="9"/>
      <c r="C35" s="13"/>
      <c r="D35" s="9"/>
      <c r="E35" s="9"/>
      <c r="F35" s="9"/>
      <c r="G35" s="7"/>
      <c r="H35" s="9"/>
      <c r="I35" s="41"/>
      <c r="J35" s="1"/>
      <c r="K35" s="1"/>
      <c r="L35" s="1"/>
      <c r="M35" s="1"/>
      <c r="N35" s="1"/>
      <c r="O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14"/>
      <c r="B36" s="18"/>
      <c r="C36" s="14"/>
      <c r="D36" s="18"/>
      <c r="E36" s="18"/>
      <c r="F36" s="18"/>
      <c r="G36" s="14"/>
      <c r="H36" s="18"/>
      <c r="I36" s="43"/>
      <c r="J36" s="44"/>
      <c r="K36" s="44"/>
      <c r="L36" s="44"/>
      <c r="M36" s="44"/>
      <c r="N36" s="44"/>
      <c r="O36" s="4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7"/>
      <c r="B37" s="9"/>
      <c r="C37" s="13"/>
      <c r="D37" s="9"/>
      <c r="E37" s="9"/>
      <c r="F37" s="9"/>
      <c r="G37" s="7"/>
      <c r="H37" s="9"/>
      <c r="I37" s="41"/>
      <c r="J37" s="1"/>
      <c r="K37" s="1"/>
      <c r="L37" s="1"/>
      <c r="M37" s="1"/>
      <c r="N37" s="1"/>
      <c r="O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14"/>
      <c r="B38" s="18"/>
      <c r="C38" s="14"/>
      <c r="D38" s="18"/>
      <c r="E38" s="18"/>
      <c r="F38" s="18"/>
      <c r="G38" s="14"/>
      <c r="H38" s="18"/>
      <c r="I38" s="43"/>
      <c r="J38" s="44"/>
      <c r="K38" s="44"/>
      <c r="L38" s="44"/>
      <c r="M38" s="44"/>
      <c r="N38" s="44"/>
      <c r="O38" s="4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7"/>
      <c r="B39" s="9"/>
      <c r="C39" s="13"/>
      <c r="D39" s="9"/>
      <c r="E39" s="9"/>
      <c r="F39" s="9"/>
      <c r="G39" s="7"/>
      <c r="H39" s="9"/>
      <c r="I39" s="41"/>
      <c r="J39" s="1"/>
      <c r="K39" s="1"/>
      <c r="L39" s="1"/>
      <c r="M39" s="1"/>
      <c r="N39" s="1"/>
      <c r="O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14"/>
      <c r="B40" s="18"/>
      <c r="C40" s="14"/>
      <c r="D40" s="18"/>
      <c r="E40" s="18"/>
      <c r="F40" s="18"/>
      <c r="G40" s="14"/>
      <c r="H40" s="18"/>
      <c r="I40" s="43"/>
      <c r="J40" s="44"/>
      <c r="K40" s="44"/>
      <c r="L40" s="44"/>
      <c r="M40" s="44"/>
      <c r="N40" s="44"/>
      <c r="O40" s="4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7"/>
      <c r="B41" s="9"/>
      <c r="C41" s="13"/>
      <c r="D41" s="9"/>
      <c r="E41" s="9"/>
      <c r="F41" s="9"/>
      <c r="G41" s="7"/>
      <c r="H41" s="9"/>
      <c r="I41" s="41"/>
      <c r="J41" s="1"/>
      <c r="K41" s="1"/>
      <c r="L41" s="1"/>
      <c r="M41" s="1"/>
      <c r="N41" s="1"/>
      <c r="O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14"/>
      <c r="B42" s="18"/>
      <c r="C42" s="14"/>
      <c r="D42" s="18"/>
      <c r="E42" s="18"/>
      <c r="F42" s="18"/>
      <c r="G42" s="14"/>
      <c r="H42" s="18"/>
      <c r="I42" s="43"/>
      <c r="J42" s="44"/>
      <c r="K42" s="44"/>
      <c r="L42" s="44"/>
      <c r="M42" s="44"/>
      <c r="N42" s="44"/>
      <c r="O42" s="4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7"/>
      <c r="B43" s="9"/>
      <c r="C43" s="13"/>
      <c r="D43" s="9"/>
      <c r="E43" s="9"/>
      <c r="F43" s="9"/>
      <c r="G43" s="7"/>
      <c r="H43" s="9"/>
      <c r="I43" s="41"/>
      <c r="J43" s="1"/>
      <c r="K43" s="1"/>
      <c r="L43" s="1"/>
      <c r="M43" s="1"/>
      <c r="N43" s="1"/>
      <c r="O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14"/>
      <c r="B44" s="18"/>
      <c r="C44" s="14"/>
      <c r="D44" s="18"/>
      <c r="E44" s="18"/>
      <c r="F44" s="18"/>
      <c r="G44" s="14"/>
      <c r="H44" s="18"/>
      <c r="I44" s="43"/>
      <c r="J44" s="44"/>
      <c r="K44" s="44"/>
      <c r="L44" s="44"/>
      <c r="M44" s="44"/>
      <c r="N44" s="44"/>
      <c r="O44" s="4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7"/>
      <c r="B45" s="9"/>
      <c r="C45" s="13"/>
      <c r="D45" s="9"/>
      <c r="E45" s="9"/>
      <c r="F45" s="9"/>
      <c r="G45" s="7"/>
      <c r="H45" s="9"/>
      <c r="I45" s="41"/>
      <c r="J45" s="1"/>
      <c r="K45" s="1"/>
      <c r="L45" s="1"/>
      <c r="M45" s="1"/>
      <c r="N45" s="1"/>
      <c r="O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14"/>
      <c r="B46" s="18"/>
      <c r="C46" s="14"/>
      <c r="D46" s="18"/>
      <c r="E46" s="18"/>
      <c r="F46" s="18"/>
      <c r="G46" s="14"/>
      <c r="H46" s="18"/>
      <c r="I46" s="43"/>
      <c r="J46" s="44"/>
      <c r="K46" s="44"/>
      <c r="L46" s="44"/>
      <c r="M46" s="44"/>
      <c r="N46" s="44"/>
      <c r="O46" s="4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7"/>
      <c r="B47" s="9"/>
      <c r="C47" s="13"/>
      <c r="D47" s="9"/>
      <c r="E47" s="9"/>
      <c r="F47" s="9"/>
      <c r="G47" s="7"/>
      <c r="H47" s="9"/>
      <c r="I47" s="41"/>
      <c r="J47" s="1"/>
      <c r="K47" s="1"/>
      <c r="L47" s="1"/>
      <c r="M47" s="1"/>
      <c r="N47" s="1"/>
      <c r="O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14"/>
      <c r="B48" s="18"/>
      <c r="C48" s="14"/>
      <c r="D48" s="18"/>
      <c r="E48" s="18"/>
      <c r="F48" s="18"/>
      <c r="G48" s="14"/>
      <c r="H48" s="18"/>
      <c r="I48" s="43"/>
      <c r="J48" s="44"/>
      <c r="K48" s="44"/>
      <c r="L48" s="44"/>
      <c r="M48" s="44"/>
      <c r="N48" s="44"/>
      <c r="O48" s="4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7"/>
      <c r="B49" s="9"/>
      <c r="C49" s="13"/>
      <c r="D49" s="9"/>
      <c r="E49" s="9"/>
      <c r="F49" s="9"/>
      <c r="G49" s="7"/>
      <c r="H49" s="9"/>
      <c r="I49" s="137"/>
      <c r="J49" s="1"/>
      <c r="K49" s="1"/>
      <c r="L49" s="1"/>
      <c r="M49" s="1"/>
      <c r="N49" s="1"/>
      <c r="O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619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619</v>
      </c>
      <c r="C129" s="38">
        <f t="shared" si="1"/>
        <v>0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9AD4-9AD4-4945-984E-2BDF083E3FD4}">
  <sheetPr>
    <tabColor rgb="FF92D050"/>
    <pageSetUpPr fitToPage="1"/>
  </sheetPr>
  <dimension ref="A1:AE130"/>
  <sheetViews>
    <sheetView showGridLines="0" zoomScale="70" zoomScaleNormal="70" zoomScaleSheetLayoutView="70" workbookViewId="0">
      <selection activeCell="D9" sqref="D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1.285156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4.85546875" style="3" bestFit="1" customWidth="1"/>
    <col min="19" max="19" width="2.85546875" style="3" bestFit="1" customWidth="1"/>
    <col min="20" max="22" width="9.140625" style="3"/>
    <col min="23" max="23" width="10.28515625" style="3" bestFit="1" customWidth="1"/>
    <col min="24" max="16384" width="9.140625" style="3"/>
  </cols>
  <sheetData>
    <row r="1" spans="1:31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31" s="2" customFormat="1" ht="8.25" customHeight="1" x14ac:dyDescent="0.25">
      <c r="I2" s="20"/>
    </row>
    <row r="3" spans="1:31" s="2" customFormat="1" ht="27.6" customHeight="1" x14ac:dyDescent="0.25">
      <c r="A3" s="34" t="s">
        <v>193</v>
      </c>
      <c r="B3" s="33" t="s">
        <v>1063</v>
      </c>
      <c r="C3" s="26"/>
      <c r="D3" s="35" t="s">
        <v>333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31" s="2" customFormat="1" ht="15.75" customHeight="1" x14ac:dyDescent="0.25">
      <c r="C4" s="24"/>
      <c r="I4" s="20"/>
    </row>
    <row r="5" spans="1:31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/>
      <c r="B7" s="9"/>
      <c r="C7" s="13"/>
      <c r="D7" s="9"/>
      <c r="E7" s="9"/>
      <c r="F7" s="9"/>
      <c r="G7" s="7"/>
      <c r="H7" s="9"/>
      <c r="I7" s="41"/>
      <c r="J7" s="1"/>
      <c r="K7" s="1"/>
      <c r="L7" s="1"/>
      <c r="M7" s="1"/>
      <c r="N7" s="1"/>
      <c r="O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14"/>
      <c r="B8" s="18"/>
      <c r="C8" s="14"/>
      <c r="D8" s="18"/>
      <c r="E8" s="18"/>
      <c r="F8" s="18"/>
      <c r="G8" s="14"/>
      <c r="H8" s="18"/>
      <c r="I8" s="43"/>
      <c r="J8" s="44"/>
      <c r="K8" s="44"/>
      <c r="L8" s="44"/>
      <c r="M8" s="44"/>
      <c r="N8" s="44"/>
      <c r="O8" s="4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/>
      <c r="B9" s="9"/>
      <c r="C9" s="13"/>
      <c r="D9" s="9"/>
      <c r="E9" s="9"/>
      <c r="F9" s="9"/>
      <c r="G9" s="7"/>
      <c r="H9" s="9"/>
      <c r="I9" s="41"/>
      <c r="J9" s="1"/>
      <c r="K9" s="1"/>
      <c r="L9" s="1"/>
      <c r="M9" s="1"/>
      <c r="N9" s="1"/>
      <c r="O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14"/>
      <c r="B10" s="18"/>
      <c r="C10" s="14"/>
      <c r="D10" s="18"/>
      <c r="E10" s="18"/>
      <c r="F10" s="18"/>
      <c r="G10" s="14"/>
      <c r="H10" s="18"/>
      <c r="I10" s="43"/>
      <c r="J10" s="44"/>
      <c r="K10" s="44"/>
      <c r="L10" s="44"/>
      <c r="M10" s="44"/>
      <c r="N10" s="44"/>
      <c r="O10" s="4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/>
      <c r="B11" s="9"/>
      <c r="C11" s="13"/>
      <c r="D11" s="9"/>
      <c r="E11" s="9"/>
      <c r="F11" s="9"/>
      <c r="G11" s="7"/>
      <c r="H11" s="9"/>
      <c r="I11" s="41"/>
      <c r="J11" s="1"/>
      <c r="K11" s="1"/>
      <c r="L11" s="1"/>
      <c r="M11" s="1"/>
      <c r="N11" s="1"/>
      <c r="O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14"/>
      <c r="B12" s="18"/>
      <c r="C12" s="14"/>
      <c r="D12" s="18"/>
      <c r="E12" s="18"/>
      <c r="F12" s="18"/>
      <c r="G12" s="14"/>
      <c r="H12" s="18"/>
      <c r="I12" s="43"/>
      <c r="J12" s="44"/>
      <c r="K12" s="44"/>
      <c r="L12" s="44"/>
      <c r="M12" s="44"/>
      <c r="N12" s="44"/>
      <c r="O12" s="4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/>
      <c r="B13" s="9"/>
      <c r="C13" s="13"/>
      <c r="D13" s="9"/>
      <c r="E13" s="9"/>
      <c r="F13" s="9"/>
      <c r="G13" s="7"/>
      <c r="H13" s="9"/>
      <c r="I13" s="41"/>
      <c r="J13" s="1"/>
      <c r="K13" s="1"/>
      <c r="L13" s="1"/>
      <c r="M13" s="1"/>
      <c r="N13" s="1"/>
      <c r="O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14"/>
      <c r="B14" s="18"/>
      <c r="C14" s="14"/>
      <c r="D14" s="18"/>
      <c r="E14" s="18"/>
      <c r="F14" s="18"/>
      <c r="G14" s="14"/>
      <c r="H14" s="18"/>
      <c r="I14" s="43"/>
      <c r="J14" s="44"/>
      <c r="K14" s="44"/>
      <c r="L14" s="44"/>
      <c r="M14" s="44"/>
      <c r="N14" s="44"/>
      <c r="O14" s="4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7"/>
      <c r="B15" s="9"/>
      <c r="C15" s="13"/>
      <c r="D15" s="9"/>
      <c r="E15" s="9"/>
      <c r="F15" s="9"/>
      <c r="G15" s="7"/>
      <c r="H15" s="9"/>
      <c r="I15" s="41"/>
      <c r="J15" s="1"/>
      <c r="K15" s="1"/>
      <c r="L15" s="1"/>
      <c r="M15" s="1"/>
      <c r="N15" s="1"/>
      <c r="O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14"/>
      <c r="B16" s="18"/>
      <c r="C16" s="14"/>
      <c r="D16" s="18"/>
      <c r="E16" s="18"/>
      <c r="F16" s="18"/>
      <c r="G16" s="14"/>
      <c r="H16" s="18"/>
      <c r="I16" s="43"/>
      <c r="J16" s="44"/>
      <c r="K16" s="44"/>
      <c r="L16" s="44"/>
      <c r="M16" s="44"/>
      <c r="N16" s="44"/>
      <c r="O16" s="4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7"/>
      <c r="B17" s="9"/>
      <c r="C17" s="13"/>
      <c r="D17" s="9"/>
      <c r="E17" s="9"/>
      <c r="F17" s="9"/>
      <c r="G17" s="7"/>
      <c r="H17" s="9"/>
      <c r="I17" s="41"/>
      <c r="J17" s="1"/>
      <c r="K17" s="1"/>
      <c r="L17" s="1"/>
      <c r="M17" s="1"/>
      <c r="N17" s="1"/>
      <c r="O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14"/>
      <c r="B18" s="18"/>
      <c r="C18" s="14"/>
      <c r="D18" s="18"/>
      <c r="E18" s="18"/>
      <c r="F18" s="18"/>
      <c r="G18" s="14"/>
      <c r="H18" s="18"/>
      <c r="I18" s="43"/>
      <c r="J18" s="44"/>
      <c r="K18" s="44"/>
      <c r="L18" s="44"/>
      <c r="M18" s="44"/>
      <c r="N18" s="44"/>
      <c r="O18" s="4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/>
      <c r="B19" s="9"/>
      <c r="C19" s="13"/>
      <c r="D19" s="9"/>
      <c r="E19" s="9"/>
      <c r="F19" s="9"/>
      <c r="G19" s="7"/>
      <c r="H19" s="9"/>
      <c r="I19" s="41"/>
      <c r="J19" s="1"/>
      <c r="K19" s="1"/>
      <c r="L19" s="1"/>
      <c r="M19" s="1"/>
      <c r="N19" s="1"/>
      <c r="O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14"/>
      <c r="B20" s="18"/>
      <c r="C20" s="14"/>
      <c r="D20" s="18"/>
      <c r="E20" s="18"/>
      <c r="F20" s="18"/>
      <c r="G20" s="14"/>
      <c r="H20" s="18"/>
      <c r="I20" s="43"/>
      <c r="J20" s="44"/>
      <c r="K20" s="44"/>
      <c r="L20" s="44"/>
      <c r="M20" s="44"/>
      <c r="N20" s="44"/>
      <c r="O20" s="4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/>
      <c r="B21" s="9"/>
      <c r="C21" s="13"/>
      <c r="D21" s="9"/>
      <c r="E21" s="9"/>
      <c r="F21" s="9"/>
      <c r="G21" s="7"/>
      <c r="H21" s="9"/>
      <c r="I21" s="41"/>
      <c r="J21" s="1"/>
      <c r="K21" s="1"/>
      <c r="L21" s="1"/>
      <c r="M21" s="1"/>
      <c r="N21" s="1"/>
      <c r="O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14"/>
      <c r="B22" s="18"/>
      <c r="C22" s="14"/>
      <c r="D22" s="18"/>
      <c r="E22" s="18"/>
      <c r="F22" s="18"/>
      <c r="G22" s="14"/>
      <c r="H22" s="18"/>
      <c r="I22" s="43"/>
      <c r="J22" s="44"/>
      <c r="K22" s="44"/>
      <c r="L22" s="44"/>
      <c r="M22" s="44"/>
      <c r="N22" s="44"/>
      <c r="O22" s="4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7"/>
      <c r="B23" s="9"/>
      <c r="C23" s="13"/>
      <c r="D23" s="9"/>
      <c r="E23" s="9"/>
      <c r="F23" s="9"/>
      <c r="G23" s="7"/>
      <c r="H23" s="9"/>
      <c r="I23" s="41"/>
      <c r="J23" s="1"/>
      <c r="K23" s="1"/>
      <c r="L23" s="1"/>
      <c r="M23" s="1"/>
      <c r="N23" s="1"/>
      <c r="O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14"/>
      <c r="B24" s="18"/>
      <c r="C24" s="14"/>
      <c r="D24" s="18"/>
      <c r="E24" s="18"/>
      <c r="F24" s="18"/>
      <c r="G24" s="14"/>
      <c r="H24" s="18"/>
      <c r="I24" s="43"/>
      <c r="J24" s="44"/>
      <c r="K24" s="44"/>
      <c r="L24" s="44"/>
      <c r="M24" s="44"/>
      <c r="N24" s="44"/>
      <c r="O24" s="4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7"/>
      <c r="B25" s="9"/>
      <c r="C25" s="13"/>
      <c r="D25" s="9"/>
      <c r="E25" s="9"/>
      <c r="F25" s="9"/>
      <c r="G25" s="7"/>
      <c r="H25" s="9"/>
      <c r="I25" s="41"/>
      <c r="J25" s="1"/>
      <c r="K25" s="1"/>
      <c r="L25" s="1"/>
      <c r="M25" s="1"/>
      <c r="N25" s="1"/>
      <c r="O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14"/>
      <c r="B26" s="18"/>
      <c r="C26" s="14"/>
      <c r="D26" s="18"/>
      <c r="E26" s="18"/>
      <c r="F26" s="18"/>
      <c r="G26" s="14"/>
      <c r="H26" s="18"/>
      <c r="I26" s="43"/>
      <c r="J26" s="44"/>
      <c r="K26" s="44"/>
      <c r="L26" s="44"/>
      <c r="M26" s="44"/>
      <c r="N26" s="44"/>
      <c r="O26" s="4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7"/>
      <c r="B27" s="9"/>
      <c r="C27" s="13"/>
      <c r="D27" s="9"/>
      <c r="E27" s="9"/>
      <c r="F27" s="9"/>
      <c r="G27" s="7"/>
      <c r="H27" s="9"/>
      <c r="I27" s="41"/>
      <c r="J27" s="1"/>
      <c r="K27" s="1"/>
      <c r="L27" s="1"/>
      <c r="M27" s="1"/>
      <c r="N27" s="1"/>
      <c r="O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14"/>
      <c r="B28" s="18"/>
      <c r="C28" s="14"/>
      <c r="D28" s="18"/>
      <c r="E28" s="18"/>
      <c r="F28" s="18"/>
      <c r="G28" s="14"/>
      <c r="H28" s="18"/>
      <c r="I28" s="43"/>
      <c r="J28" s="44"/>
      <c r="K28" s="44"/>
      <c r="L28" s="44"/>
      <c r="M28" s="44"/>
      <c r="N28" s="44"/>
      <c r="O28" s="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7"/>
      <c r="B29" s="9"/>
      <c r="C29" s="13"/>
      <c r="D29" s="9"/>
      <c r="E29" s="9"/>
      <c r="F29" s="9"/>
      <c r="G29" s="7"/>
      <c r="H29" s="9"/>
      <c r="I29" s="41"/>
      <c r="J29" s="1"/>
      <c r="K29" s="1"/>
      <c r="L29" s="1"/>
      <c r="M29" s="1"/>
      <c r="N29" s="1"/>
      <c r="O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14"/>
      <c r="B30" s="18"/>
      <c r="C30" s="14"/>
      <c r="D30" s="18"/>
      <c r="E30" s="18"/>
      <c r="F30" s="18"/>
      <c r="G30" s="14"/>
      <c r="H30" s="18"/>
      <c r="I30" s="43"/>
      <c r="J30" s="44"/>
      <c r="K30" s="44"/>
      <c r="L30" s="44"/>
      <c r="M30" s="44"/>
      <c r="N30" s="44"/>
      <c r="O30" s="4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7"/>
      <c r="B31" s="9"/>
      <c r="C31" s="13"/>
      <c r="D31" s="9"/>
      <c r="E31" s="9"/>
      <c r="F31" s="9"/>
      <c r="G31" s="7"/>
      <c r="H31" s="9"/>
      <c r="I31" s="41"/>
      <c r="J31" s="1"/>
      <c r="K31" s="1"/>
      <c r="L31" s="1"/>
      <c r="M31" s="1"/>
      <c r="N31" s="1"/>
      <c r="O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14"/>
      <c r="B32" s="18"/>
      <c r="C32" s="14"/>
      <c r="D32" s="18"/>
      <c r="E32" s="18"/>
      <c r="F32" s="18"/>
      <c r="G32" s="14"/>
      <c r="H32" s="18"/>
      <c r="I32" s="43"/>
      <c r="J32" s="44"/>
      <c r="K32" s="44"/>
      <c r="L32" s="44"/>
      <c r="M32" s="44"/>
      <c r="N32" s="44"/>
      <c r="O32" s="4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8" customHeight="1" x14ac:dyDescent="0.25">
      <c r="A33" s="7"/>
      <c r="B33" s="9"/>
      <c r="C33" s="13"/>
      <c r="D33" s="9"/>
      <c r="E33" s="9"/>
      <c r="F33" s="9"/>
      <c r="G33" s="7"/>
      <c r="H33" s="9"/>
      <c r="I33" s="41"/>
      <c r="J33" s="1"/>
      <c r="K33" s="1"/>
      <c r="L33" s="1"/>
      <c r="M33" s="1"/>
      <c r="N33" s="1"/>
      <c r="O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14"/>
      <c r="B34" s="18"/>
      <c r="C34" s="14"/>
      <c r="D34" s="18"/>
      <c r="E34" s="18"/>
      <c r="F34" s="18"/>
      <c r="G34" s="14"/>
      <c r="H34" s="18"/>
      <c r="I34" s="43"/>
      <c r="J34" s="44"/>
      <c r="K34" s="44"/>
      <c r="L34" s="44"/>
      <c r="M34" s="44"/>
      <c r="N34" s="44"/>
      <c r="O34" s="4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7"/>
      <c r="B35" s="9"/>
      <c r="C35" s="13"/>
      <c r="D35" s="9"/>
      <c r="E35" s="9"/>
      <c r="F35" s="9"/>
      <c r="G35" s="7"/>
      <c r="H35" s="9"/>
      <c r="I35" s="41"/>
      <c r="J35" s="1"/>
      <c r="K35" s="1"/>
      <c r="L35" s="1"/>
      <c r="M35" s="1"/>
      <c r="N35" s="1"/>
      <c r="O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14"/>
      <c r="B36" s="18"/>
      <c r="C36" s="14"/>
      <c r="D36" s="18"/>
      <c r="E36" s="18"/>
      <c r="F36" s="18"/>
      <c r="G36" s="14"/>
      <c r="H36" s="18"/>
      <c r="I36" s="43"/>
      <c r="J36" s="44"/>
      <c r="K36" s="44"/>
      <c r="L36" s="44"/>
      <c r="M36" s="44"/>
      <c r="N36" s="44"/>
      <c r="O36" s="4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7"/>
      <c r="B37" s="9"/>
      <c r="C37" s="13"/>
      <c r="D37" s="9"/>
      <c r="E37" s="9"/>
      <c r="F37" s="9"/>
      <c r="G37" s="7"/>
      <c r="H37" s="9"/>
      <c r="I37" s="41"/>
      <c r="J37" s="1"/>
      <c r="K37" s="1"/>
      <c r="L37" s="1"/>
      <c r="M37" s="1"/>
      <c r="N37" s="1"/>
      <c r="O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14"/>
      <c r="B38" s="18"/>
      <c r="C38" s="14"/>
      <c r="D38" s="18"/>
      <c r="E38" s="18"/>
      <c r="F38" s="18"/>
      <c r="G38" s="14"/>
      <c r="H38" s="18"/>
      <c r="I38" s="43"/>
      <c r="J38" s="44"/>
      <c r="K38" s="44"/>
      <c r="L38" s="44"/>
      <c r="M38" s="44"/>
      <c r="N38" s="44"/>
      <c r="O38" s="4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7"/>
      <c r="B39" s="9"/>
      <c r="C39" s="13"/>
      <c r="D39" s="9"/>
      <c r="E39" s="9"/>
      <c r="F39" s="9"/>
      <c r="G39" s="7"/>
      <c r="H39" s="9"/>
      <c r="I39" s="41"/>
      <c r="J39" s="1"/>
      <c r="K39" s="1"/>
      <c r="L39" s="1"/>
      <c r="M39" s="1"/>
      <c r="N39" s="1"/>
      <c r="O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14"/>
      <c r="B40" s="18"/>
      <c r="C40" s="14"/>
      <c r="D40" s="18"/>
      <c r="E40" s="18"/>
      <c r="F40" s="18"/>
      <c r="G40" s="14"/>
      <c r="H40" s="18"/>
      <c r="I40" s="43"/>
      <c r="J40" s="44"/>
      <c r="K40" s="44"/>
      <c r="L40" s="44"/>
      <c r="M40" s="44"/>
      <c r="N40" s="44"/>
      <c r="O40" s="4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7"/>
      <c r="B41" s="9"/>
      <c r="C41" s="13"/>
      <c r="D41" s="9"/>
      <c r="E41" s="9"/>
      <c r="F41" s="9"/>
      <c r="G41" s="7"/>
      <c r="H41" s="9"/>
      <c r="I41" s="41"/>
      <c r="J41" s="1"/>
      <c r="K41" s="1"/>
      <c r="L41" s="1"/>
      <c r="M41" s="1"/>
      <c r="N41" s="1"/>
      <c r="O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14"/>
      <c r="B42" s="18"/>
      <c r="C42" s="14"/>
      <c r="D42" s="18"/>
      <c r="E42" s="18"/>
      <c r="F42" s="18"/>
      <c r="G42" s="14"/>
      <c r="H42" s="18"/>
      <c r="I42" s="43"/>
      <c r="J42" s="44"/>
      <c r="K42" s="44"/>
      <c r="L42" s="44"/>
      <c r="M42" s="44"/>
      <c r="N42" s="44"/>
      <c r="O42" s="4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7"/>
      <c r="B43" s="9"/>
      <c r="C43" s="13"/>
      <c r="D43" s="9"/>
      <c r="E43" s="9"/>
      <c r="F43" s="9"/>
      <c r="G43" s="7"/>
      <c r="H43" s="9"/>
      <c r="I43" s="41"/>
      <c r="J43" s="1"/>
      <c r="K43" s="1"/>
      <c r="L43" s="1"/>
      <c r="M43" s="1"/>
      <c r="N43" s="1"/>
      <c r="O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14"/>
      <c r="B44" s="18"/>
      <c r="C44" s="14"/>
      <c r="D44" s="18"/>
      <c r="E44" s="18"/>
      <c r="F44" s="18"/>
      <c r="G44" s="14"/>
      <c r="H44" s="18"/>
      <c r="I44" s="43"/>
      <c r="J44" s="44"/>
      <c r="K44" s="44"/>
      <c r="L44" s="44"/>
      <c r="M44" s="44"/>
      <c r="N44" s="44"/>
      <c r="O44" s="4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7"/>
      <c r="B45" s="9"/>
      <c r="C45" s="13"/>
      <c r="D45" s="9"/>
      <c r="E45" s="9"/>
      <c r="F45" s="9"/>
      <c r="G45" s="7"/>
      <c r="H45" s="9"/>
      <c r="I45" s="41"/>
      <c r="J45" s="1"/>
      <c r="K45" s="1"/>
      <c r="L45" s="1"/>
      <c r="M45" s="1"/>
      <c r="N45" s="1"/>
      <c r="O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14"/>
      <c r="B46" s="18"/>
      <c r="C46" s="14"/>
      <c r="D46" s="18"/>
      <c r="E46" s="18"/>
      <c r="F46" s="18"/>
      <c r="G46" s="14"/>
      <c r="H46" s="18"/>
      <c r="I46" s="43"/>
      <c r="J46" s="44"/>
      <c r="K46" s="44"/>
      <c r="L46" s="44"/>
      <c r="M46" s="44"/>
      <c r="N46" s="44"/>
      <c r="O46" s="4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7"/>
      <c r="B47" s="9"/>
      <c r="C47" s="13"/>
      <c r="D47" s="9"/>
      <c r="E47" s="9"/>
      <c r="F47" s="9"/>
      <c r="G47" s="7"/>
      <c r="H47" s="9"/>
      <c r="I47" s="41"/>
      <c r="J47" s="1"/>
      <c r="K47" s="1"/>
      <c r="L47" s="1"/>
      <c r="M47" s="1"/>
      <c r="N47" s="1"/>
      <c r="O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14"/>
      <c r="B48" s="18"/>
      <c r="C48" s="14"/>
      <c r="D48" s="18"/>
      <c r="E48" s="18"/>
      <c r="F48" s="18"/>
      <c r="G48" s="14"/>
      <c r="H48" s="18"/>
      <c r="I48" s="43"/>
      <c r="J48" s="44"/>
      <c r="K48" s="44"/>
      <c r="L48" s="44"/>
      <c r="M48" s="44"/>
      <c r="N48" s="44"/>
      <c r="O48" s="4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7"/>
      <c r="B49" s="9"/>
      <c r="C49" s="13"/>
      <c r="D49" s="9"/>
      <c r="E49" s="9"/>
      <c r="F49" s="9"/>
      <c r="G49" s="7"/>
      <c r="H49" s="9"/>
      <c r="I49" s="137"/>
      <c r="J49" s="1"/>
      <c r="K49" s="1"/>
      <c r="L49" s="1"/>
      <c r="M49" s="1"/>
      <c r="N49" s="1"/>
      <c r="O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619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8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8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8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619</v>
      </c>
      <c r="C129" s="38">
        <f t="shared" si="1"/>
        <v>0</v>
      </c>
      <c r="H129" s="4"/>
      <c r="I129" s="3"/>
    </row>
    <row r="130" spans="1:9" x14ac:dyDescent="0.25">
      <c r="H130" s="4"/>
      <c r="I130" s="3"/>
    </row>
  </sheetData>
  <autoFilter ref="A6:O48" xr:uid="{29409446-0286-4617-8ECE-ACCA81EF7D93}">
    <sortState xmlns:xlrd2="http://schemas.microsoft.com/office/spreadsheetml/2017/richdata2" ref="A7:O48">
      <sortCondition ref="A6:A48"/>
    </sortState>
  </autoFilter>
  <mergeCells count="17">
    <mergeCell ref="A1:O1"/>
    <mergeCell ref="K5:N5"/>
    <mergeCell ref="A50:O50"/>
    <mergeCell ref="A51:O51"/>
    <mergeCell ref="A52:O52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1" fitToHeight="0" orientation="landscape" horizontalDpi="4294967293" verticalDpi="4294967293" r:id="rId1"/>
  <rowBreaks count="1" manualBreakCount="1">
    <brk id="55" max="1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7CB0-A5FD-4F2F-9D42-58B4BB1C17F7}">
  <sheetPr codeName="Planilha16">
    <tabColor rgb="FFFFC000"/>
    <pageSetUpPr fitToPage="1"/>
  </sheetPr>
  <dimension ref="A1:O126"/>
  <sheetViews>
    <sheetView showGridLines="0" view="pageBreakPreview" zoomScale="80" zoomScaleNormal="70" zoomScaleSheetLayoutView="80" workbookViewId="0">
      <selection activeCell="F3" sqref="F3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22.140625" style="3" customWidth="1"/>
    <col min="9" max="9" width="11" style="4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A2" s="2" t="s">
        <v>620</v>
      </c>
      <c r="I2" s="20"/>
    </row>
    <row r="3" spans="1:15" s="2" customFormat="1" ht="27.6" customHeight="1" x14ac:dyDescent="0.25">
      <c r="A3" s="34" t="s">
        <v>193</v>
      </c>
      <c r="B3" s="33" t="s">
        <v>621</v>
      </c>
      <c r="C3" s="26"/>
      <c r="D3" s="35" t="s">
        <v>195</v>
      </c>
      <c r="E3" s="27"/>
      <c r="F3" s="28">
        <v>46286</v>
      </c>
      <c r="G3" s="28"/>
      <c r="H3" s="35" t="s">
        <v>196</v>
      </c>
      <c r="I3" s="27"/>
      <c r="J3" s="27"/>
      <c r="K3" s="35" t="s">
        <v>197</v>
      </c>
      <c r="L3" s="157"/>
      <c r="M3" s="176">
        <v>48576</v>
      </c>
      <c r="N3" s="176"/>
      <c r="O3" s="29"/>
    </row>
    <row r="4" spans="1:15" s="2" customFormat="1" x14ac:dyDescent="0.25">
      <c r="C4" s="24"/>
      <c r="I4" s="20"/>
    </row>
    <row r="5" spans="1:15" ht="15.75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6" t="s">
        <v>49</v>
      </c>
      <c r="B7" s="16" t="s">
        <v>82</v>
      </c>
      <c r="C7" s="16" t="s">
        <v>81</v>
      </c>
      <c r="D7" s="16" t="s">
        <v>208</v>
      </c>
      <c r="E7" s="16" t="s">
        <v>51</v>
      </c>
      <c r="F7" s="16" t="s">
        <v>209</v>
      </c>
      <c r="G7" s="16" t="s">
        <v>5</v>
      </c>
      <c r="H7" s="16" t="s">
        <v>210</v>
      </c>
      <c r="I7" s="15"/>
      <c r="J7" s="16"/>
      <c r="K7" s="16"/>
      <c r="L7" s="16"/>
      <c r="M7" s="16"/>
      <c r="N7" s="16"/>
      <c r="O7" s="16"/>
    </row>
    <row r="8" spans="1:15" x14ac:dyDescent="0.25">
      <c r="A8" s="14" t="s">
        <v>49</v>
      </c>
      <c r="B8" s="14" t="s">
        <v>62</v>
      </c>
      <c r="C8" s="14" t="s">
        <v>61</v>
      </c>
      <c r="D8" s="14" t="s">
        <v>208</v>
      </c>
      <c r="E8" s="14" t="s">
        <v>51</v>
      </c>
      <c r="F8" s="14" t="s">
        <v>209</v>
      </c>
      <c r="G8" s="14" t="s">
        <v>5</v>
      </c>
      <c r="H8" s="14" t="s">
        <v>210</v>
      </c>
      <c r="I8" s="43"/>
      <c r="J8" s="44"/>
      <c r="K8" s="44"/>
      <c r="L8" s="44"/>
      <c r="M8" s="44"/>
      <c r="N8" s="44"/>
      <c r="O8" s="44"/>
    </row>
    <row r="9" spans="1:15" x14ac:dyDescent="0.25">
      <c r="A9" s="16" t="s">
        <v>49</v>
      </c>
      <c r="B9" s="16" t="s">
        <v>65</v>
      </c>
      <c r="C9" s="16" t="s">
        <v>64</v>
      </c>
      <c r="D9" s="16" t="s">
        <v>208</v>
      </c>
      <c r="E9" s="16" t="s">
        <v>51</v>
      </c>
      <c r="F9" s="16" t="s">
        <v>209</v>
      </c>
      <c r="G9" s="16" t="s">
        <v>5</v>
      </c>
      <c r="H9" s="16" t="s">
        <v>210</v>
      </c>
      <c r="I9" s="15"/>
      <c r="J9" s="16"/>
      <c r="K9" s="16"/>
      <c r="L9" s="16"/>
      <c r="M9" s="16"/>
      <c r="N9" s="16"/>
      <c r="O9" s="16"/>
    </row>
    <row r="10" spans="1:15" x14ac:dyDescent="0.25">
      <c r="A10" s="14" t="s">
        <v>49</v>
      </c>
      <c r="B10" s="14" t="s">
        <v>622</v>
      </c>
      <c r="C10" s="14" t="s">
        <v>77</v>
      </c>
      <c r="D10" s="14" t="s">
        <v>217</v>
      </c>
      <c r="E10" s="14" t="s">
        <v>48</v>
      </c>
      <c r="F10" s="14" t="s">
        <v>216</v>
      </c>
      <c r="G10" s="14" t="s">
        <v>6</v>
      </c>
      <c r="H10" s="14" t="s">
        <v>210</v>
      </c>
      <c r="I10" s="43"/>
      <c r="J10" s="44"/>
      <c r="K10" s="44"/>
      <c r="L10" s="44"/>
      <c r="M10" s="44"/>
      <c r="N10" s="44"/>
      <c r="O10" s="44"/>
    </row>
    <row r="11" spans="1:15" x14ac:dyDescent="0.25">
      <c r="A11" s="16" t="s">
        <v>49</v>
      </c>
      <c r="B11" s="16" t="s">
        <v>52</v>
      </c>
      <c r="C11" s="16" t="s">
        <v>50</v>
      </c>
      <c r="D11" s="16" t="s">
        <v>208</v>
      </c>
      <c r="E11" s="16" t="s">
        <v>51</v>
      </c>
      <c r="F11" s="16" t="s">
        <v>209</v>
      </c>
      <c r="G11" s="16" t="s">
        <v>5</v>
      </c>
      <c r="H11" s="16" t="s">
        <v>210</v>
      </c>
      <c r="I11" s="15"/>
      <c r="J11" s="16"/>
      <c r="K11" s="16"/>
      <c r="L11" s="16"/>
      <c r="M11" s="16"/>
      <c r="N11" s="16"/>
      <c r="O11" s="16"/>
    </row>
    <row r="12" spans="1:15" x14ac:dyDescent="0.25">
      <c r="A12" s="14" t="s">
        <v>49</v>
      </c>
      <c r="B12" s="14" t="s">
        <v>57</v>
      </c>
      <c r="C12" s="14" t="s">
        <v>56</v>
      </c>
      <c r="D12" s="14" t="s">
        <v>215</v>
      </c>
      <c r="E12" s="14" t="s">
        <v>54</v>
      </c>
      <c r="F12" s="14" t="s">
        <v>219</v>
      </c>
      <c r="G12" s="14" t="s">
        <v>6</v>
      </c>
      <c r="H12" s="14" t="s">
        <v>218</v>
      </c>
      <c r="I12" s="43"/>
      <c r="J12" s="44"/>
      <c r="K12" s="44"/>
      <c r="L12" s="44"/>
      <c r="M12" s="44"/>
      <c r="N12" s="44"/>
      <c r="O12" s="44"/>
    </row>
    <row r="13" spans="1:15" x14ac:dyDescent="0.25">
      <c r="A13" s="16" t="s">
        <v>49</v>
      </c>
      <c r="B13" s="16" t="s">
        <v>57</v>
      </c>
      <c r="C13" s="16" t="s">
        <v>53</v>
      </c>
      <c r="D13" s="16" t="s">
        <v>215</v>
      </c>
      <c r="E13" s="16" t="s">
        <v>54</v>
      </c>
      <c r="F13" s="16" t="s">
        <v>219</v>
      </c>
      <c r="G13" s="16" t="s">
        <v>6</v>
      </c>
      <c r="H13" s="16" t="s">
        <v>210</v>
      </c>
      <c r="I13" s="15"/>
      <c r="J13" s="16"/>
      <c r="K13" s="16"/>
      <c r="L13" s="16"/>
      <c r="M13" s="16"/>
      <c r="N13" s="16"/>
      <c r="O13" s="16"/>
    </row>
    <row r="14" spans="1:15" x14ac:dyDescent="0.25">
      <c r="A14" s="14" t="s">
        <v>49</v>
      </c>
      <c r="B14" s="14" t="s">
        <v>57</v>
      </c>
      <c r="C14" s="14" t="s">
        <v>58</v>
      </c>
      <c r="D14" s="14" t="s">
        <v>215</v>
      </c>
      <c r="E14" s="14" t="s">
        <v>54</v>
      </c>
      <c r="F14" s="14" t="s">
        <v>219</v>
      </c>
      <c r="G14" s="14" t="s">
        <v>6</v>
      </c>
      <c r="H14" s="14" t="s">
        <v>218</v>
      </c>
      <c r="I14" s="43"/>
      <c r="J14" s="44"/>
      <c r="K14" s="44"/>
      <c r="L14" s="44"/>
      <c r="M14" s="44"/>
      <c r="N14" s="44"/>
      <c r="O14" s="44"/>
    </row>
    <row r="15" spans="1:15" x14ac:dyDescent="0.25">
      <c r="A15" s="16" t="s">
        <v>49</v>
      </c>
      <c r="B15" s="16" t="s">
        <v>57</v>
      </c>
      <c r="C15" s="16" t="s">
        <v>169</v>
      </c>
      <c r="D15" s="16" t="s">
        <v>402</v>
      </c>
      <c r="E15" s="16" t="s">
        <v>48</v>
      </c>
      <c r="F15" s="16" t="s">
        <v>216</v>
      </c>
      <c r="G15" s="16" t="s">
        <v>5</v>
      </c>
      <c r="H15" s="16" t="s">
        <v>218</v>
      </c>
      <c r="I15" s="15"/>
      <c r="J15" s="16"/>
      <c r="K15" s="16"/>
      <c r="L15" s="16"/>
      <c r="M15" s="16"/>
      <c r="N15" s="16"/>
      <c r="O15" s="16"/>
    </row>
    <row r="16" spans="1:15" x14ac:dyDescent="0.25">
      <c r="A16" s="14" t="s">
        <v>49</v>
      </c>
      <c r="B16" s="14" t="s">
        <v>130</v>
      </c>
      <c r="C16" s="14" t="s">
        <v>129</v>
      </c>
      <c r="D16" s="14" t="s">
        <v>208</v>
      </c>
      <c r="E16" s="14" t="s">
        <v>51</v>
      </c>
      <c r="F16" s="14" t="s">
        <v>209</v>
      </c>
      <c r="G16" s="14" t="s">
        <v>5</v>
      </c>
      <c r="H16" s="14" t="s">
        <v>210</v>
      </c>
      <c r="I16" s="43"/>
      <c r="J16" s="44"/>
      <c r="K16" s="44"/>
      <c r="L16" s="44"/>
      <c r="M16" s="44"/>
      <c r="N16" s="44"/>
      <c r="O16" s="44"/>
    </row>
    <row r="17" spans="1:15" x14ac:dyDescent="0.25">
      <c r="A17" s="16" t="s">
        <v>49</v>
      </c>
      <c r="B17" s="16" t="s">
        <v>73</v>
      </c>
      <c r="C17" s="16" t="s">
        <v>72</v>
      </c>
      <c r="D17" s="16" t="s">
        <v>208</v>
      </c>
      <c r="E17" s="16" t="s">
        <v>51</v>
      </c>
      <c r="F17" s="16" t="s">
        <v>209</v>
      </c>
      <c r="G17" s="16" t="s">
        <v>5</v>
      </c>
      <c r="H17" s="16" t="s">
        <v>210</v>
      </c>
      <c r="I17" s="15"/>
      <c r="J17" s="16"/>
      <c r="K17" s="16"/>
      <c r="L17" s="16"/>
      <c r="M17" s="16"/>
      <c r="N17" s="16"/>
      <c r="O17" s="16"/>
    </row>
    <row r="18" spans="1:15" x14ac:dyDescent="0.25">
      <c r="A18" s="14" t="s">
        <v>68</v>
      </c>
      <c r="B18" s="14" t="s">
        <v>126</v>
      </c>
      <c r="C18" s="14" t="s">
        <v>125</v>
      </c>
      <c r="D18" s="14" t="s">
        <v>240</v>
      </c>
      <c r="E18" s="14" t="s">
        <v>86</v>
      </c>
      <c r="F18" s="14" t="s">
        <v>241</v>
      </c>
      <c r="G18" s="14" t="s">
        <v>5</v>
      </c>
      <c r="H18" s="14" t="s">
        <v>218</v>
      </c>
      <c r="I18" s="43"/>
      <c r="J18" s="44"/>
      <c r="K18" s="44"/>
      <c r="L18" s="44"/>
      <c r="M18" s="44"/>
      <c r="N18" s="44"/>
      <c r="O18" s="44"/>
    </row>
    <row r="19" spans="1:15" x14ac:dyDescent="0.25">
      <c r="A19" s="16" t="s">
        <v>68</v>
      </c>
      <c r="B19" s="16" t="s">
        <v>145</v>
      </c>
      <c r="C19" s="16" t="s">
        <v>144</v>
      </c>
      <c r="D19" s="16" t="s">
        <v>240</v>
      </c>
      <c r="E19" s="16" t="s">
        <v>86</v>
      </c>
      <c r="F19" s="16" t="s">
        <v>241</v>
      </c>
      <c r="G19" s="16" t="s">
        <v>5</v>
      </c>
      <c r="H19" s="16" t="s">
        <v>210</v>
      </c>
      <c r="I19" s="15"/>
      <c r="J19" s="16"/>
      <c r="K19" s="16"/>
      <c r="L19" s="16"/>
      <c r="M19" s="16"/>
      <c r="N19" s="16"/>
      <c r="O19" s="16"/>
    </row>
    <row r="20" spans="1:15" x14ac:dyDescent="0.25">
      <c r="A20" s="14" t="s">
        <v>68</v>
      </c>
      <c r="B20" s="14" t="s">
        <v>107</v>
      </c>
      <c r="C20" s="14" t="s">
        <v>106</v>
      </c>
      <c r="D20" s="14" t="s">
        <v>240</v>
      </c>
      <c r="E20" s="14" t="s">
        <v>86</v>
      </c>
      <c r="F20" s="14" t="s">
        <v>241</v>
      </c>
      <c r="G20" s="14" t="s">
        <v>5</v>
      </c>
      <c r="H20" s="14" t="s">
        <v>218</v>
      </c>
      <c r="I20" s="43"/>
      <c r="J20" s="44"/>
      <c r="K20" s="44"/>
      <c r="L20" s="44"/>
      <c r="M20" s="44"/>
      <c r="N20" s="44"/>
      <c r="O20" s="44"/>
    </row>
    <row r="21" spans="1:15" x14ac:dyDescent="0.25">
      <c r="A21" s="16" t="s">
        <v>68</v>
      </c>
      <c r="B21" s="16" t="s">
        <v>116</v>
      </c>
      <c r="C21" s="16" t="s">
        <v>115</v>
      </c>
      <c r="D21" s="16" t="s">
        <v>208</v>
      </c>
      <c r="E21" s="16" t="s">
        <v>51</v>
      </c>
      <c r="F21" s="16" t="s">
        <v>209</v>
      </c>
      <c r="G21" s="16" t="s">
        <v>5</v>
      </c>
      <c r="H21" s="16" t="s">
        <v>210</v>
      </c>
      <c r="I21" s="15"/>
      <c r="J21" s="16"/>
      <c r="K21" s="16"/>
      <c r="L21" s="16"/>
      <c r="M21" s="16"/>
      <c r="N21" s="16"/>
      <c r="O21" s="16"/>
    </row>
    <row r="22" spans="1:15" x14ac:dyDescent="0.25">
      <c r="A22" s="14" t="s">
        <v>68</v>
      </c>
      <c r="B22" s="14" t="s">
        <v>136</v>
      </c>
      <c r="C22" s="14" t="s">
        <v>135</v>
      </c>
      <c r="D22" s="14" t="s">
        <v>208</v>
      </c>
      <c r="E22" s="14" t="s">
        <v>51</v>
      </c>
      <c r="F22" s="14" t="s">
        <v>209</v>
      </c>
      <c r="G22" s="14" t="s">
        <v>5</v>
      </c>
      <c r="H22" s="14" t="s">
        <v>210</v>
      </c>
      <c r="I22" s="43"/>
      <c r="J22" s="44"/>
      <c r="K22" s="44"/>
      <c r="L22" s="44"/>
      <c r="M22" s="44"/>
      <c r="N22" s="44"/>
      <c r="O22" s="44"/>
    </row>
    <row r="23" spans="1:15" x14ac:dyDescent="0.25">
      <c r="A23" s="16" t="s">
        <v>68</v>
      </c>
      <c r="B23" s="16" t="s">
        <v>104</v>
      </c>
      <c r="C23" s="16" t="s">
        <v>103</v>
      </c>
      <c r="D23" s="16" t="s">
        <v>208</v>
      </c>
      <c r="E23" s="16" t="s">
        <v>51</v>
      </c>
      <c r="F23" s="16" t="s">
        <v>209</v>
      </c>
      <c r="G23" s="16" t="s">
        <v>5</v>
      </c>
      <c r="H23" s="16" t="s">
        <v>218</v>
      </c>
      <c r="I23" s="15"/>
      <c r="J23" s="16"/>
      <c r="K23" s="16"/>
      <c r="L23" s="16"/>
      <c r="M23" s="16"/>
      <c r="N23" s="16"/>
      <c r="O23" s="16"/>
    </row>
    <row r="24" spans="1:15" x14ac:dyDescent="0.25">
      <c r="A24" s="14" t="s">
        <v>68</v>
      </c>
      <c r="B24" s="14" t="s">
        <v>120</v>
      </c>
      <c r="C24" s="14" t="s">
        <v>119</v>
      </c>
      <c r="D24" s="14" t="s">
        <v>240</v>
      </c>
      <c r="E24" s="14" t="s">
        <v>86</v>
      </c>
      <c r="F24" s="14" t="s">
        <v>241</v>
      </c>
      <c r="G24" s="14" t="s">
        <v>5</v>
      </c>
      <c r="H24" s="14" t="s">
        <v>218</v>
      </c>
      <c r="I24" s="43"/>
      <c r="J24" s="44"/>
      <c r="K24" s="44"/>
      <c r="L24" s="44"/>
      <c r="M24" s="44"/>
      <c r="N24" s="44"/>
      <c r="O24" s="44"/>
    </row>
    <row r="25" spans="1:15" x14ac:dyDescent="0.25">
      <c r="A25" s="16" t="s">
        <v>68</v>
      </c>
      <c r="B25" s="16" t="s">
        <v>138</v>
      </c>
      <c r="C25" s="16" t="s">
        <v>137</v>
      </c>
      <c r="D25" s="16" t="s">
        <v>240</v>
      </c>
      <c r="E25" s="16" t="s">
        <v>86</v>
      </c>
      <c r="F25" s="16" t="s">
        <v>241</v>
      </c>
      <c r="G25" s="16" t="s">
        <v>5</v>
      </c>
      <c r="H25" s="16" t="s">
        <v>210</v>
      </c>
      <c r="I25" s="15"/>
      <c r="J25" s="16"/>
      <c r="K25" s="16"/>
      <c r="L25" s="16"/>
      <c r="M25" s="16"/>
      <c r="N25" s="16"/>
      <c r="O25" s="16"/>
    </row>
    <row r="26" spans="1:15" x14ac:dyDescent="0.25">
      <c r="A26" s="14" t="s">
        <v>68</v>
      </c>
      <c r="B26" s="14" t="s">
        <v>87</v>
      </c>
      <c r="C26" s="14" t="s">
        <v>85</v>
      </c>
      <c r="D26" s="14" t="s">
        <v>240</v>
      </c>
      <c r="E26" s="14" t="s">
        <v>86</v>
      </c>
      <c r="F26" s="14" t="s">
        <v>241</v>
      </c>
      <c r="G26" s="14" t="s">
        <v>5</v>
      </c>
      <c r="H26" s="14" t="s">
        <v>218</v>
      </c>
      <c r="I26" s="43"/>
      <c r="J26" s="44"/>
      <c r="K26" s="44"/>
      <c r="L26" s="44"/>
      <c r="M26" s="44"/>
      <c r="N26" s="44"/>
      <c r="O26" s="44"/>
    </row>
    <row r="27" spans="1:15" x14ac:dyDescent="0.25">
      <c r="A27" s="16" t="s">
        <v>68</v>
      </c>
      <c r="B27" s="16" t="s">
        <v>123</v>
      </c>
      <c r="C27" s="16" t="s">
        <v>122</v>
      </c>
      <c r="D27" s="16" t="s">
        <v>240</v>
      </c>
      <c r="E27" s="16" t="s">
        <v>86</v>
      </c>
      <c r="F27" s="16" t="s">
        <v>241</v>
      </c>
      <c r="G27" s="16" t="s">
        <v>5</v>
      </c>
      <c r="H27" s="16" t="s">
        <v>218</v>
      </c>
      <c r="I27" s="15"/>
      <c r="J27" s="16"/>
      <c r="K27" s="16"/>
      <c r="L27" s="16"/>
      <c r="M27" s="16"/>
      <c r="N27" s="16"/>
      <c r="O27" s="16"/>
    </row>
    <row r="28" spans="1:15" x14ac:dyDescent="0.25">
      <c r="A28" s="14" t="s">
        <v>68</v>
      </c>
      <c r="B28" s="14" t="s">
        <v>141</v>
      </c>
      <c r="C28" s="14" t="s">
        <v>140</v>
      </c>
      <c r="D28" s="14" t="s">
        <v>240</v>
      </c>
      <c r="E28" s="14" t="s">
        <v>86</v>
      </c>
      <c r="F28" s="14" t="s">
        <v>241</v>
      </c>
      <c r="G28" s="14" t="s">
        <v>5</v>
      </c>
      <c r="H28" s="14" t="s">
        <v>210</v>
      </c>
      <c r="I28" s="43"/>
      <c r="J28" s="44"/>
      <c r="K28" s="44"/>
      <c r="L28" s="44"/>
      <c r="M28" s="44"/>
      <c r="N28" s="44"/>
      <c r="O28" s="44"/>
    </row>
    <row r="29" spans="1:15" x14ac:dyDescent="0.25">
      <c r="A29" s="16" t="s">
        <v>68</v>
      </c>
      <c r="B29" s="16" t="s">
        <v>91</v>
      </c>
      <c r="C29" s="16" t="s">
        <v>90</v>
      </c>
      <c r="D29" s="16" t="s">
        <v>240</v>
      </c>
      <c r="E29" s="16" t="s">
        <v>86</v>
      </c>
      <c r="F29" s="16" t="s">
        <v>241</v>
      </c>
      <c r="G29" s="16" t="s">
        <v>5</v>
      </c>
      <c r="H29" s="16" t="s">
        <v>218</v>
      </c>
      <c r="I29" s="15"/>
      <c r="J29" s="16"/>
      <c r="K29" s="16"/>
      <c r="L29" s="16"/>
      <c r="M29" s="16"/>
      <c r="N29" s="16"/>
      <c r="O29" s="16"/>
    </row>
    <row r="30" spans="1:15" x14ac:dyDescent="0.25">
      <c r="A30" s="14" t="s">
        <v>68</v>
      </c>
      <c r="B30" s="14" t="s">
        <v>101</v>
      </c>
      <c r="C30" s="14" t="s">
        <v>100</v>
      </c>
      <c r="D30" s="14" t="s">
        <v>240</v>
      </c>
      <c r="E30" s="14" t="s">
        <v>86</v>
      </c>
      <c r="F30" s="14" t="s">
        <v>241</v>
      </c>
      <c r="G30" s="14" t="s">
        <v>5</v>
      </c>
      <c r="H30" s="14" t="s">
        <v>218</v>
      </c>
      <c r="I30" s="43"/>
      <c r="J30" s="44"/>
      <c r="K30" s="44"/>
      <c r="L30" s="44"/>
      <c r="M30" s="44"/>
      <c r="N30" s="44"/>
      <c r="O30" s="44"/>
    </row>
    <row r="31" spans="1:15" x14ac:dyDescent="0.25">
      <c r="A31" s="16" t="s">
        <v>68</v>
      </c>
      <c r="B31" s="16" t="s">
        <v>94</v>
      </c>
      <c r="C31" s="16" t="s">
        <v>93</v>
      </c>
      <c r="D31" s="16" t="s">
        <v>240</v>
      </c>
      <c r="E31" s="16" t="s">
        <v>86</v>
      </c>
      <c r="F31" s="16" t="s">
        <v>241</v>
      </c>
      <c r="G31" s="16" t="s">
        <v>5</v>
      </c>
      <c r="H31" s="16" t="s">
        <v>218</v>
      </c>
      <c r="I31" s="15"/>
      <c r="J31" s="16"/>
      <c r="K31" s="16"/>
      <c r="L31" s="16"/>
      <c r="M31" s="16"/>
      <c r="N31" s="16"/>
      <c r="O31" s="16"/>
    </row>
    <row r="32" spans="1:15" x14ac:dyDescent="0.25">
      <c r="A32" s="14" t="s">
        <v>68</v>
      </c>
      <c r="B32" s="14" t="s">
        <v>98</v>
      </c>
      <c r="C32" s="14" t="s">
        <v>97</v>
      </c>
      <c r="D32" s="14" t="s">
        <v>240</v>
      </c>
      <c r="E32" s="14" t="s">
        <v>86</v>
      </c>
      <c r="F32" s="14" t="s">
        <v>241</v>
      </c>
      <c r="G32" s="14" t="s">
        <v>5</v>
      </c>
      <c r="H32" s="14" t="s">
        <v>210</v>
      </c>
      <c r="I32" s="43"/>
      <c r="J32" s="44"/>
      <c r="K32" s="44"/>
      <c r="L32" s="44"/>
      <c r="M32" s="44"/>
      <c r="N32" s="44"/>
      <c r="O32" s="44"/>
    </row>
    <row r="33" spans="1:15" x14ac:dyDescent="0.25">
      <c r="A33" s="16" t="s">
        <v>68</v>
      </c>
      <c r="B33" s="16" t="s">
        <v>57</v>
      </c>
      <c r="C33" s="16" t="s">
        <v>69</v>
      </c>
      <c r="D33" s="16" t="s">
        <v>208</v>
      </c>
      <c r="E33" s="16" t="s">
        <v>51</v>
      </c>
      <c r="F33" s="16" t="s">
        <v>209</v>
      </c>
      <c r="G33" s="16" t="s">
        <v>5</v>
      </c>
      <c r="H33" s="16" t="s">
        <v>210</v>
      </c>
      <c r="I33" s="15"/>
      <c r="J33" s="16"/>
      <c r="K33" s="16"/>
      <c r="L33" s="16"/>
      <c r="M33" s="16"/>
      <c r="N33" s="16"/>
      <c r="O33" s="16"/>
    </row>
    <row r="34" spans="1:15" x14ac:dyDescent="0.25">
      <c r="A34" s="14" t="s">
        <v>68</v>
      </c>
      <c r="B34" s="14" t="s">
        <v>57</v>
      </c>
      <c r="C34" s="14" t="s">
        <v>109</v>
      </c>
      <c r="D34" s="14" t="s">
        <v>217</v>
      </c>
      <c r="E34" s="14" t="s">
        <v>48</v>
      </c>
      <c r="F34" s="14" t="s">
        <v>216</v>
      </c>
      <c r="G34" s="14" t="s">
        <v>5</v>
      </c>
      <c r="H34" s="14" t="s">
        <v>218</v>
      </c>
      <c r="I34" s="43"/>
      <c r="J34" s="44"/>
      <c r="K34" s="44"/>
      <c r="L34" s="44"/>
      <c r="M34" s="44"/>
      <c r="N34" s="44"/>
      <c r="O34" s="44"/>
    </row>
    <row r="35" spans="1:15" ht="18" customHeight="1" x14ac:dyDescent="0.25">
      <c r="A35" s="16" t="s">
        <v>68</v>
      </c>
      <c r="B35" s="16" t="s">
        <v>57</v>
      </c>
      <c r="C35" s="16" t="s">
        <v>112</v>
      </c>
      <c r="D35" s="16" t="s">
        <v>402</v>
      </c>
      <c r="E35" s="16" t="s">
        <v>48</v>
      </c>
      <c r="F35" s="16" t="s">
        <v>216</v>
      </c>
      <c r="G35" s="16" t="s">
        <v>5</v>
      </c>
      <c r="H35" s="16" t="s">
        <v>210</v>
      </c>
      <c r="I35" s="15"/>
      <c r="J35" s="16"/>
      <c r="K35" s="16"/>
      <c r="L35" s="16"/>
      <c r="M35" s="16"/>
      <c r="N35" s="16"/>
      <c r="O35" s="16"/>
    </row>
    <row r="36" spans="1:15" x14ac:dyDescent="0.25">
      <c r="A36" s="14" t="s">
        <v>68</v>
      </c>
      <c r="B36" s="14" t="s">
        <v>57</v>
      </c>
      <c r="C36" s="14" t="s">
        <v>148</v>
      </c>
      <c r="D36" s="14" t="s">
        <v>217</v>
      </c>
      <c r="E36" s="14" t="s">
        <v>48</v>
      </c>
      <c r="F36" s="14" t="s">
        <v>216</v>
      </c>
      <c r="G36" s="14" t="s">
        <v>6</v>
      </c>
      <c r="H36" s="14" t="s">
        <v>218</v>
      </c>
      <c r="I36" s="43"/>
      <c r="J36" s="44"/>
      <c r="K36" s="44"/>
      <c r="L36" s="44"/>
      <c r="M36" s="44"/>
      <c r="N36" s="44"/>
      <c r="O36" s="44"/>
    </row>
    <row r="37" spans="1:15" x14ac:dyDescent="0.25">
      <c r="A37" s="16" t="s">
        <v>68</v>
      </c>
      <c r="B37" s="16" t="s">
        <v>57</v>
      </c>
      <c r="C37" s="16" t="s">
        <v>151</v>
      </c>
      <c r="D37" s="16" t="s">
        <v>208</v>
      </c>
      <c r="E37" s="16" t="s">
        <v>51</v>
      </c>
      <c r="F37" s="16" t="s">
        <v>209</v>
      </c>
      <c r="G37" s="16" t="s">
        <v>5</v>
      </c>
      <c r="H37" s="16" t="s">
        <v>210</v>
      </c>
      <c r="I37" s="15"/>
      <c r="J37" s="16"/>
      <c r="K37" s="16"/>
      <c r="L37" s="16"/>
      <c r="M37" s="16"/>
      <c r="N37" s="16"/>
      <c r="O37" s="16"/>
    </row>
    <row r="38" spans="1:15" x14ac:dyDescent="0.25">
      <c r="A38" s="14" t="s">
        <v>68</v>
      </c>
      <c r="B38" s="14" t="s">
        <v>133</v>
      </c>
      <c r="C38" s="14" t="s">
        <v>132</v>
      </c>
      <c r="D38" s="14" t="s">
        <v>240</v>
      </c>
      <c r="E38" s="14" t="s">
        <v>86</v>
      </c>
      <c r="F38" s="14" t="s">
        <v>241</v>
      </c>
      <c r="G38" s="14" t="s">
        <v>6</v>
      </c>
      <c r="H38" s="14" t="s">
        <v>218</v>
      </c>
      <c r="I38" s="43"/>
      <c r="J38" s="44"/>
      <c r="K38" s="44"/>
      <c r="L38" s="44"/>
      <c r="M38" s="44"/>
      <c r="N38" s="44"/>
      <c r="O38" s="44"/>
    </row>
    <row r="39" spans="1:15" x14ac:dyDescent="0.25">
      <c r="A39" s="16" t="s">
        <v>68</v>
      </c>
      <c r="B39" s="16" t="s">
        <v>157</v>
      </c>
      <c r="C39" s="16" t="s">
        <v>156</v>
      </c>
      <c r="D39" s="16" t="s">
        <v>240</v>
      </c>
      <c r="E39" s="16" t="s">
        <v>86</v>
      </c>
      <c r="F39" s="16" t="s">
        <v>241</v>
      </c>
      <c r="G39" s="16" t="s">
        <v>5</v>
      </c>
      <c r="H39" s="16" t="s">
        <v>218</v>
      </c>
      <c r="I39" s="15"/>
      <c r="J39" s="16"/>
      <c r="K39" s="16"/>
      <c r="L39" s="16"/>
      <c r="M39" s="16"/>
      <c r="N39" s="16"/>
      <c r="O39" s="16"/>
    </row>
    <row r="40" spans="1:15" x14ac:dyDescent="0.25">
      <c r="A40" s="14" t="s">
        <v>68</v>
      </c>
      <c r="B40" s="14" t="s">
        <v>154</v>
      </c>
      <c r="C40" s="14" t="s">
        <v>153</v>
      </c>
      <c r="D40" s="14" t="s">
        <v>240</v>
      </c>
      <c r="E40" s="14" t="s">
        <v>86</v>
      </c>
      <c r="F40" s="14" t="s">
        <v>241</v>
      </c>
      <c r="G40" s="14" t="s">
        <v>5</v>
      </c>
      <c r="H40" s="14" t="s">
        <v>218</v>
      </c>
      <c r="I40" s="43"/>
      <c r="J40" s="44"/>
      <c r="K40" s="44"/>
      <c r="L40" s="44"/>
      <c r="M40" s="44"/>
      <c r="N40" s="44"/>
      <c r="O40" s="44"/>
    </row>
    <row r="41" spans="1:15" x14ac:dyDescent="0.25">
      <c r="A41" s="16" t="s">
        <v>68</v>
      </c>
      <c r="B41" s="16" t="s">
        <v>160</v>
      </c>
      <c r="C41" s="16" t="s">
        <v>159</v>
      </c>
      <c r="D41" s="16" t="s">
        <v>240</v>
      </c>
      <c r="E41" s="16" t="s">
        <v>86</v>
      </c>
      <c r="F41" s="16" t="s">
        <v>241</v>
      </c>
      <c r="G41" s="16" t="s">
        <v>5</v>
      </c>
      <c r="H41" s="16" t="s">
        <v>210</v>
      </c>
      <c r="I41" s="15"/>
      <c r="J41" s="16"/>
      <c r="K41" s="16"/>
      <c r="L41" s="16"/>
      <c r="M41" s="16"/>
      <c r="N41" s="16"/>
      <c r="O41" s="16"/>
    </row>
    <row r="42" spans="1:15" x14ac:dyDescent="0.25">
      <c r="A42" s="14" t="s">
        <v>68</v>
      </c>
      <c r="B42" s="14" t="s">
        <v>163</v>
      </c>
      <c r="C42" s="14" t="s">
        <v>162</v>
      </c>
      <c r="D42" s="14" t="s">
        <v>240</v>
      </c>
      <c r="E42" s="14" t="s">
        <v>86</v>
      </c>
      <c r="F42" s="14" t="s">
        <v>241</v>
      </c>
      <c r="G42" s="14" t="s">
        <v>5</v>
      </c>
      <c r="H42" s="14" t="s">
        <v>218</v>
      </c>
      <c r="I42" s="43"/>
      <c r="J42" s="44"/>
      <c r="K42" s="44"/>
      <c r="L42" s="44"/>
      <c r="M42" s="44"/>
      <c r="N42" s="44"/>
      <c r="O42" s="44"/>
    </row>
    <row r="43" spans="1:15" x14ac:dyDescent="0.25">
      <c r="A43" s="16" t="s">
        <v>68</v>
      </c>
      <c r="B43" s="16" t="s">
        <v>165</v>
      </c>
      <c r="C43" s="16" t="s">
        <v>164</v>
      </c>
      <c r="D43" s="16" t="s">
        <v>240</v>
      </c>
      <c r="E43" s="16" t="s">
        <v>86</v>
      </c>
      <c r="F43" s="16" t="s">
        <v>241</v>
      </c>
      <c r="G43" s="16" t="s">
        <v>5</v>
      </c>
      <c r="H43" s="16" t="s">
        <v>210</v>
      </c>
      <c r="I43" s="15"/>
      <c r="J43" s="16"/>
      <c r="K43" s="16"/>
      <c r="L43" s="16"/>
      <c r="M43" s="16"/>
      <c r="N43" s="16"/>
      <c r="O43" s="16"/>
    </row>
    <row r="44" spans="1:15" x14ac:dyDescent="0.25">
      <c r="A44" s="14" t="s">
        <v>68</v>
      </c>
      <c r="B44" s="14" t="s">
        <v>168</v>
      </c>
      <c r="C44" s="14" t="s">
        <v>167</v>
      </c>
      <c r="D44" s="14" t="s">
        <v>240</v>
      </c>
      <c r="E44" s="14" t="s">
        <v>86</v>
      </c>
      <c r="F44" s="14" t="s">
        <v>241</v>
      </c>
      <c r="G44" s="14" t="s">
        <v>5</v>
      </c>
      <c r="H44" s="14" t="s">
        <v>218</v>
      </c>
      <c r="I44" s="43"/>
      <c r="J44" s="44"/>
      <c r="K44" s="44"/>
      <c r="L44" s="44"/>
      <c r="M44" s="44"/>
      <c r="N44" s="44"/>
      <c r="O44" s="44"/>
    </row>
    <row r="45" spans="1:15" x14ac:dyDescent="0.25">
      <c r="A45" s="16"/>
      <c r="B45" s="16"/>
      <c r="C45" s="16"/>
      <c r="D45" s="16"/>
      <c r="E45" s="16"/>
      <c r="F45" s="16"/>
      <c r="G45" s="16"/>
      <c r="H45" s="16"/>
      <c r="I45" s="15"/>
      <c r="J45" s="16"/>
      <c r="K45" s="16"/>
      <c r="L45" s="16"/>
      <c r="M45" s="16"/>
      <c r="N45" s="16"/>
      <c r="O45" s="16"/>
    </row>
    <row r="46" spans="1:15" x14ac:dyDescent="0.25">
      <c r="A46" s="14"/>
      <c r="B46" s="14"/>
      <c r="C46" s="14"/>
      <c r="D46" s="14"/>
      <c r="E46" s="14"/>
      <c r="F46" s="14"/>
      <c r="G46" s="14"/>
      <c r="H46" s="14"/>
      <c r="I46" s="43"/>
      <c r="J46" s="44"/>
      <c r="K46" s="44"/>
      <c r="L46" s="44"/>
      <c r="M46" s="44"/>
      <c r="N46" s="44"/>
      <c r="O46" s="44"/>
    </row>
    <row r="47" spans="1:15" x14ac:dyDescent="0.25">
      <c r="A47" s="16"/>
      <c r="B47" s="16"/>
      <c r="C47" s="16"/>
      <c r="D47" s="16"/>
      <c r="E47" s="16"/>
      <c r="F47" s="16"/>
      <c r="G47" s="16"/>
      <c r="H47" s="16"/>
      <c r="I47" s="15"/>
      <c r="J47" s="16"/>
      <c r="K47" s="16"/>
      <c r="L47" s="16"/>
      <c r="M47" s="16"/>
      <c r="N47" s="16"/>
      <c r="O47" s="16"/>
    </row>
    <row r="48" spans="1:15" x14ac:dyDescent="0.25">
      <c r="A48" s="14"/>
      <c r="B48" s="14"/>
      <c r="C48" s="14"/>
      <c r="D48" s="14"/>
      <c r="E48" s="14"/>
      <c r="F48" s="14"/>
      <c r="G48" s="14"/>
      <c r="H48" s="14"/>
      <c r="I48" s="43"/>
      <c r="J48" s="44"/>
      <c r="K48" s="44"/>
      <c r="L48" s="44"/>
      <c r="M48" s="44"/>
      <c r="N48" s="44"/>
      <c r="O48" s="44"/>
    </row>
    <row r="49" spans="1:15" x14ac:dyDescent="0.25">
      <c r="A49" s="16"/>
      <c r="B49" s="16"/>
      <c r="C49" s="16"/>
      <c r="D49" s="16"/>
      <c r="E49" s="16"/>
      <c r="F49" s="16"/>
      <c r="G49" s="16"/>
      <c r="H49" s="16"/>
      <c r="I49" s="15"/>
      <c r="J49" s="16"/>
      <c r="K49" s="16"/>
      <c r="L49" s="16"/>
      <c r="M49" s="16"/>
      <c r="N49" s="16"/>
      <c r="O49" s="1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COUNTIFS($E$7:$E$47,A115)</f>
        <v>5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>COUNTIFS($E$7:$E$47,A116)</f>
        <v>3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>COUNTIFS($E$7:$E$47,A117)</f>
        <v>19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>COUNTIFS($E$7:$E$47,A118)</f>
        <v>11</v>
      </c>
      <c r="H118" s="4"/>
      <c r="I118" s="3"/>
    </row>
    <row r="119" spans="1:9" x14ac:dyDescent="0.25">
      <c r="H119" s="4"/>
      <c r="I119" s="3"/>
    </row>
    <row r="120" spans="1:9" ht="18.75" x14ac:dyDescent="0.25">
      <c r="A120" s="159" t="s">
        <v>261</v>
      </c>
      <c r="B120" s="160"/>
      <c r="C120" s="161"/>
      <c r="H120" s="4"/>
      <c r="I120" s="3"/>
    </row>
    <row r="121" spans="1:9" x14ac:dyDescent="0.25">
      <c r="A121" s="36" t="s">
        <v>43</v>
      </c>
      <c r="B121" s="37" t="s">
        <v>259</v>
      </c>
      <c r="C121" s="36" t="s">
        <v>260</v>
      </c>
      <c r="H121" s="4"/>
      <c r="I121" s="3"/>
    </row>
    <row r="122" spans="1:9" x14ac:dyDescent="0.25">
      <c r="A122" s="39" t="s">
        <v>48</v>
      </c>
      <c r="B122" s="1" t="s">
        <v>216</v>
      </c>
      <c r="C122" s="38">
        <f>COUNTIFS($E$7:$E$47,A122,$H$7:$H$47,"Trocar")</f>
        <v>2</v>
      </c>
      <c r="H122" s="4"/>
      <c r="I122" s="3"/>
    </row>
    <row r="123" spans="1:9" x14ac:dyDescent="0.25">
      <c r="A123" s="39" t="s">
        <v>54</v>
      </c>
      <c r="B123" s="1" t="s">
        <v>219</v>
      </c>
      <c r="C123" s="38">
        <f>COUNTIFS($E$7:$E$47,A123,$H$7:$H$47,"Trocar")</f>
        <v>1</v>
      </c>
      <c r="H123" s="4"/>
      <c r="I123" s="3"/>
    </row>
    <row r="124" spans="1:9" x14ac:dyDescent="0.25">
      <c r="A124" s="39" t="s">
        <v>86</v>
      </c>
      <c r="B124" s="1" t="s">
        <v>241</v>
      </c>
      <c r="C124" s="38">
        <f>COUNTIFS($E$7:$E$47,A124,$H$7:$H$47,"Trocar")</f>
        <v>6</v>
      </c>
      <c r="H124" s="4"/>
      <c r="I124" s="3"/>
    </row>
    <row r="125" spans="1:9" x14ac:dyDescent="0.25">
      <c r="A125" s="39" t="s">
        <v>51</v>
      </c>
      <c r="B125" s="1" t="s">
        <v>209</v>
      </c>
      <c r="C125" s="38">
        <f>COUNTIFS($E$7:$E$47,A125,$H$7:$H$47,"Trocar")</f>
        <v>10</v>
      </c>
      <c r="H125" s="4"/>
      <c r="I125" s="3"/>
    </row>
    <row r="126" spans="1:9" x14ac:dyDescent="0.25">
      <c r="H126" s="4"/>
      <c r="I126" s="3"/>
    </row>
  </sheetData>
  <autoFilter ref="A6:O44" xr:uid="{29409446-0286-4617-8ECE-ACCA81EF7D93}">
    <sortState xmlns:xlrd2="http://schemas.microsoft.com/office/spreadsheetml/2017/richdata2" ref="A7:O44">
      <sortCondition ref="A6:A44"/>
    </sortState>
  </autoFilter>
  <mergeCells count="18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M3:N3"/>
    <mergeCell ref="B60:I60"/>
    <mergeCell ref="B61:I61"/>
    <mergeCell ref="B62:I62"/>
    <mergeCell ref="A113:C113"/>
    <mergeCell ref="A120:C120"/>
  </mergeCells>
  <phoneticPr fontId="1" type="noConversion"/>
  <pageMargins left="0.23622047244094491" right="0.23622047244094491" top="0.15748031496062992" bottom="0.15748031496062992" header="0" footer="0"/>
  <pageSetup paperSize="9" scale="57" fitToHeight="0" orientation="landscape" horizontalDpi="4294967293" verticalDpi="4294967293" r:id="rId1"/>
  <rowBreaks count="1" manualBreakCount="1">
    <brk id="55" max="1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F33C-551D-4180-A125-58B82265F5E7}">
  <sheetPr codeName="Planilha17">
    <tabColor rgb="FFFFC000"/>
    <pageSetUpPr fitToPage="1"/>
  </sheetPr>
  <dimension ref="A1:X127"/>
  <sheetViews>
    <sheetView showGridLines="0" view="pageBreakPreview" zoomScale="80" zoomScaleNormal="55" zoomScaleSheetLayoutView="80" workbookViewId="0">
      <selection activeCell="C11" sqref="C11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66.42578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2" style="3" customWidth="1"/>
    <col min="19" max="19" width="16.28515625" style="3" customWidth="1"/>
    <col min="20" max="23" width="9.140625" style="3"/>
    <col min="24" max="24" width="14.28515625" style="3" customWidth="1"/>
    <col min="25" max="16384" width="9.140625" style="3"/>
  </cols>
  <sheetData>
    <row r="1" spans="1:24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4" s="2" customFormat="1" ht="8.25" customHeight="1" x14ac:dyDescent="0.25">
      <c r="I2" s="20"/>
    </row>
    <row r="3" spans="1:24" s="2" customFormat="1" ht="27.6" customHeight="1" x14ac:dyDescent="0.25">
      <c r="A3" s="34" t="s">
        <v>193</v>
      </c>
      <c r="B3" s="33" t="s">
        <v>623</v>
      </c>
      <c r="C3" s="26"/>
      <c r="D3" s="35" t="s">
        <v>299</v>
      </c>
      <c r="E3" s="27"/>
      <c r="F3" s="28"/>
      <c r="G3" s="28"/>
      <c r="H3" s="35" t="s">
        <v>196</v>
      </c>
      <c r="I3" s="27"/>
      <c r="J3" s="27"/>
      <c r="K3" s="35" t="s">
        <v>624</v>
      </c>
      <c r="L3" s="27"/>
      <c r="M3" s="27"/>
      <c r="N3" s="27"/>
      <c r="O3" s="29"/>
    </row>
    <row r="4" spans="1:24" s="2" customFormat="1" x14ac:dyDescent="0.25">
      <c r="C4" s="24"/>
      <c r="I4" s="20"/>
    </row>
    <row r="5" spans="1:24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T5" s="207" t="s">
        <v>625</v>
      </c>
      <c r="U5" s="207"/>
      <c r="V5" s="207"/>
      <c r="W5" s="207"/>
      <c r="X5" s="23"/>
    </row>
    <row r="6" spans="1:24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R6" s="100" t="s">
        <v>204</v>
      </c>
      <c r="S6" s="100" t="s">
        <v>205</v>
      </c>
      <c r="T6" s="100">
        <v>1</v>
      </c>
      <c r="U6" s="100">
        <v>2</v>
      </c>
      <c r="V6" s="100">
        <v>3</v>
      </c>
      <c r="W6" s="100">
        <v>4</v>
      </c>
      <c r="X6" s="101" t="s">
        <v>206</v>
      </c>
    </row>
    <row r="7" spans="1:24" x14ac:dyDescent="0.25">
      <c r="A7" s="7" t="s">
        <v>49</v>
      </c>
      <c r="B7" s="7" t="s">
        <v>626</v>
      </c>
      <c r="C7" s="13" t="s">
        <v>81</v>
      </c>
      <c r="D7" s="7" t="s">
        <v>208</v>
      </c>
      <c r="E7" s="7" t="s">
        <v>51</v>
      </c>
      <c r="F7" s="7" t="s">
        <v>209</v>
      </c>
      <c r="G7" s="7" t="s">
        <v>5</v>
      </c>
      <c r="H7" s="7" t="s">
        <v>210</v>
      </c>
      <c r="I7" s="46">
        <v>46232</v>
      </c>
      <c r="J7" s="1" t="s">
        <v>266</v>
      </c>
      <c r="K7" s="1"/>
      <c r="L7" s="1"/>
      <c r="M7" s="1"/>
      <c r="N7" s="1" t="s">
        <v>267</v>
      </c>
      <c r="O7" s="1" t="s">
        <v>268</v>
      </c>
      <c r="R7" s="102">
        <v>46151</v>
      </c>
      <c r="S7" s="103" t="s">
        <v>210</v>
      </c>
      <c r="T7" s="103" t="s">
        <v>267</v>
      </c>
      <c r="U7" s="103"/>
      <c r="V7" s="103"/>
      <c r="W7" s="103"/>
      <c r="X7" s="103" t="s">
        <v>529</v>
      </c>
    </row>
    <row r="8" spans="1:24" x14ac:dyDescent="0.25">
      <c r="A8" s="6" t="s">
        <v>49</v>
      </c>
      <c r="B8" s="6" t="s">
        <v>627</v>
      </c>
      <c r="C8" s="6" t="s">
        <v>61</v>
      </c>
      <c r="D8" s="6" t="s">
        <v>208</v>
      </c>
      <c r="E8" s="6" t="s">
        <v>51</v>
      </c>
      <c r="F8" s="6" t="s">
        <v>209</v>
      </c>
      <c r="G8" s="6" t="s">
        <v>5</v>
      </c>
      <c r="H8" s="6" t="s">
        <v>210</v>
      </c>
      <c r="I8" s="45">
        <v>46232</v>
      </c>
      <c r="J8" s="6" t="s">
        <v>266</v>
      </c>
      <c r="K8" s="6"/>
      <c r="L8" s="6"/>
      <c r="M8" s="6"/>
      <c r="N8" s="6" t="s">
        <v>267</v>
      </c>
      <c r="O8" s="6" t="s">
        <v>268</v>
      </c>
      <c r="R8" s="104">
        <v>46151</v>
      </c>
      <c r="S8" s="105" t="s">
        <v>218</v>
      </c>
      <c r="T8" s="105"/>
      <c r="U8" s="105"/>
      <c r="V8" s="105" t="s">
        <v>267</v>
      </c>
      <c r="W8" s="105"/>
      <c r="X8" s="105" t="s">
        <v>529</v>
      </c>
    </row>
    <row r="9" spans="1:24" x14ac:dyDescent="0.25">
      <c r="A9" s="7" t="s">
        <v>49</v>
      </c>
      <c r="B9" s="7" t="s">
        <v>628</v>
      </c>
      <c r="C9" s="13" t="s">
        <v>64</v>
      </c>
      <c r="D9" s="7" t="s">
        <v>208</v>
      </c>
      <c r="E9" s="7" t="s">
        <v>51</v>
      </c>
      <c r="F9" s="7" t="s">
        <v>209</v>
      </c>
      <c r="G9" s="7" t="s">
        <v>5</v>
      </c>
      <c r="H9" s="7" t="s">
        <v>210</v>
      </c>
      <c r="I9" s="46">
        <v>46232</v>
      </c>
      <c r="J9" s="1" t="s">
        <v>266</v>
      </c>
      <c r="K9" s="1"/>
      <c r="L9" s="1"/>
      <c r="M9" s="1"/>
      <c r="N9" s="1" t="s">
        <v>267</v>
      </c>
      <c r="O9" s="1" t="s">
        <v>268</v>
      </c>
      <c r="R9" s="102">
        <v>46151</v>
      </c>
      <c r="S9" s="103" t="s">
        <v>218</v>
      </c>
      <c r="T9" s="103"/>
      <c r="U9" s="103"/>
      <c r="V9" s="103" t="s">
        <v>267</v>
      </c>
      <c r="W9" s="103"/>
      <c r="X9" s="103" t="s">
        <v>529</v>
      </c>
    </row>
    <row r="10" spans="1:24" x14ac:dyDescent="0.25">
      <c r="A10" s="6" t="s">
        <v>49</v>
      </c>
      <c r="B10" s="6" t="s">
        <v>629</v>
      </c>
      <c r="C10" s="6" t="s">
        <v>77</v>
      </c>
      <c r="D10" s="6" t="s">
        <v>217</v>
      </c>
      <c r="E10" s="6" t="s">
        <v>48</v>
      </c>
      <c r="F10" s="6" t="s">
        <v>216</v>
      </c>
      <c r="G10" s="6" t="s">
        <v>5</v>
      </c>
      <c r="H10" s="6" t="s">
        <v>210</v>
      </c>
      <c r="I10" s="45">
        <v>46232</v>
      </c>
      <c r="J10" s="6" t="s">
        <v>266</v>
      </c>
      <c r="K10" s="6"/>
      <c r="L10" s="6"/>
      <c r="M10" s="6"/>
      <c r="N10" s="6" t="s">
        <v>267</v>
      </c>
      <c r="O10" s="6" t="s">
        <v>268</v>
      </c>
      <c r="R10" s="104">
        <v>46151</v>
      </c>
      <c r="S10" s="105" t="s">
        <v>210</v>
      </c>
      <c r="T10" s="105"/>
      <c r="U10" s="105" t="s">
        <v>267</v>
      </c>
      <c r="V10" s="105"/>
      <c r="W10" s="105"/>
      <c r="X10" s="105" t="s">
        <v>529</v>
      </c>
    </row>
    <row r="11" spans="1:24" x14ac:dyDescent="0.25">
      <c r="A11" s="7" t="s">
        <v>49</v>
      </c>
      <c r="B11" s="7" t="s">
        <v>630</v>
      </c>
      <c r="C11" s="13" t="s">
        <v>50</v>
      </c>
      <c r="D11" s="7" t="s">
        <v>208</v>
      </c>
      <c r="E11" s="7" t="s">
        <v>51</v>
      </c>
      <c r="F11" s="7" t="s">
        <v>209</v>
      </c>
      <c r="G11" s="7" t="s">
        <v>5</v>
      </c>
      <c r="H11" s="7" t="s">
        <v>210</v>
      </c>
      <c r="I11" s="46">
        <v>46232</v>
      </c>
      <c r="J11" s="1" t="s">
        <v>266</v>
      </c>
      <c r="K11" s="1"/>
      <c r="L11" s="1"/>
      <c r="M11" s="1" t="s">
        <v>267</v>
      </c>
      <c r="N11" s="1"/>
      <c r="O11" s="1" t="s">
        <v>268</v>
      </c>
      <c r="R11" s="102">
        <v>46151</v>
      </c>
      <c r="S11" s="103" t="s">
        <v>210</v>
      </c>
      <c r="T11" s="103"/>
      <c r="U11" s="103" t="s">
        <v>267</v>
      </c>
      <c r="V11" s="103"/>
      <c r="W11" s="103"/>
      <c r="X11" s="103" t="s">
        <v>529</v>
      </c>
    </row>
    <row r="12" spans="1:24" x14ac:dyDescent="0.25">
      <c r="A12" s="6" t="s">
        <v>49</v>
      </c>
      <c r="B12" s="6" t="s">
        <v>57</v>
      </c>
      <c r="C12" s="6" t="s">
        <v>53</v>
      </c>
      <c r="D12" s="6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45">
        <v>46232</v>
      </c>
      <c r="J12" s="6" t="s">
        <v>266</v>
      </c>
      <c r="K12" s="6"/>
      <c r="L12" s="6"/>
      <c r="M12" s="6" t="s">
        <v>267</v>
      </c>
      <c r="N12" s="6"/>
      <c r="O12" s="6" t="s">
        <v>268</v>
      </c>
      <c r="R12" s="104">
        <v>46151</v>
      </c>
      <c r="S12" s="105" t="s">
        <v>210</v>
      </c>
      <c r="T12" s="105"/>
      <c r="U12" s="105" t="s">
        <v>267</v>
      </c>
      <c r="V12" s="105"/>
      <c r="W12" s="105"/>
      <c r="X12" s="105" t="s">
        <v>529</v>
      </c>
    </row>
    <row r="13" spans="1:24" x14ac:dyDescent="0.25">
      <c r="A13" s="7" t="s">
        <v>49</v>
      </c>
      <c r="B13" s="7" t="s">
        <v>57</v>
      </c>
      <c r="C13" s="13" t="s">
        <v>58</v>
      </c>
      <c r="D13" s="7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6">
        <v>46232</v>
      </c>
      <c r="J13" s="1" t="s">
        <v>273</v>
      </c>
      <c r="K13" s="1"/>
      <c r="L13" s="1"/>
      <c r="M13" s="1" t="s">
        <v>267</v>
      </c>
      <c r="N13" s="1"/>
      <c r="O13" s="1" t="s">
        <v>268</v>
      </c>
      <c r="R13" s="102">
        <v>46151</v>
      </c>
      <c r="S13" s="103" t="s">
        <v>210</v>
      </c>
      <c r="T13" s="103"/>
      <c r="U13" s="103" t="s">
        <v>267</v>
      </c>
      <c r="V13" s="103"/>
      <c r="W13" s="103"/>
      <c r="X13" s="103" t="s">
        <v>529</v>
      </c>
    </row>
    <row r="14" spans="1:24" x14ac:dyDescent="0.25">
      <c r="A14" s="6" t="s">
        <v>49</v>
      </c>
      <c r="B14" s="6" t="s">
        <v>57</v>
      </c>
      <c r="C14" s="6" t="s">
        <v>56</v>
      </c>
      <c r="D14" s="6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45">
        <v>46232</v>
      </c>
      <c r="J14" s="6" t="s">
        <v>273</v>
      </c>
      <c r="K14" s="6"/>
      <c r="L14" s="6"/>
      <c r="M14" s="6" t="s">
        <v>267</v>
      </c>
      <c r="N14" s="6"/>
      <c r="O14" s="6" t="s">
        <v>268</v>
      </c>
      <c r="R14" s="104">
        <v>46151</v>
      </c>
      <c r="S14" s="105" t="s">
        <v>210</v>
      </c>
      <c r="T14" s="105"/>
      <c r="U14" s="105" t="s">
        <v>267</v>
      </c>
      <c r="V14" s="105"/>
      <c r="W14" s="105"/>
      <c r="X14" s="105" t="s">
        <v>529</v>
      </c>
    </row>
    <row r="15" spans="1:24" x14ac:dyDescent="0.25">
      <c r="A15" s="7" t="s">
        <v>49</v>
      </c>
      <c r="B15" s="7" t="s">
        <v>57</v>
      </c>
      <c r="C15" s="13" t="s">
        <v>169</v>
      </c>
      <c r="D15" s="7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6">
        <v>46232</v>
      </c>
      <c r="J15" s="1" t="s">
        <v>273</v>
      </c>
      <c r="K15" s="1"/>
      <c r="L15" s="1"/>
      <c r="M15" s="1" t="s">
        <v>267</v>
      </c>
      <c r="N15" s="1"/>
      <c r="O15" s="1" t="s">
        <v>268</v>
      </c>
      <c r="R15" s="102">
        <v>46151</v>
      </c>
      <c r="S15" s="103" t="s">
        <v>210</v>
      </c>
      <c r="T15" s="103"/>
      <c r="U15" s="103"/>
      <c r="V15" s="103" t="s">
        <v>267</v>
      </c>
      <c r="W15" s="103"/>
      <c r="X15" s="103" t="s">
        <v>529</v>
      </c>
    </row>
    <row r="16" spans="1:24" x14ac:dyDescent="0.25">
      <c r="A16" s="6" t="s">
        <v>49</v>
      </c>
      <c r="B16" s="6" t="s">
        <v>631</v>
      </c>
      <c r="C16" s="6" t="s">
        <v>129</v>
      </c>
      <c r="D16" s="6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45">
        <v>46232</v>
      </c>
      <c r="J16" s="6" t="s">
        <v>266</v>
      </c>
      <c r="K16" s="6"/>
      <c r="L16" s="6"/>
      <c r="M16" s="6" t="s">
        <v>267</v>
      </c>
      <c r="N16" s="6"/>
      <c r="O16" s="6" t="s">
        <v>268</v>
      </c>
      <c r="R16" s="104">
        <v>46151</v>
      </c>
      <c r="S16" s="105" t="s">
        <v>210</v>
      </c>
      <c r="T16" s="105"/>
      <c r="U16" s="105" t="s">
        <v>267</v>
      </c>
      <c r="V16" s="105"/>
      <c r="W16" s="105"/>
      <c r="X16" s="105" t="s">
        <v>529</v>
      </c>
    </row>
    <row r="17" spans="1:24" x14ac:dyDescent="0.25">
      <c r="A17" s="7" t="s">
        <v>49</v>
      </c>
      <c r="B17" s="7" t="s">
        <v>632</v>
      </c>
      <c r="C17" s="13" t="s">
        <v>72</v>
      </c>
      <c r="D17" s="7" t="s">
        <v>208</v>
      </c>
      <c r="E17" s="7" t="s">
        <v>51</v>
      </c>
      <c r="F17" s="7" t="s">
        <v>209</v>
      </c>
      <c r="G17" s="7" t="s">
        <v>5</v>
      </c>
      <c r="H17" s="7" t="s">
        <v>210</v>
      </c>
      <c r="I17" s="46">
        <v>46232</v>
      </c>
      <c r="J17" s="1" t="s">
        <v>266</v>
      </c>
      <c r="K17" s="1"/>
      <c r="L17" s="1"/>
      <c r="M17" s="1" t="s">
        <v>267</v>
      </c>
      <c r="N17" s="1"/>
      <c r="O17" s="1" t="s">
        <v>268</v>
      </c>
      <c r="R17" s="102">
        <v>46151</v>
      </c>
      <c r="S17" s="103" t="s">
        <v>210</v>
      </c>
      <c r="T17" s="103"/>
      <c r="U17" s="103"/>
      <c r="V17" s="103" t="s">
        <v>267</v>
      </c>
      <c r="W17" s="103"/>
      <c r="X17" s="103" t="s">
        <v>529</v>
      </c>
    </row>
    <row r="18" spans="1:24" x14ac:dyDescent="0.25">
      <c r="A18" s="6" t="s">
        <v>68</v>
      </c>
      <c r="B18" s="6" t="s">
        <v>633</v>
      </c>
      <c r="C18" s="6" t="s">
        <v>125</v>
      </c>
      <c r="D18" s="6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45">
        <v>46232</v>
      </c>
      <c r="J18" s="6" t="s">
        <v>273</v>
      </c>
      <c r="K18" s="6"/>
      <c r="L18" s="6"/>
      <c r="M18" s="6"/>
      <c r="N18" s="6" t="s">
        <v>267</v>
      </c>
      <c r="O18" s="6" t="s">
        <v>268</v>
      </c>
      <c r="R18" s="104">
        <v>46151</v>
      </c>
      <c r="S18" s="105" t="s">
        <v>210</v>
      </c>
      <c r="T18" s="105"/>
      <c r="U18" s="105" t="s">
        <v>267</v>
      </c>
      <c r="V18" s="105"/>
      <c r="W18" s="105"/>
      <c r="X18" s="105" t="s">
        <v>529</v>
      </c>
    </row>
    <row r="19" spans="1:24" x14ac:dyDescent="0.25">
      <c r="A19" s="7" t="s">
        <v>68</v>
      </c>
      <c r="B19" s="7" t="s">
        <v>634</v>
      </c>
      <c r="C19" s="13" t="s">
        <v>144</v>
      </c>
      <c r="D19" s="7" t="s">
        <v>240</v>
      </c>
      <c r="E19" s="7" t="s">
        <v>86</v>
      </c>
      <c r="F19" s="7" t="s">
        <v>241</v>
      </c>
      <c r="G19" s="7" t="s">
        <v>5</v>
      </c>
      <c r="H19" s="7" t="s">
        <v>210</v>
      </c>
      <c r="I19" s="46">
        <v>46232</v>
      </c>
      <c r="J19" s="1" t="s">
        <v>266</v>
      </c>
      <c r="K19" s="1"/>
      <c r="L19" s="1"/>
      <c r="M19" s="1"/>
      <c r="N19" s="1" t="s">
        <v>267</v>
      </c>
      <c r="O19" s="1" t="s">
        <v>268</v>
      </c>
      <c r="R19" s="102">
        <v>46151</v>
      </c>
      <c r="S19" s="103" t="s">
        <v>210</v>
      </c>
      <c r="T19" s="103"/>
      <c r="U19" s="103" t="s">
        <v>267</v>
      </c>
      <c r="V19" s="103"/>
      <c r="W19" s="103"/>
      <c r="X19" s="103" t="s">
        <v>529</v>
      </c>
    </row>
    <row r="20" spans="1:24" x14ac:dyDescent="0.25">
      <c r="A20" s="6" t="s">
        <v>68</v>
      </c>
      <c r="B20" s="6" t="s">
        <v>635</v>
      </c>
      <c r="C20" s="6" t="s">
        <v>106</v>
      </c>
      <c r="D20" s="6" t="s">
        <v>240</v>
      </c>
      <c r="E20" s="6" t="s">
        <v>86</v>
      </c>
      <c r="F20" s="6" t="s">
        <v>241</v>
      </c>
      <c r="G20" s="6" t="s">
        <v>5</v>
      </c>
      <c r="H20" s="6" t="s">
        <v>218</v>
      </c>
      <c r="I20" s="45">
        <v>46232</v>
      </c>
      <c r="J20" s="6" t="s">
        <v>273</v>
      </c>
      <c r="K20" s="6"/>
      <c r="L20" s="6"/>
      <c r="M20" s="6"/>
      <c r="N20" s="6" t="s">
        <v>267</v>
      </c>
      <c r="O20" s="6" t="s">
        <v>268</v>
      </c>
      <c r="R20" s="104">
        <v>46151</v>
      </c>
      <c r="S20" s="105" t="s">
        <v>210</v>
      </c>
      <c r="T20" s="105"/>
      <c r="U20" s="105" t="s">
        <v>267</v>
      </c>
      <c r="V20" s="105"/>
      <c r="W20" s="105"/>
      <c r="X20" s="105" t="s">
        <v>529</v>
      </c>
    </row>
    <row r="21" spans="1:24" x14ac:dyDescent="0.25">
      <c r="A21" s="7" t="s">
        <v>68</v>
      </c>
      <c r="B21" s="7" t="s">
        <v>636</v>
      </c>
      <c r="C21" s="13" t="s">
        <v>115</v>
      </c>
      <c r="D21" s="7" t="s">
        <v>208</v>
      </c>
      <c r="E21" s="7" t="s">
        <v>51</v>
      </c>
      <c r="F21" s="7" t="s">
        <v>209</v>
      </c>
      <c r="G21" s="7" t="s">
        <v>5</v>
      </c>
      <c r="H21" s="7" t="s">
        <v>210</v>
      </c>
      <c r="I21" s="46">
        <v>46232</v>
      </c>
      <c r="J21" s="1" t="s">
        <v>266</v>
      </c>
      <c r="K21" s="1"/>
      <c r="L21" s="1"/>
      <c r="M21" s="1"/>
      <c r="N21" s="1" t="s">
        <v>267</v>
      </c>
      <c r="O21" s="1" t="s">
        <v>268</v>
      </c>
      <c r="R21" s="102">
        <v>46151</v>
      </c>
      <c r="S21" s="103" t="s">
        <v>210</v>
      </c>
      <c r="T21" s="103"/>
      <c r="U21" s="103" t="s">
        <v>267</v>
      </c>
      <c r="V21" s="103"/>
      <c r="W21" s="103"/>
      <c r="X21" s="103" t="s">
        <v>529</v>
      </c>
    </row>
    <row r="22" spans="1:24" x14ac:dyDescent="0.25">
      <c r="A22" s="6" t="s">
        <v>68</v>
      </c>
      <c r="B22" s="6" t="s">
        <v>637</v>
      </c>
      <c r="C22" s="6" t="s">
        <v>135</v>
      </c>
      <c r="D22" s="6" t="s">
        <v>208</v>
      </c>
      <c r="E22" s="6" t="s">
        <v>51</v>
      </c>
      <c r="F22" s="6" t="s">
        <v>209</v>
      </c>
      <c r="G22" s="6" t="s">
        <v>5</v>
      </c>
      <c r="H22" s="6" t="s">
        <v>210</v>
      </c>
      <c r="I22" s="45">
        <v>46232</v>
      </c>
      <c r="J22" s="6" t="s">
        <v>266</v>
      </c>
      <c r="K22" s="6"/>
      <c r="L22" s="6"/>
      <c r="M22" s="6"/>
      <c r="N22" s="6" t="s">
        <v>267</v>
      </c>
      <c r="O22" s="6" t="s">
        <v>268</v>
      </c>
      <c r="R22" s="104">
        <v>46151</v>
      </c>
      <c r="S22" s="105" t="s">
        <v>210</v>
      </c>
      <c r="T22" s="105"/>
      <c r="U22" s="105" t="s">
        <v>267</v>
      </c>
      <c r="V22" s="105"/>
      <c r="W22" s="105"/>
      <c r="X22" s="105" t="s">
        <v>529</v>
      </c>
    </row>
    <row r="23" spans="1:24" x14ac:dyDescent="0.25">
      <c r="A23" s="7" t="s">
        <v>68</v>
      </c>
      <c r="B23" s="7" t="s">
        <v>638</v>
      </c>
      <c r="C23" s="13" t="s">
        <v>103</v>
      </c>
      <c r="D23" s="7" t="s">
        <v>208</v>
      </c>
      <c r="E23" s="7" t="s">
        <v>51</v>
      </c>
      <c r="F23" s="7" t="s">
        <v>209</v>
      </c>
      <c r="G23" s="7" t="s">
        <v>5</v>
      </c>
      <c r="H23" s="7" t="s">
        <v>218</v>
      </c>
      <c r="I23" s="46">
        <v>46232</v>
      </c>
      <c r="J23" s="1" t="s">
        <v>273</v>
      </c>
      <c r="K23" s="1"/>
      <c r="L23" s="1"/>
      <c r="M23" s="1"/>
      <c r="N23" s="1" t="s">
        <v>267</v>
      </c>
      <c r="O23" s="1" t="s">
        <v>268</v>
      </c>
      <c r="R23" s="102">
        <v>46152</v>
      </c>
      <c r="S23" s="103" t="s">
        <v>210</v>
      </c>
      <c r="T23" s="103"/>
      <c r="U23" s="103"/>
      <c r="V23" s="103"/>
      <c r="W23" s="103" t="s">
        <v>267</v>
      </c>
      <c r="X23" s="103" t="s">
        <v>268</v>
      </c>
    </row>
    <row r="24" spans="1:24" x14ac:dyDescent="0.25">
      <c r="A24" s="6" t="s">
        <v>68</v>
      </c>
      <c r="B24" s="6" t="s">
        <v>639</v>
      </c>
      <c r="C24" s="6" t="s">
        <v>119</v>
      </c>
      <c r="D24" s="6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45">
        <v>46232</v>
      </c>
      <c r="J24" s="6" t="s">
        <v>273</v>
      </c>
      <c r="K24" s="6"/>
      <c r="L24" s="6"/>
      <c r="M24" s="6"/>
      <c r="N24" s="6" t="s">
        <v>267</v>
      </c>
      <c r="O24" s="6" t="s">
        <v>268</v>
      </c>
      <c r="R24" s="104">
        <v>46152</v>
      </c>
      <c r="S24" s="105" t="s">
        <v>339</v>
      </c>
      <c r="T24" s="105"/>
      <c r="U24" s="105"/>
      <c r="V24" s="105"/>
      <c r="W24" s="105" t="s">
        <v>267</v>
      </c>
      <c r="X24" s="105" t="s">
        <v>268</v>
      </c>
    </row>
    <row r="25" spans="1:24" x14ac:dyDescent="0.25">
      <c r="A25" s="7" t="s">
        <v>68</v>
      </c>
      <c r="B25" s="7" t="s">
        <v>640</v>
      </c>
      <c r="C25" s="13" t="s">
        <v>137</v>
      </c>
      <c r="D25" s="7" t="s">
        <v>240</v>
      </c>
      <c r="E25" s="7" t="s">
        <v>86</v>
      </c>
      <c r="F25" s="7" t="s">
        <v>241</v>
      </c>
      <c r="G25" s="7" t="s">
        <v>5</v>
      </c>
      <c r="H25" s="7" t="s">
        <v>210</v>
      </c>
      <c r="I25" s="46">
        <v>46232</v>
      </c>
      <c r="J25" s="1" t="s">
        <v>266</v>
      </c>
      <c r="K25" s="1"/>
      <c r="L25" s="1"/>
      <c r="M25" s="1" t="s">
        <v>267</v>
      </c>
      <c r="N25" s="1"/>
      <c r="O25" s="1" t="s">
        <v>268</v>
      </c>
      <c r="R25" s="102">
        <v>46152</v>
      </c>
      <c r="S25" s="103" t="s">
        <v>339</v>
      </c>
      <c r="T25" s="103"/>
      <c r="U25" s="103"/>
      <c r="V25" s="103"/>
      <c r="W25" s="103" t="s">
        <v>267</v>
      </c>
      <c r="X25" s="103" t="s">
        <v>268</v>
      </c>
    </row>
    <row r="26" spans="1:24" x14ac:dyDescent="0.25">
      <c r="A26" s="6" t="s">
        <v>68</v>
      </c>
      <c r="B26" s="6" t="s">
        <v>641</v>
      </c>
      <c r="C26" s="6" t="s">
        <v>85</v>
      </c>
      <c r="D26" s="6" t="s">
        <v>240</v>
      </c>
      <c r="E26" s="6" t="s">
        <v>86</v>
      </c>
      <c r="F26" s="6" t="s">
        <v>241</v>
      </c>
      <c r="G26" s="6" t="s">
        <v>5</v>
      </c>
      <c r="H26" s="6" t="s">
        <v>218</v>
      </c>
      <c r="I26" s="45">
        <v>46232</v>
      </c>
      <c r="J26" s="6" t="s">
        <v>273</v>
      </c>
      <c r="K26" s="6"/>
      <c r="L26" s="6"/>
      <c r="M26" s="6"/>
      <c r="N26" s="6" t="s">
        <v>267</v>
      </c>
      <c r="O26" s="6" t="s">
        <v>268</v>
      </c>
      <c r="R26" s="104">
        <v>46152</v>
      </c>
      <c r="S26" s="105" t="s">
        <v>339</v>
      </c>
      <c r="T26" s="105"/>
      <c r="U26" s="105"/>
      <c r="V26" s="105"/>
      <c r="W26" s="105" t="s">
        <v>267</v>
      </c>
      <c r="X26" s="105" t="s">
        <v>268</v>
      </c>
    </row>
    <row r="27" spans="1:24" x14ac:dyDescent="0.25">
      <c r="A27" s="7" t="s">
        <v>68</v>
      </c>
      <c r="B27" s="7" t="s">
        <v>642</v>
      </c>
      <c r="C27" s="13" t="s">
        <v>122</v>
      </c>
      <c r="D27" s="7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6">
        <v>46232</v>
      </c>
      <c r="J27" s="1" t="s">
        <v>273</v>
      </c>
      <c r="K27" s="1"/>
      <c r="L27" s="1"/>
      <c r="M27" s="1"/>
      <c r="N27" s="1" t="s">
        <v>267</v>
      </c>
      <c r="O27" s="1" t="s">
        <v>268</v>
      </c>
      <c r="R27" s="102">
        <v>46152</v>
      </c>
      <c r="S27" s="103" t="s">
        <v>210</v>
      </c>
      <c r="T27" s="103"/>
      <c r="U27" s="103"/>
      <c r="V27" s="103"/>
      <c r="W27" s="103" t="s">
        <v>267</v>
      </c>
      <c r="X27" s="103" t="s">
        <v>268</v>
      </c>
    </row>
    <row r="28" spans="1:24" x14ac:dyDescent="0.25">
      <c r="A28" s="6" t="s">
        <v>68</v>
      </c>
      <c r="B28" s="6" t="s">
        <v>643</v>
      </c>
      <c r="C28" s="6" t="s">
        <v>140</v>
      </c>
      <c r="D28" s="6" t="s">
        <v>240</v>
      </c>
      <c r="E28" s="6" t="s">
        <v>86</v>
      </c>
      <c r="F28" s="6" t="s">
        <v>241</v>
      </c>
      <c r="G28" s="6" t="s">
        <v>5</v>
      </c>
      <c r="H28" s="6" t="s">
        <v>210</v>
      </c>
      <c r="I28" s="45">
        <v>46232</v>
      </c>
      <c r="J28" s="6" t="s">
        <v>266</v>
      </c>
      <c r="K28" s="6"/>
      <c r="L28" s="6"/>
      <c r="M28" s="6"/>
      <c r="N28" s="6" t="s">
        <v>267</v>
      </c>
      <c r="O28" s="6" t="s">
        <v>268</v>
      </c>
      <c r="R28" s="104">
        <v>46152</v>
      </c>
      <c r="S28" s="105" t="s">
        <v>339</v>
      </c>
      <c r="T28" s="105"/>
      <c r="U28" s="105"/>
      <c r="V28" s="105"/>
      <c r="W28" s="105" t="s">
        <v>267</v>
      </c>
      <c r="X28" s="105" t="s">
        <v>268</v>
      </c>
    </row>
    <row r="29" spans="1:24" x14ac:dyDescent="0.25">
      <c r="A29" s="7" t="s">
        <v>68</v>
      </c>
      <c r="B29" s="7" t="s">
        <v>644</v>
      </c>
      <c r="C29" s="13" t="s">
        <v>90</v>
      </c>
      <c r="D29" s="7" t="s">
        <v>240</v>
      </c>
      <c r="E29" s="7" t="s">
        <v>86</v>
      </c>
      <c r="F29" s="7" t="s">
        <v>241</v>
      </c>
      <c r="G29" s="7" t="s">
        <v>5</v>
      </c>
      <c r="H29" s="7" t="s">
        <v>218</v>
      </c>
      <c r="I29" s="46">
        <v>46232</v>
      </c>
      <c r="J29" s="1" t="s">
        <v>273</v>
      </c>
      <c r="K29" s="1"/>
      <c r="L29" s="1"/>
      <c r="M29" s="1"/>
      <c r="N29" s="1"/>
      <c r="O29" s="1" t="s">
        <v>268</v>
      </c>
      <c r="R29" s="102">
        <v>46152</v>
      </c>
      <c r="S29" s="103" t="s">
        <v>339</v>
      </c>
      <c r="T29" s="103"/>
      <c r="U29" s="103"/>
      <c r="V29" s="103"/>
      <c r="W29" s="103" t="s">
        <v>267</v>
      </c>
      <c r="X29" s="103" t="s">
        <v>268</v>
      </c>
    </row>
    <row r="30" spans="1:24" x14ac:dyDescent="0.25">
      <c r="A30" s="6" t="s">
        <v>68</v>
      </c>
      <c r="B30" s="6" t="s">
        <v>645</v>
      </c>
      <c r="C30" s="6" t="s">
        <v>93</v>
      </c>
      <c r="D30" s="6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45">
        <v>46232</v>
      </c>
      <c r="J30" s="6" t="s">
        <v>273</v>
      </c>
      <c r="K30" s="6"/>
      <c r="L30" s="6"/>
      <c r="M30" s="6" t="s">
        <v>267</v>
      </c>
      <c r="N30" s="6"/>
      <c r="O30" s="6" t="s">
        <v>268</v>
      </c>
      <c r="R30" s="104">
        <v>46152</v>
      </c>
      <c r="S30" s="105" t="s">
        <v>339</v>
      </c>
      <c r="T30" s="105"/>
      <c r="U30" s="105"/>
      <c r="V30" s="105"/>
      <c r="W30" s="105" t="s">
        <v>267</v>
      </c>
      <c r="X30" s="105" t="s">
        <v>268</v>
      </c>
    </row>
    <row r="31" spans="1:24" x14ac:dyDescent="0.25">
      <c r="A31" s="7" t="s">
        <v>68</v>
      </c>
      <c r="B31" s="7" t="s">
        <v>646</v>
      </c>
      <c r="C31" s="13" t="s">
        <v>97</v>
      </c>
      <c r="D31" s="7" t="s">
        <v>240</v>
      </c>
      <c r="E31" s="7" t="s">
        <v>86</v>
      </c>
      <c r="F31" s="7" t="s">
        <v>241</v>
      </c>
      <c r="G31" s="7" t="s">
        <v>5</v>
      </c>
      <c r="H31" s="7" t="s">
        <v>210</v>
      </c>
      <c r="I31" s="46">
        <v>46232</v>
      </c>
      <c r="J31" s="1" t="s">
        <v>266</v>
      </c>
      <c r="K31" s="1"/>
      <c r="L31" s="1"/>
      <c r="M31" s="1" t="s">
        <v>267</v>
      </c>
      <c r="N31" s="1"/>
      <c r="O31" s="1" t="s">
        <v>268</v>
      </c>
      <c r="R31" s="102">
        <v>46152</v>
      </c>
      <c r="S31" s="103" t="s">
        <v>210</v>
      </c>
      <c r="T31" s="103"/>
      <c r="U31" s="103"/>
      <c r="V31" s="103"/>
      <c r="W31" s="103" t="s">
        <v>267</v>
      </c>
      <c r="X31" s="103" t="s">
        <v>268</v>
      </c>
    </row>
    <row r="32" spans="1:24" x14ac:dyDescent="0.25">
      <c r="A32" s="6" t="s">
        <v>68</v>
      </c>
      <c r="B32" s="6" t="s">
        <v>647</v>
      </c>
      <c r="C32" s="6" t="s">
        <v>100</v>
      </c>
      <c r="D32" s="6" t="s">
        <v>240</v>
      </c>
      <c r="E32" s="6" t="s">
        <v>86</v>
      </c>
      <c r="F32" s="6" t="s">
        <v>241</v>
      </c>
      <c r="G32" s="6" t="s">
        <v>5</v>
      </c>
      <c r="H32" s="6" t="s">
        <v>218</v>
      </c>
      <c r="I32" s="45">
        <v>46232</v>
      </c>
      <c r="J32" s="6" t="s">
        <v>273</v>
      </c>
      <c r="K32" s="6"/>
      <c r="L32" s="6"/>
      <c r="M32" s="6" t="s">
        <v>267</v>
      </c>
      <c r="N32" s="6"/>
      <c r="O32" s="6" t="s">
        <v>268</v>
      </c>
      <c r="R32" s="104">
        <v>46152</v>
      </c>
      <c r="S32" s="105" t="s">
        <v>210</v>
      </c>
      <c r="T32" s="105"/>
      <c r="U32" s="105"/>
      <c r="V32" s="105"/>
      <c r="W32" s="105" t="s">
        <v>267</v>
      </c>
      <c r="X32" s="105" t="s">
        <v>268</v>
      </c>
    </row>
    <row r="33" spans="1:24" x14ac:dyDescent="0.25">
      <c r="A33" s="7" t="s">
        <v>68</v>
      </c>
      <c r="B33" s="7" t="s">
        <v>648</v>
      </c>
      <c r="C33" s="13" t="s">
        <v>162</v>
      </c>
      <c r="D33" s="7" t="s">
        <v>240</v>
      </c>
      <c r="E33" s="7" t="s">
        <v>86</v>
      </c>
      <c r="F33" s="7" t="s">
        <v>241</v>
      </c>
      <c r="G33" s="7" t="s">
        <v>5</v>
      </c>
      <c r="H33" s="7" t="s">
        <v>218</v>
      </c>
      <c r="I33" s="46">
        <v>46232</v>
      </c>
      <c r="J33" s="1" t="s">
        <v>273</v>
      </c>
      <c r="K33" s="1"/>
      <c r="L33" s="1"/>
      <c r="M33" s="1"/>
      <c r="N33" s="1" t="s">
        <v>267</v>
      </c>
      <c r="O33" s="1" t="s">
        <v>268</v>
      </c>
      <c r="R33" s="102">
        <v>46152</v>
      </c>
      <c r="S33" s="103" t="s">
        <v>210</v>
      </c>
      <c r="T33" s="103"/>
      <c r="U33" s="103"/>
      <c r="V33" s="103"/>
      <c r="W33" s="103" t="s">
        <v>267</v>
      </c>
      <c r="X33" s="103" t="s">
        <v>268</v>
      </c>
    </row>
    <row r="34" spans="1:24" x14ac:dyDescent="0.25">
      <c r="A34" s="6" t="s">
        <v>68</v>
      </c>
      <c r="B34" s="6" t="s">
        <v>649</v>
      </c>
      <c r="C34" s="6" t="s">
        <v>164</v>
      </c>
      <c r="D34" s="6" t="s">
        <v>240</v>
      </c>
      <c r="E34" s="6" t="s">
        <v>86</v>
      </c>
      <c r="F34" s="6" t="s">
        <v>241</v>
      </c>
      <c r="G34" s="6" t="s">
        <v>5</v>
      </c>
      <c r="H34" s="6" t="s">
        <v>210</v>
      </c>
      <c r="I34" s="45">
        <v>46232</v>
      </c>
      <c r="J34" s="6" t="s">
        <v>266</v>
      </c>
      <c r="K34" s="6"/>
      <c r="L34" s="6"/>
      <c r="M34" s="6"/>
      <c r="N34" s="6" t="s">
        <v>267</v>
      </c>
      <c r="O34" s="6" t="s">
        <v>268</v>
      </c>
      <c r="R34" s="104">
        <v>46152</v>
      </c>
      <c r="S34" s="105" t="s">
        <v>339</v>
      </c>
      <c r="T34" s="105"/>
      <c r="U34" s="105"/>
      <c r="V34" s="105"/>
      <c r="W34" s="105" t="s">
        <v>267</v>
      </c>
      <c r="X34" s="105" t="s">
        <v>268</v>
      </c>
    </row>
    <row r="35" spans="1:24" x14ac:dyDescent="0.25">
      <c r="A35" s="7" t="s">
        <v>68</v>
      </c>
      <c r="B35" s="7" t="s">
        <v>650</v>
      </c>
      <c r="C35" s="13" t="s">
        <v>167</v>
      </c>
      <c r="D35" s="7" t="s">
        <v>240</v>
      </c>
      <c r="E35" s="7" t="s">
        <v>86</v>
      </c>
      <c r="F35" s="7" t="s">
        <v>241</v>
      </c>
      <c r="G35" s="7" t="s">
        <v>5</v>
      </c>
      <c r="H35" s="7" t="s">
        <v>218</v>
      </c>
      <c r="I35" s="46">
        <v>46232</v>
      </c>
      <c r="J35" s="1" t="s">
        <v>273</v>
      </c>
      <c r="K35" s="1"/>
      <c r="L35" s="1"/>
      <c r="M35" s="1"/>
      <c r="N35" s="1" t="s">
        <v>267</v>
      </c>
      <c r="O35" s="1" t="s">
        <v>268</v>
      </c>
      <c r="R35" s="102">
        <v>46152</v>
      </c>
      <c r="S35" s="103" t="s">
        <v>339</v>
      </c>
      <c r="T35" s="103"/>
      <c r="U35" s="103"/>
      <c r="V35" s="103"/>
      <c r="W35" s="103" t="s">
        <v>267</v>
      </c>
      <c r="X35" s="103" t="s">
        <v>268</v>
      </c>
    </row>
    <row r="36" spans="1:24" x14ac:dyDescent="0.25">
      <c r="A36" s="6" t="s">
        <v>68</v>
      </c>
      <c r="B36" s="6" t="s">
        <v>57</v>
      </c>
      <c r="C36" s="6" t="s">
        <v>69</v>
      </c>
      <c r="D36" s="6" t="s">
        <v>208</v>
      </c>
      <c r="E36" s="6" t="s">
        <v>51</v>
      </c>
      <c r="F36" s="6" t="s">
        <v>209</v>
      </c>
      <c r="G36" s="6" t="s">
        <v>5</v>
      </c>
      <c r="H36" s="6" t="s">
        <v>210</v>
      </c>
      <c r="I36" s="45">
        <v>46232</v>
      </c>
      <c r="J36" s="6" t="s">
        <v>266</v>
      </c>
      <c r="K36" s="6"/>
      <c r="L36" s="6"/>
      <c r="M36" s="6"/>
      <c r="N36" s="6" t="s">
        <v>267</v>
      </c>
      <c r="O36" s="6" t="s">
        <v>268</v>
      </c>
      <c r="R36" s="104">
        <v>46152</v>
      </c>
      <c r="S36" s="105" t="s">
        <v>339</v>
      </c>
      <c r="T36" s="105"/>
      <c r="U36" s="105"/>
      <c r="V36" s="105"/>
      <c r="W36" s="105" t="s">
        <v>267</v>
      </c>
      <c r="X36" s="105" t="s">
        <v>268</v>
      </c>
    </row>
    <row r="37" spans="1:24" x14ac:dyDescent="0.25">
      <c r="A37" s="7" t="s">
        <v>68</v>
      </c>
      <c r="B37" s="7" t="s">
        <v>57</v>
      </c>
      <c r="C37" s="13" t="s">
        <v>151</v>
      </c>
      <c r="D37" s="7" t="s">
        <v>208</v>
      </c>
      <c r="E37" s="7" t="s">
        <v>51</v>
      </c>
      <c r="F37" s="7" t="s">
        <v>209</v>
      </c>
      <c r="G37" s="7" t="s">
        <v>5</v>
      </c>
      <c r="H37" s="7" t="s">
        <v>210</v>
      </c>
      <c r="I37" s="46">
        <v>46232</v>
      </c>
      <c r="J37" s="1" t="s">
        <v>266</v>
      </c>
      <c r="K37" s="1"/>
      <c r="L37" s="1"/>
      <c r="M37" s="1"/>
      <c r="N37" s="1" t="s">
        <v>267</v>
      </c>
      <c r="O37" s="1" t="s">
        <v>268</v>
      </c>
      <c r="R37" s="102">
        <v>46152</v>
      </c>
      <c r="S37" s="103" t="s">
        <v>339</v>
      </c>
      <c r="T37" s="103"/>
      <c r="U37" s="103"/>
      <c r="V37" s="103"/>
      <c r="W37" s="103" t="s">
        <v>267</v>
      </c>
      <c r="X37" s="103" t="s">
        <v>268</v>
      </c>
    </row>
    <row r="38" spans="1:24" x14ac:dyDescent="0.25">
      <c r="A38" s="6" t="s">
        <v>68</v>
      </c>
      <c r="B38" s="6" t="s">
        <v>57</v>
      </c>
      <c r="C38" s="6" t="s">
        <v>112</v>
      </c>
      <c r="D38" s="6" t="s">
        <v>217</v>
      </c>
      <c r="E38" s="6" t="s">
        <v>48</v>
      </c>
      <c r="F38" s="6" t="s">
        <v>216</v>
      </c>
      <c r="G38" s="6" t="s">
        <v>5</v>
      </c>
      <c r="H38" s="6" t="s">
        <v>210</v>
      </c>
      <c r="I38" s="45">
        <v>46232</v>
      </c>
      <c r="J38" s="6" t="s">
        <v>266</v>
      </c>
      <c r="K38" s="6"/>
      <c r="L38" s="6"/>
      <c r="M38" s="6" t="s">
        <v>267</v>
      </c>
      <c r="N38" s="6"/>
      <c r="O38" s="6" t="s">
        <v>268</v>
      </c>
      <c r="R38" s="104">
        <v>46152</v>
      </c>
      <c r="S38" s="106" t="s">
        <v>339</v>
      </c>
      <c r="T38" s="106"/>
      <c r="U38" s="106"/>
      <c r="V38" s="105"/>
      <c r="W38" s="106" t="s">
        <v>267</v>
      </c>
      <c r="X38" s="105" t="s">
        <v>268</v>
      </c>
    </row>
    <row r="39" spans="1:24" x14ac:dyDescent="0.25">
      <c r="A39" s="7" t="s">
        <v>68</v>
      </c>
      <c r="B39" s="7" t="s">
        <v>57</v>
      </c>
      <c r="C39" s="13" t="s">
        <v>109</v>
      </c>
      <c r="D39" s="7" t="s">
        <v>217</v>
      </c>
      <c r="E39" s="7" t="s">
        <v>48</v>
      </c>
      <c r="F39" s="7" t="s">
        <v>216</v>
      </c>
      <c r="G39" s="7" t="s">
        <v>5</v>
      </c>
      <c r="H39" s="7" t="s">
        <v>218</v>
      </c>
      <c r="I39" s="46">
        <v>46232</v>
      </c>
      <c r="J39" s="1" t="s">
        <v>273</v>
      </c>
      <c r="K39" s="1"/>
      <c r="L39" s="1"/>
      <c r="M39" s="1" t="s">
        <v>267</v>
      </c>
      <c r="N39" s="1"/>
      <c r="O39" s="1" t="s">
        <v>268</v>
      </c>
      <c r="R39" s="102">
        <v>46152</v>
      </c>
      <c r="S39" s="103" t="s">
        <v>210</v>
      </c>
      <c r="T39" s="103"/>
      <c r="U39" s="103"/>
      <c r="V39" s="103"/>
      <c r="W39" s="103" t="s">
        <v>267</v>
      </c>
      <c r="X39" s="103" t="s">
        <v>268</v>
      </c>
    </row>
    <row r="40" spans="1:24" x14ac:dyDescent="0.25">
      <c r="A40" s="6" t="s">
        <v>68</v>
      </c>
      <c r="B40" s="6" t="s">
        <v>57</v>
      </c>
      <c r="C40" s="6" t="s">
        <v>148</v>
      </c>
      <c r="D40" s="6" t="s">
        <v>217</v>
      </c>
      <c r="E40" s="6" t="s">
        <v>48</v>
      </c>
      <c r="F40" s="6" t="s">
        <v>216</v>
      </c>
      <c r="G40" s="6" t="s">
        <v>6</v>
      </c>
      <c r="H40" s="6" t="s">
        <v>218</v>
      </c>
      <c r="I40" s="45">
        <v>46232</v>
      </c>
      <c r="J40" s="6" t="s">
        <v>273</v>
      </c>
      <c r="K40" s="6"/>
      <c r="L40" s="6"/>
      <c r="M40" s="6" t="s">
        <v>267</v>
      </c>
      <c r="N40" s="6"/>
      <c r="O40" s="6" t="s">
        <v>268</v>
      </c>
      <c r="R40" s="104">
        <v>46152</v>
      </c>
      <c r="S40" s="106" t="s">
        <v>339</v>
      </c>
      <c r="T40" s="106"/>
      <c r="U40" s="106"/>
      <c r="V40" s="105"/>
      <c r="W40" s="106" t="s">
        <v>267</v>
      </c>
      <c r="X40" s="105" t="s">
        <v>268</v>
      </c>
    </row>
    <row r="41" spans="1:24" x14ac:dyDescent="0.25">
      <c r="A41" s="7" t="s">
        <v>68</v>
      </c>
      <c r="B41" s="7" t="s">
        <v>651</v>
      </c>
      <c r="C41" s="13" t="s">
        <v>159</v>
      </c>
      <c r="D41" s="7" t="s">
        <v>240</v>
      </c>
      <c r="E41" s="7" t="s">
        <v>86</v>
      </c>
      <c r="F41" s="7" t="s">
        <v>241</v>
      </c>
      <c r="G41" s="7" t="s">
        <v>5</v>
      </c>
      <c r="H41" s="7" t="s">
        <v>210</v>
      </c>
      <c r="I41" s="46">
        <v>46232</v>
      </c>
      <c r="J41" s="1" t="s">
        <v>266</v>
      </c>
      <c r="K41" s="1"/>
      <c r="L41" s="1" t="s">
        <v>267</v>
      </c>
      <c r="M41" s="1"/>
      <c r="N41" s="1"/>
      <c r="O41" s="1" t="s">
        <v>268</v>
      </c>
      <c r="R41" s="102">
        <v>46152</v>
      </c>
      <c r="S41" s="103" t="s">
        <v>210</v>
      </c>
      <c r="T41" s="103"/>
      <c r="U41" s="103"/>
      <c r="V41" s="103"/>
      <c r="W41" s="103" t="s">
        <v>267</v>
      </c>
      <c r="X41" s="103" t="s">
        <v>268</v>
      </c>
    </row>
    <row r="42" spans="1:24" x14ac:dyDescent="0.25">
      <c r="A42" s="6" t="s">
        <v>68</v>
      </c>
      <c r="B42" s="6" t="s">
        <v>652</v>
      </c>
      <c r="C42" s="6" t="s">
        <v>132</v>
      </c>
      <c r="D42" s="6" t="s">
        <v>240</v>
      </c>
      <c r="E42" s="6" t="s">
        <v>86</v>
      </c>
      <c r="F42" s="6" t="s">
        <v>241</v>
      </c>
      <c r="G42" s="6" t="s">
        <v>5</v>
      </c>
      <c r="H42" s="6" t="s">
        <v>218</v>
      </c>
      <c r="I42" s="45">
        <v>46232</v>
      </c>
      <c r="J42" s="6" t="s">
        <v>273</v>
      </c>
      <c r="K42" s="6"/>
      <c r="L42" s="6"/>
      <c r="M42" s="6" t="s">
        <v>267</v>
      </c>
      <c r="N42" s="6"/>
      <c r="O42" s="6" t="s">
        <v>268</v>
      </c>
      <c r="R42" s="104">
        <v>46152</v>
      </c>
      <c r="S42" s="106" t="s">
        <v>339</v>
      </c>
      <c r="T42" s="106"/>
      <c r="U42" s="106"/>
      <c r="V42" s="105"/>
      <c r="W42" s="106" t="s">
        <v>267</v>
      </c>
      <c r="X42" s="105" t="s">
        <v>268</v>
      </c>
    </row>
    <row r="43" spans="1:24" x14ac:dyDescent="0.25">
      <c r="A43" s="7" t="s">
        <v>68</v>
      </c>
      <c r="B43" s="7" t="s">
        <v>653</v>
      </c>
      <c r="C43" s="13" t="s">
        <v>156</v>
      </c>
      <c r="D43" s="7" t="s">
        <v>240</v>
      </c>
      <c r="E43" s="7" t="s">
        <v>86</v>
      </c>
      <c r="F43" s="7" t="s">
        <v>241</v>
      </c>
      <c r="G43" s="7" t="s">
        <v>5</v>
      </c>
      <c r="H43" s="7" t="s">
        <v>218</v>
      </c>
      <c r="I43" s="46">
        <v>46232</v>
      </c>
      <c r="J43" s="1" t="s">
        <v>273</v>
      </c>
      <c r="K43" s="1"/>
      <c r="L43" s="1"/>
      <c r="M43" s="1" t="s">
        <v>267</v>
      </c>
      <c r="N43" s="1"/>
      <c r="O43" s="1" t="s">
        <v>268</v>
      </c>
      <c r="R43" s="102">
        <v>46152</v>
      </c>
      <c r="S43" s="103" t="s">
        <v>210</v>
      </c>
      <c r="T43" s="103"/>
      <c r="U43" s="103"/>
      <c r="V43" s="103"/>
      <c r="W43" s="103" t="s">
        <v>267</v>
      </c>
      <c r="X43" s="103" t="s">
        <v>268</v>
      </c>
    </row>
    <row r="44" spans="1:24" x14ac:dyDescent="0.25">
      <c r="A44" s="6" t="s">
        <v>68</v>
      </c>
      <c r="B44" s="6" t="s">
        <v>654</v>
      </c>
      <c r="C44" s="6" t="s">
        <v>153</v>
      </c>
      <c r="D44" s="6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45">
        <v>46232</v>
      </c>
      <c r="J44" s="6" t="s">
        <v>273</v>
      </c>
      <c r="K44" s="6"/>
      <c r="L44" s="6"/>
      <c r="M44" s="6" t="s">
        <v>267</v>
      </c>
      <c r="N44" s="6"/>
      <c r="O44" s="6" t="s">
        <v>268</v>
      </c>
      <c r="R44" s="106"/>
      <c r="S44" s="106"/>
      <c r="T44" s="106"/>
      <c r="U44" s="106"/>
      <c r="V44" s="106"/>
      <c r="W44" s="106"/>
      <c r="X44" s="106"/>
    </row>
    <row r="45" spans="1:24" x14ac:dyDescent="0.25">
      <c r="A45" s="7"/>
      <c r="B45" s="7"/>
      <c r="C45" s="13"/>
      <c r="D45" s="7"/>
      <c r="E45" s="7"/>
      <c r="F45" s="7"/>
      <c r="G45" s="7"/>
      <c r="H45" s="7"/>
      <c r="I45" s="46"/>
      <c r="J45" s="1"/>
      <c r="K45" s="1"/>
      <c r="L45" s="1"/>
      <c r="M45" s="1"/>
      <c r="N45" s="1"/>
      <c r="O45" s="1"/>
      <c r="R45" s="103"/>
      <c r="S45" s="103"/>
      <c r="T45" s="103"/>
      <c r="U45" s="103"/>
      <c r="V45" s="103"/>
      <c r="W45" s="103"/>
      <c r="X45" s="103"/>
    </row>
    <row r="46" spans="1:24" x14ac:dyDescent="0.25">
      <c r="A46" s="6"/>
      <c r="B46" s="6"/>
      <c r="C46" s="6"/>
      <c r="D46" s="6"/>
      <c r="E46" s="6"/>
      <c r="F46" s="6"/>
      <c r="G46" s="6"/>
      <c r="H46" s="6"/>
      <c r="I46" s="45"/>
      <c r="J46" s="6"/>
      <c r="K46" s="6"/>
      <c r="L46" s="6"/>
      <c r="M46" s="6"/>
      <c r="N46" s="6"/>
      <c r="O46" s="6"/>
      <c r="R46" s="106"/>
      <c r="S46" s="106"/>
      <c r="T46" s="106"/>
      <c r="U46" s="106"/>
      <c r="V46" s="106"/>
      <c r="W46" s="106"/>
      <c r="X46" s="106"/>
    </row>
    <row r="47" spans="1:24" x14ac:dyDescent="0.25">
      <c r="A47" s="7"/>
      <c r="B47" s="7"/>
      <c r="C47" s="13"/>
      <c r="D47" s="7"/>
      <c r="E47" s="7"/>
      <c r="F47" s="7"/>
      <c r="G47" s="7"/>
      <c r="H47" s="7"/>
      <c r="I47" s="46"/>
      <c r="J47" s="1"/>
      <c r="K47" s="1"/>
      <c r="L47" s="1"/>
      <c r="M47" s="1"/>
      <c r="N47" s="1"/>
      <c r="O47" s="1"/>
      <c r="R47" s="103"/>
      <c r="S47" s="103"/>
      <c r="T47" s="103"/>
      <c r="U47" s="103"/>
      <c r="V47" s="103"/>
      <c r="W47" s="103"/>
      <c r="X47" s="103"/>
    </row>
    <row r="48" spans="1:24" x14ac:dyDescent="0.25">
      <c r="A48" s="6"/>
      <c r="B48" s="6"/>
      <c r="C48" s="6"/>
      <c r="D48" s="6"/>
      <c r="E48" s="6"/>
      <c r="F48" s="6"/>
      <c r="G48" s="6"/>
      <c r="H48" s="6"/>
      <c r="I48" s="45"/>
      <c r="J48" s="6"/>
      <c r="K48" s="6"/>
      <c r="L48" s="6"/>
      <c r="M48" s="6"/>
      <c r="N48" s="6"/>
      <c r="O48" s="6"/>
      <c r="R48" s="106"/>
      <c r="S48" s="106"/>
      <c r="T48" s="106"/>
      <c r="U48" s="106"/>
      <c r="V48" s="106"/>
      <c r="W48" s="106"/>
      <c r="X48" s="106"/>
    </row>
    <row r="49" spans="1:24" x14ac:dyDescent="0.25">
      <c r="A49" s="7"/>
      <c r="B49" s="7"/>
      <c r="C49" s="13"/>
      <c r="D49" s="7"/>
      <c r="E49" s="7"/>
      <c r="F49" s="7"/>
      <c r="G49" s="7"/>
      <c r="H49" s="7"/>
      <c r="I49" s="46"/>
      <c r="J49" s="1"/>
      <c r="K49" s="1"/>
      <c r="L49" s="1"/>
      <c r="M49" s="1"/>
      <c r="N49" s="1"/>
      <c r="O49" s="1"/>
      <c r="R49" s="103"/>
      <c r="S49" s="103"/>
      <c r="T49" s="103"/>
      <c r="U49" s="103"/>
      <c r="V49" s="103"/>
      <c r="W49" s="103"/>
      <c r="X49" s="103"/>
    </row>
    <row r="50" spans="1:24" x14ac:dyDescent="0.25">
      <c r="A50" s="6"/>
      <c r="B50" s="6"/>
      <c r="C50" s="6"/>
      <c r="D50" s="6"/>
      <c r="E50" s="6"/>
      <c r="F50" s="6"/>
      <c r="G50" s="6"/>
      <c r="H50" s="6"/>
      <c r="I50" s="45"/>
      <c r="J50" s="6"/>
      <c r="K50" s="6"/>
      <c r="L50" s="6"/>
      <c r="M50" s="6"/>
      <c r="N50" s="6"/>
      <c r="O50" s="6"/>
      <c r="R50" s="106"/>
      <c r="S50" s="106"/>
      <c r="T50" s="106"/>
      <c r="U50" s="106"/>
      <c r="V50" s="106"/>
      <c r="W50" s="106"/>
      <c r="X50" s="106"/>
    </row>
    <row r="51" spans="1:24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24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24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24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24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24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24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24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24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24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24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24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24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24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:A44"/>
    </sortState>
  </autoFilter>
  <mergeCells count="18">
    <mergeCell ref="A121:C121"/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T5:W5"/>
    <mergeCell ref="B61:I61"/>
    <mergeCell ref="B62:I62"/>
    <mergeCell ref="B63:I63"/>
    <mergeCell ref="A114:C114"/>
  </mergeCells>
  <phoneticPr fontId="1" type="noConversion"/>
  <pageMargins left="0.23622047244094491" right="0.23622047244094491" top="0.15748031496062992" bottom="0.15748031496062992" header="0" footer="0"/>
  <pageSetup paperSize="9" scale="60" fitToHeight="0" orientation="landscape" horizontalDpi="4294967293" verticalDpi="4294967293" r:id="rId1"/>
  <rowBreaks count="1" manualBreakCount="1">
    <brk id="56" max="1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0B0D-14E1-44AE-AE17-3DDE0B672A92}">
  <sheetPr codeName="Planilha18">
    <tabColor rgb="FFFFC000"/>
    <pageSetUpPr fitToPage="1"/>
  </sheetPr>
  <dimension ref="A1:O127"/>
  <sheetViews>
    <sheetView showGridLines="0" topLeftCell="A15" zoomScale="70" zoomScaleNormal="70" zoomScaleSheetLayoutView="55" workbookViewId="0">
      <selection activeCell="F34" sqref="F34:F44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655</v>
      </c>
      <c r="C3" s="26"/>
      <c r="D3" s="35" t="s">
        <v>333</v>
      </c>
      <c r="E3" s="27"/>
      <c r="F3" s="28"/>
      <c r="G3" s="28"/>
      <c r="H3" s="35" t="s">
        <v>196</v>
      </c>
      <c r="I3" s="27"/>
      <c r="J3" s="27"/>
      <c r="K3" s="35" t="s">
        <v>1075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 t="s">
        <v>49</v>
      </c>
      <c r="B7" s="9" t="s">
        <v>659</v>
      </c>
      <c r="C7" s="13" t="s">
        <v>77</v>
      </c>
      <c r="D7" s="9" t="s">
        <v>215</v>
      </c>
      <c r="E7" s="7" t="s">
        <v>48</v>
      </c>
      <c r="F7" s="7" t="s">
        <v>216</v>
      </c>
      <c r="G7" s="7" t="s">
        <v>6</v>
      </c>
      <c r="H7" s="7" t="s">
        <v>210</v>
      </c>
      <c r="I7" s="46"/>
      <c r="J7" s="1"/>
      <c r="K7" s="1"/>
      <c r="L7" s="1"/>
      <c r="M7" s="1"/>
      <c r="N7" s="1"/>
      <c r="O7" s="1"/>
    </row>
    <row r="8" spans="1:15" x14ac:dyDescent="0.25">
      <c r="A8" s="6" t="s">
        <v>49</v>
      </c>
      <c r="B8" s="8" t="s">
        <v>57</v>
      </c>
      <c r="C8" s="6" t="s">
        <v>169</v>
      </c>
      <c r="D8" s="8" t="s">
        <v>402</v>
      </c>
      <c r="E8" s="6" t="s">
        <v>48</v>
      </c>
      <c r="F8" s="6" t="s">
        <v>216</v>
      </c>
      <c r="G8" s="6" t="s">
        <v>5</v>
      </c>
      <c r="H8" s="6" t="s">
        <v>218</v>
      </c>
      <c r="I8" s="45"/>
      <c r="J8" s="6"/>
      <c r="K8" s="6"/>
      <c r="L8" s="6"/>
      <c r="M8" s="6"/>
      <c r="N8" s="6"/>
      <c r="O8" s="6"/>
    </row>
    <row r="9" spans="1:15" x14ac:dyDescent="0.25">
      <c r="A9" s="6" t="s">
        <v>68</v>
      </c>
      <c r="B9" s="8" t="s">
        <v>57</v>
      </c>
      <c r="C9" s="6" t="s">
        <v>112</v>
      </c>
      <c r="D9" s="8" t="s">
        <v>217</v>
      </c>
      <c r="E9" s="6" t="s">
        <v>48</v>
      </c>
      <c r="F9" s="6" t="s">
        <v>216</v>
      </c>
      <c r="G9" s="6" t="s">
        <v>5</v>
      </c>
      <c r="H9" s="6" t="s">
        <v>210</v>
      </c>
      <c r="I9" s="45"/>
      <c r="J9" s="6"/>
      <c r="K9" s="6"/>
      <c r="L9" s="6"/>
      <c r="M9" s="6"/>
      <c r="N9" s="6"/>
      <c r="O9" s="6"/>
    </row>
    <row r="10" spans="1:15" x14ac:dyDescent="0.25">
      <c r="A10" s="7" t="s">
        <v>68</v>
      </c>
      <c r="B10" s="9" t="s">
        <v>57</v>
      </c>
      <c r="C10" s="13" t="s">
        <v>109</v>
      </c>
      <c r="D10" s="9" t="s">
        <v>215</v>
      </c>
      <c r="E10" s="7" t="s">
        <v>48</v>
      </c>
      <c r="F10" s="7" t="s">
        <v>216</v>
      </c>
      <c r="G10" s="7" t="s">
        <v>5</v>
      </c>
      <c r="H10" s="7" t="s">
        <v>218</v>
      </c>
      <c r="I10" s="46"/>
      <c r="J10" s="1"/>
      <c r="K10" s="1"/>
      <c r="L10" s="1"/>
      <c r="M10" s="1"/>
      <c r="N10" s="1"/>
      <c r="O10" s="1"/>
    </row>
    <row r="11" spans="1:15" x14ac:dyDescent="0.25">
      <c r="A11" s="6" t="s">
        <v>68</v>
      </c>
      <c r="B11" s="8" t="s">
        <v>57</v>
      </c>
      <c r="C11" s="6" t="s">
        <v>148</v>
      </c>
      <c r="D11" s="8" t="s">
        <v>217</v>
      </c>
      <c r="E11" s="6" t="s">
        <v>48</v>
      </c>
      <c r="F11" s="6" t="s">
        <v>216</v>
      </c>
      <c r="G11" s="6" t="s">
        <v>6</v>
      </c>
      <c r="H11" s="6" t="s">
        <v>218</v>
      </c>
      <c r="I11" s="45"/>
      <c r="J11" s="6"/>
      <c r="K11" s="6"/>
      <c r="L11" s="6"/>
      <c r="M11" s="6"/>
      <c r="N11" s="6"/>
      <c r="O11" s="6"/>
    </row>
    <row r="12" spans="1:15" x14ac:dyDescent="0.25">
      <c r="A12" s="7" t="s">
        <v>68</v>
      </c>
      <c r="B12" s="9" t="s">
        <v>663</v>
      </c>
      <c r="C12" s="13" t="s">
        <v>125</v>
      </c>
      <c r="D12" s="9" t="s">
        <v>240</v>
      </c>
      <c r="E12" s="7" t="s">
        <v>86</v>
      </c>
      <c r="F12" s="7" t="s">
        <v>241</v>
      </c>
      <c r="G12" s="7" t="s">
        <v>5</v>
      </c>
      <c r="H12" s="7" t="s">
        <v>218</v>
      </c>
      <c r="I12" s="46"/>
      <c r="J12" s="1"/>
      <c r="K12" s="1"/>
      <c r="L12" s="1"/>
      <c r="M12" s="1"/>
      <c r="N12" s="1"/>
      <c r="O12" s="1"/>
    </row>
    <row r="13" spans="1:15" x14ac:dyDescent="0.25">
      <c r="A13" s="6" t="s">
        <v>68</v>
      </c>
      <c r="B13" s="8" t="s">
        <v>664</v>
      </c>
      <c r="C13" s="6" t="s">
        <v>144</v>
      </c>
      <c r="D13" s="8" t="s">
        <v>240</v>
      </c>
      <c r="E13" s="6" t="s">
        <v>86</v>
      </c>
      <c r="F13" s="6" t="s">
        <v>241</v>
      </c>
      <c r="G13" s="6" t="s">
        <v>5</v>
      </c>
      <c r="H13" s="6" t="s">
        <v>210</v>
      </c>
      <c r="I13" s="45"/>
      <c r="J13" s="6"/>
      <c r="K13" s="6"/>
      <c r="L13" s="6"/>
      <c r="M13" s="6"/>
      <c r="N13" s="6"/>
      <c r="O13" s="6"/>
    </row>
    <row r="14" spans="1:15" x14ac:dyDescent="0.25">
      <c r="A14" s="7" t="s">
        <v>68</v>
      </c>
      <c r="B14" s="9" t="s">
        <v>665</v>
      </c>
      <c r="C14" s="13" t="s">
        <v>106</v>
      </c>
      <c r="D14" s="9" t="s">
        <v>240</v>
      </c>
      <c r="E14" s="7" t="s">
        <v>86</v>
      </c>
      <c r="F14" s="7" t="s">
        <v>241</v>
      </c>
      <c r="G14" s="7" t="s">
        <v>5</v>
      </c>
      <c r="H14" s="7" t="s">
        <v>218</v>
      </c>
      <c r="I14" s="46"/>
      <c r="J14" s="1"/>
      <c r="K14" s="1"/>
      <c r="L14" s="1"/>
      <c r="M14" s="1"/>
      <c r="N14" s="1"/>
      <c r="O14" s="1"/>
    </row>
    <row r="15" spans="1:15" x14ac:dyDescent="0.25">
      <c r="A15" s="7" t="s">
        <v>68</v>
      </c>
      <c r="B15" s="9" t="s">
        <v>669</v>
      </c>
      <c r="C15" s="13" t="s">
        <v>119</v>
      </c>
      <c r="D15" s="9" t="s">
        <v>240</v>
      </c>
      <c r="E15" s="7" t="s">
        <v>86</v>
      </c>
      <c r="F15" s="7" t="s">
        <v>241</v>
      </c>
      <c r="G15" s="7" t="s">
        <v>5</v>
      </c>
      <c r="H15" s="7" t="s">
        <v>218</v>
      </c>
      <c r="I15" s="46"/>
      <c r="J15" s="1"/>
      <c r="K15" s="1"/>
      <c r="L15" s="1"/>
      <c r="M15" s="1"/>
      <c r="N15" s="1"/>
      <c r="O15" s="1"/>
    </row>
    <row r="16" spans="1:15" x14ac:dyDescent="0.25">
      <c r="A16" s="6" t="s">
        <v>68</v>
      </c>
      <c r="B16" s="8" t="s">
        <v>670</v>
      </c>
      <c r="C16" s="6" t="s">
        <v>137</v>
      </c>
      <c r="D16" s="8" t="s">
        <v>240</v>
      </c>
      <c r="E16" s="6" t="s">
        <v>86</v>
      </c>
      <c r="F16" s="6" t="s">
        <v>241</v>
      </c>
      <c r="G16" s="6" t="s">
        <v>5</v>
      </c>
      <c r="H16" s="6" t="s">
        <v>210</v>
      </c>
      <c r="I16" s="45"/>
      <c r="J16" s="6"/>
      <c r="K16" s="6"/>
      <c r="L16" s="6"/>
      <c r="M16" s="6"/>
      <c r="N16" s="6"/>
      <c r="O16" s="6"/>
    </row>
    <row r="17" spans="1:15" x14ac:dyDescent="0.25">
      <c r="A17" s="7" t="s">
        <v>68</v>
      </c>
      <c r="B17" s="9" t="s">
        <v>671</v>
      </c>
      <c r="C17" s="13" t="s">
        <v>85</v>
      </c>
      <c r="D17" s="9" t="s">
        <v>240</v>
      </c>
      <c r="E17" s="7" t="s">
        <v>86</v>
      </c>
      <c r="F17" s="7" t="s">
        <v>241</v>
      </c>
      <c r="G17" s="7" t="s">
        <v>5</v>
      </c>
      <c r="H17" s="7" t="s">
        <v>218</v>
      </c>
      <c r="I17" s="46"/>
      <c r="J17" s="1"/>
      <c r="K17" s="1"/>
      <c r="L17" s="1"/>
      <c r="M17" s="1"/>
      <c r="N17" s="1"/>
      <c r="O17" s="1"/>
    </row>
    <row r="18" spans="1:15" x14ac:dyDescent="0.25">
      <c r="A18" s="6" t="s">
        <v>68</v>
      </c>
      <c r="B18" s="8" t="s">
        <v>672</v>
      </c>
      <c r="C18" s="6" t="s">
        <v>122</v>
      </c>
      <c r="D18" s="8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45"/>
      <c r="J18" s="6"/>
      <c r="K18" s="6"/>
      <c r="L18" s="6"/>
      <c r="M18" s="6"/>
      <c r="N18" s="6"/>
      <c r="O18" s="6"/>
    </row>
    <row r="19" spans="1:15" x14ac:dyDescent="0.25">
      <c r="A19" s="7" t="s">
        <v>68</v>
      </c>
      <c r="B19" s="9" t="s">
        <v>673</v>
      </c>
      <c r="C19" s="13" t="s">
        <v>140</v>
      </c>
      <c r="D19" s="9" t="s">
        <v>240</v>
      </c>
      <c r="E19" s="7" t="s">
        <v>86</v>
      </c>
      <c r="F19" s="7" t="s">
        <v>241</v>
      </c>
      <c r="G19" s="7" t="s">
        <v>5</v>
      </c>
      <c r="H19" s="7" t="s">
        <v>210</v>
      </c>
      <c r="I19" s="46"/>
      <c r="J19" s="1"/>
      <c r="K19" s="1"/>
      <c r="L19" s="1"/>
      <c r="M19" s="1"/>
      <c r="N19" s="1"/>
      <c r="O19" s="1"/>
    </row>
    <row r="20" spans="1:15" x14ac:dyDescent="0.25">
      <c r="A20" s="6" t="s">
        <v>68</v>
      </c>
      <c r="B20" s="8" t="s">
        <v>674</v>
      </c>
      <c r="C20" s="6" t="s">
        <v>90</v>
      </c>
      <c r="D20" s="8" t="s">
        <v>240</v>
      </c>
      <c r="E20" s="6" t="s">
        <v>86</v>
      </c>
      <c r="F20" s="6" t="s">
        <v>241</v>
      </c>
      <c r="G20" s="6" t="s">
        <v>5</v>
      </c>
      <c r="H20" s="6" t="s">
        <v>218</v>
      </c>
      <c r="I20" s="45"/>
      <c r="J20" s="6"/>
      <c r="K20" s="6"/>
      <c r="L20" s="6"/>
      <c r="M20" s="6"/>
      <c r="N20" s="6"/>
      <c r="O20" s="6"/>
    </row>
    <row r="21" spans="1:15" x14ac:dyDescent="0.25">
      <c r="A21" s="7" t="s">
        <v>68</v>
      </c>
      <c r="B21" s="9" t="s">
        <v>675</v>
      </c>
      <c r="C21" s="13" t="s">
        <v>93</v>
      </c>
      <c r="D21" s="9" t="s">
        <v>240</v>
      </c>
      <c r="E21" s="7" t="s">
        <v>86</v>
      </c>
      <c r="F21" s="7" t="s">
        <v>241</v>
      </c>
      <c r="G21" s="7" t="s">
        <v>5</v>
      </c>
      <c r="H21" s="7" t="s">
        <v>218</v>
      </c>
      <c r="I21" s="46"/>
      <c r="J21" s="1"/>
      <c r="K21" s="1"/>
      <c r="L21" s="1"/>
      <c r="M21" s="1"/>
      <c r="N21" s="1"/>
      <c r="O21" s="1"/>
    </row>
    <row r="22" spans="1:15" x14ac:dyDescent="0.25">
      <c r="A22" s="6" t="s">
        <v>68</v>
      </c>
      <c r="B22" s="8" t="s">
        <v>676</v>
      </c>
      <c r="C22" s="6" t="s">
        <v>97</v>
      </c>
      <c r="D22" s="8" t="s">
        <v>240</v>
      </c>
      <c r="E22" s="6" t="s">
        <v>86</v>
      </c>
      <c r="F22" s="6" t="s">
        <v>241</v>
      </c>
      <c r="G22" s="6" t="s">
        <v>5</v>
      </c>
      <c r="H22" s="6" t="s">
        <v>210</v>
      </c>
      <c r="I22" s="45"/>
      <c r="J22" s="6"/>
      <c r="K22" s="6"/>
      <c r="L22" s="6"/>
      <c r="M22" s="6"/>
      <c r="N22" s="6"/>
      <c r="O22" s="6"/>
    </row>
    <row r="23" spans="1:15" x14ac:dyDescent="0.25">
      <c r="A23" s="7" t="s">
        <v>68</v>
      </c>
      <c r="B23" s="9" t="s">
        <v>677</v>
      </c>
      <c r="C23" s="13" t="s">
        <v>100</v>
      </c>
      <c r="D23" s="9" t="s">
        <v>240</v>
      </c>
      <c r="E23" s="7" t="s">
        <v>86</v>
      </c>
      <c r="F23" s="7" t="s">
        <v>241</v>
      </c>
      <c r="G23" s="7" t="s">
        <v>5</v>
      </c>
      <c r="H23" s="7" t="s">
        <v>218</v>
      </c>
      <c r="I23" s="46"/>
      <c r="J23" s="1"/>
      <c r="K23" s="1"/>
      <c r="L23" s="1"/>
      <c r="M23" s="1"/>
      <c r="N23" s="1"/>
      <c r="O23" s="1"/>
    </row>
    <row r="24" spans="1:15" x14ac:dyDescent="0.25">
      <c r="A24" s="7" t="s">
        <v>68</v>
      </c>
      <c r="B24" s="9" t="s">
        <v>678</v>
      </c>
      <c r="C24" s="13" t="s">
        <v>159</v>
      </c>
      <c r="D24" s="9" t="s">
        <v>240</v>
      </c>
      <c r="E24" s="7" t="s">
        <v>86</v>
      </c>
      <c r="F24" s="7" t="s">
        <v>241</v>
      </c>
      <c r="G24" s="7" t="s">
        <v>5</v>
      </c>
      <c r="H24" s="7" t="s">
        <v>210</v>
      </c>
      <c r="I24" s="46"/>
      <c r="J24" s="1"/>
      <c r="K24" s="1"/>
      <c r="L24" s="1"/>
      <c r="M24" s="1"/>
      <c r="N24" s="1"/>
      <c r="O24" s="1"/>
    </row>
    <row r="25" spans="1:15" x14ac:dyDescent="0.25">
      <c r="A25" s="6" t="s">
        <v>68</v>
      </c>
      <c r="B25" s="8" t="s">
        <v>679</v>
      </c>
      <c r="C25" s="6" t="s">
        <v>132</v>
      </c>
      <c r="D25" s="8" t="s">
        <v>240</v>
      </c>
      <c r="E25" s="6" t="s">
        <v>86</v>
      </c>
      <c r="F25" s="6" t="s">
        <v>241</v>
      </c>
      <c r="G25" s="6" t="s">
        <v>5</v>
      </c>
      <c r="H25" s="6" t="s">
        <v>218</v>
      </c>
      <c r="I25" s="45"/>
      <c r="J25" s="6"/>
      <c r="K25" s="6"/>
      <c r="L25" s="6"/>
      <c r="M25" s="6"/>
      <c r="N25" s="6"/>
      <c r="O25" s="6"/>
    </row>
    <row r="26" spans="1:15" x14ac:dyDescent="0.25">
      <c r="A26" s="7" t="s">
        <v>68</v>
      </c>
      <c r="B26" s="9" t="s">
        <v>680</v>
      </c>
      <c r="C26" s="13" t="s">
        <v>156</v>
      </c>
      <c r="D26" s="9" t="s">
        <v>240</v>
      </c>
      <c r="E26" s="7" t="s">
        <v>86</v>
      </c>
      <c r="F26" s="7" t="s">
        <v>241</v>
      </c>
      <c r="G26" s="7" t="s">
        <v>5</v>
      </c>
      <c r="H26" s="7" t="s">
        <v>218</v>
      </c>
      <c r="I26" s="46"/>
      <c r="J26" s="1"/>
      <c r="K26" s="1"/>
      <c r="L26" s="1"/>
      <c r="M26" s="1"/>
      <c r="N26" s="1"/>
      <c r="O26" s="1"/>
    </row>
    <row r="27" spans="1:15" x14ac:dyDescent="0.25">
      <c r="A27" s="6" t="s">
        <v>68</v>
      </c>
      <c r="B27" s="8" t="s">
        <v>681</v>
      </c>
      <c r="C27" s="6" t="s">
        <v>153</v>
      </c>
      <c r="D27" s="8" t="s">
        <v>240</v>
      </c>
      <c r="E27" s="6" t="s">
        <v>86</v>
      </c>
      <c r="F27" s="6" t="s">
        <v>241</v>
      </c>
      <c r="G27" s="6" t="s">
        <v>5</v>
      </c>
      <c r="H27" s="6" t="s">
        <v>218</v>
      </c>
      <c r="I27" s="45"/>
      <c r="J27" s="6"/>
      <c r="K27" s="6"/>
      <c r="L27" s="6"/>
      <c r="M27" s="6"/>
      <c r="N27" s="6"/>
      <c r="O27" s="6"/>
    </row>
    <row r="28" spans="1:15" x14ac:dyDescent="0.25">
      <c r="A28" s="7" t="s">
        <v>68</v>
      </c>
      <c r="B28" s="9" t="s">
        <v>682</v>
      </c>
      <c r="C28" s="13" t="s">
        <v>162</v>
      </c>
      <c r="D28" s="9" t="s">
        <v>240</v>
      </c>
      <c r="E28" s="7" t="s">
        <v>86</v>
      </c>
      <c r="F28" s="7" t="s">
        <v>241</v>
      </c>
      <c r="G28" s="7" t="s">
        <v>5</v>
      </c>
      <c r="H28" s="7" t="s">
        <v>218</v>
      </c>
      <c r="I28" s="46"/>
      <c r="J28" s="1"/>
      <c r="K28" s="1"/>
      <c r="L28" s="1"/>
      <c r="M28" s="1"/>
      <c r="N28" s="1"/>
      <c r="O28" s="1"/>
    </row>
    <row r="29" spans="1:15" x14ac:dyDescent="0.25">
      <c r="A29" s="6" t="s">
        <v>68</v>
      </c>
      <c r="B29" s="8" t="s">
        <v>683</v>
      </c>
      <c r="C29" s="6" t="s">
        <v>164</v>
      </c>
      <c r="D29" s="8" t="s">
        <v>240</v>
      </c>
      <c r="E29" s="6" t="s">
        <v>86</v>
      </c>
      <c r="F29" s="6" t="s">
        <v>241</v>
      </c>
      <c r="G29" s="6" t="s">
        <v>5</v>
      </c>
      <c r="H29" s="6" t="s">
        <v>210</v>
      </c>
      <c r="I29" s="45"/>
      <c r="J29" s="6"/>
      <c r="K29" s="6"/>
      <c r="L29" s="6"/>
      <c r="M29" s="6"/>
      <c r="N29" s="6"/>
      <c r="O29" s="6"/>
    </row>
    <row r="30" spans="1:15" x14ac:dyDescent="0.25">
      <c r="A30" s="7" t="s">
        <v>68</v>
      </c>
      <c r="B30" s="9" t="s">
        <v>684</v>
      </c>
      <c r="C30" s="13" t="s">
        <v>167</v>
      </c>
      <c r="D30" s="9" t="s">
        <v>240</v>
      </c>
      <c r="E30" s="7" t="s">
        <v>86</v>
      </c>
      <c r="F30" s="7" t="s">
        <v>241</v>
      </c>
      <c r="G30" s="7" t="s">
        <v>5</v>
      </c>
      <c r="H30" s="7" t="s">
        <v>218</v>
      </c>
      <c r="I30" s="46"/>
      <c r="J30" s="1"/>
      <c r="K30" s="1"/>
      <c r="L30" s="1"/>
      <c r="M30" s="1"/>
      <c r="N30" s="1"/>
      <c r="O30" s="1"/>
    </row>
    <row r="31" spans="1:15" x14ac:dyDescent="0.25">
      <c r="A31" s="7" t="s">
        <v>49</v>
      </c>
      <c r="B31" s="9" t="s">
        <v>57</v>
      </c>
      <c r="C31" s="13" t="s">
        <v>53</v>
      </c>
      <c r="D31" s="9" t="s">
        <v>215</v>
      </c>
      <c r="E31" s="7" t="s">
        <v>54</v>
      </c>
      <c r="F31" s="7" t="s">
        <v>219</v>
      </c>
      <c r="G31" s="7" t="s">
        <v>6</v>
      </c>
      <c r="H31" s="7" t="s">
        <v>210</v>
      </c>
      <c r="I31" s="46"/>
      <c r="J31" s="1"/>
      <c r="K31" s="1"/>
      <c r="L31" s="1"/>
      <c r="M31" s="1"/>
      <c r="N31" s="1"/>
      <c r="O31" s="1"/>
    </row>
    <row r="32" spans="1:15" x14ac:dyDescent="0.25">
      <c r="A32" s="6" t="s">
        <v>49</v>
      </c>
      <c r="B32" s="8" t="s">
        <v>57</v>
      </c>
      <c r="C32" s="6" t="s">
        <v>58</v>
      </c>
      <c r="D32" s="8" t="s">
        <v>215</v>
      </c>
      <c r="E32" s="6" t="s">
        <v>54</v>
      </c>
      <c r="F32" s="6" t="s">
        <v>219</v>
      </c>
      <c r="G32" s="6" t="s">
        <v>6</v>
      </c>
      <c r="H32" s="6" t="s">
        <v>218</v>
      </c>
      <c r="I32" s="45"/>
      <c r="J32" s="6"/>
      <c r="K32" s="6"/>
      <c r="L32" s="6"/>
      <c r="M32" s="6"/>
      <c r="N32" s="6"/>
      <c r="O32" s="6"/>
    </row>
    <row r="33" spans="1:15" ht="18" customHeight="1" x14ac:dyDescent="0.25">
      <c r="A33" s="7" t="s">
        <v>49</v>
      </c>
      <c r="B33" s="9" t="s">
        <v>57</v>
      </c>
      <c r="C33" s="13" t="s">
        <v>56</v>
      </c>
      <c r="D33" s="9" t="s">
        <v>215</v>
      </c>
      <c r="E33" s="7" t="s">
        <v>54</v>
      </c>
      <c r="F33" s="7" t="s">
        <v>219</v>
      </c>
      <c r="G33" s="7" t="s">
        <v>6</v>
      </c>
      <c r="H33" s="7" t="s">
        <v>218</v>
      </c>
      <c r="I33" s="46"/>
      <c r="J33" s="1"/>
      <c r="K33" s="1"/>
      <c r="L33" s="1"/>
      <c r="M33" s="1"/>
      <c r="N33" s="1"/>
      <c r="O33" s="1"/>
    </row>
    <row r="34" spans="1:15" x14ac:dyDescent="0.25">
      <c r="A34" s="6" t="s">
        <v>49</v>
      </c>
      <c r="B34" s="8" t="s">
        <v>656</v>
      </c>
      <c r="C34" s="6" t="s">
        <v>81</v>
      </c>
      <c r="D34" s="8" t="s">
        <v>208</v>
      </c>
      <c r="E34" s="6" t="s">
        <v>51</v>
      </c>
      <c r="F34" s="6" t="s">
        <v>209</v>
      </c>
      <c r="G34" s="6" t="s">
        <v>5</v>
      </c>
      <c r="H34" s="6" t="s">
        <v>210</v>
      </c>
      <c r="I34" s="45"/>
      <c r="J34" s="6"/>
      <c r="K34" s="6"/>
      <c r="L34" s="6"/>
      <c r="M34" s="6"/>
      <c r="N34" s="6"/>
      <c r="O34" s="6"/>
    </row>
    <row r="35" spans="1:15" x14ac:dyDescent="0.25">
      <c r="A35" s="7" t="s">
        <v>49</v>
      </c>
      <c r="B35" s="9" t="s">
        <v>657</v>
      </c>
      <c r="C35" s="13" t="s">
        <v>61</v>
      </c>
      <c r="D35" s="9" t="s">
        <v>208</v>
      </c>
      <c r="E35" s="7" t="s">
        <v>51</v>
      </c>
      <c r="F35" s="7" t="s">
        <v>209</v>
      </c>
      <c r="G35" s="7" t="s">
        <v>5</v>
      </c>
      <c r="H35" s="7" t="s">
        <v>210</v>
      </c>
      <c r="I35" s="46"/>
      <c r="J35" s="1"/>
      <c r="K35" s="1"/>
      <c r="L35" s="1"/>
      <c r="M35" s="1"/>
      <c r="N35" s="1"/>
      <c r="O35" s="1"/>
    </row>
    <row r="36" spans="1:15" x14ac:dyDescent="0.25">
      <c r="A36" s="6" t="s">
        <v>49</v>
      </c>
      <c r="B36" s="8" t="s">
        <v>658</v>
      </c>
      <c r="C36" s="6" t="s">
        <v>64</v>
      </c>
      <c r="D36" s="8" t="s">
        <v>208</v>
      </c>
      <c r="E36" s="6" t="s">
        <v>51</v>
      </c>
      <c r="F36" s="6" t="s">
        <v>209</v>
      </c>
      <c r="G36" s="6" t="s">
        <v>5</v>
      </c>
      <c r="H36" s="6" t="s">
        <v>210</v>
      </c>
      <c r="I36" s="45"/>
      <c r="J36" s="6"/>
      <c r="K36" s="6"/>
      <c r="L36" s="6"/>
      <c r="M36" s="6"/>
      <c r="N36" s="6"/>
      <c r="O36" s="6"/>
    </row>
    <row r="37" spans="1:15" x14ac:dyDescent="0.25">
      <c r="A37" s="6" t="s">
        <v>49</v>
      </c>
      <c r="B37" s="8" t="s">
        <v>660</v>
      </c>
      <c r="C37" s="6" t="s">
        <v>50</v>
      </c>
      <c r="D37" s="8" t="s">
        <v>208</v>
      </c>
      <c r="E37" s="6" t="s">
        <v>51</v>
      </c>
      <c r="F37" s="6" t="s">
        <v>209</v>
      </c>
      <c r="G37" s="6" t="s">
        <v>5</v>
      </c>
      <c r="H37" s="6" t="s">
        <v>210</v>
      </c>
      <c r="I37" s="45"/>
      <c r="J37" s="6"/>
      <c r="K37" s="6"/>
      <c r="L37" s="6"/>
      <c r="M37" s="6"/>
      <c r="N37" s="6"/>
      <c r="O37" s="6"/>
    </row>
    <row r="38" spans="1:15" ht="16.5" customHeight="1" x14ac:dyDescent="0.25">
      <c r="A38" s="7" t="s">
        <v>49</v>
      </c>
      <c r="B38" s="9" t="s">
        <v>661</v>
      </c>
      <c r="C38" s="13" t="s">
        <v>129</v>
      </c>
      <c r="D38" s="9" t="s">
        <v>208</v>
      </c>
      <c r="E38" s="7" t="s">
        <v>51</v>
      </c>
      <c r="F38" s="7" t="s">
        <v>209</v>
      </c>
      <c r="G38" s="7" t="s">
        <v>5</v>
      </c>
      <c r="H38" s="7" t="s">
        <v>210</v>
      </c>
      <c r="I38" s="46"/>
      <c r="J38" s="1"/>
      <c r="K38" s="1"/>
      <c r="L38" s="1"/>
      <c r="M38" s="1"/>
      <c r="N38" s="1"/>
      <c r="O38" s="1"/>
    </row>
    <row r="39" spans="1:15" ht="16.5" customHeight="1" x14ac:dyDescent="0.25">
      <c r="A39" s="6" t="s">
        <v>49</v>
      </c>
      <c r="B39" s="8" t="s">
        <v>662</v>
      </c>
      <c r="C39" s="6" t="s">
        <v>72</v>
      </c>
      <c r="D39" s="8" t="s">
        <v>208</v>
      </c>
      <c r="E39" s="6" t="s">
        <v>51</v>
      </c>
      <c r="F39" s="6" t="s">
        <v>209</v>
      </c>
      <c r="G39" s="6" t="s">
        <v>5</v>
      </c>
      <c r="H39" s="6" t="s">
        <v>210</v>
      </c>
      <c r="I39" s="45"/>
      <c r="J39" s="6"/>
      <c r="K39" s="6"/>
      <c r="L39" s="6"/>
      <c r="M39" s="6"/>
      <c r="N39" s="6"/>
      <c r="O39" s="6"/>
    </row>
    <row r="40" spans="1:15" x14ac:dyDescent="0.25">
      <c r="A40" s="6" t="s">
        <v>68</v>
      </c>
      <c r="B40" s="8" t="s">
        <v>666</v>
      </c>
      <c r="C40" s="6" t="s">
        <v>115</v>
      </c>
      <c r="D40" s="8" t="s">
        <v>208</v>
      </c>
      <c r="E40" s="6" t="s">
        <v>51</v>
      </c>
      <c r="F40" s="6" t="s">
        <v>209</v>
      </c>
      <c r="G40" s="6" t="s">
        <v>5</v>
      </c>
      <c r="H40" s="6" t="s">
        <v>210</v>
      </c>
      <c r="I40" s="45"/>
      <c r="J40" s="6"/>
      <c r="K40" s="6"/>
      <c r="L40" s="6"/>
      <c r="M40" s="6"/>
      <c r="N40" s="6"/>
      <c r="O40" s="6"/>
    </row>
    <row r="41" spans="1:15" x14ac:dyDescent="0.25">
      <c r="A41" s="7" t="s">
        <v>68</v>
      </c>
      <c r="B41" s="9" t="s">
        <v>667</v>
      </c>
      <c r="C41" s="13" t="s">
        <v>135</v>
      </c>
      <c r="D41" s="9" t="s">
        <v>208</v>
      </c>
      <c r="E41" s="7" t="s">
        <v>51</v>
      </c>
      <c r="F41" s="7" t="s">
        <v>209</v>
      </c>
      <c r="G41" s="7" t="s">
        <v>5</v>
      </c>
      <c r="H41" s="7" t="s">
        <v>210</v>
      </c>
      <c r="I41" s="46"/>
      <c r="J41" s="1"/>
      <c r="K41" s="1"/>
      <c r="L41" s="1"/>
      <c r="M41" s="1"/>
      <c r="N41" s="1"/>
      <c r="O41" s="1"/>
    </row>
    <row r="42" spans="1:15" x14ac:dyDescent="0.25">
      <c r="A42" s="6" t="s">
        <v>68</v>
      </c>
      <c r="B42" s="8" t="s">
        <v>668</v>
      </c>
      <c r="C42" s="6" t="s">
        <v>103</v>
      </c>
      <c r="D42" s="8" t="s">
        <v>208</v>
      </c>
      <c r="E42" s="6" t="s">
        <v>51</v>
      </c>
      <c r="F42" s="6" t="s">
        <v>209</v>
      </c>
      <c r="G42" s="6" t="s">
        <v>5</v>
      </c>
      <c r="H42" s="6" t="s">
        <v>218</v>
      </c>
      <c r="I42" s="45"/>
      <c r="J42" s="6"/>
      <c r="K42" s="6"/>
      <c r="L42" s="6"/>
      <c r="M42" s="6"/>
      <c r="N42" s="6"/>
      <c r="O42" s="6"/>
    </row>
    <row r="43" spans="1:15" x14ac:dyDescent="0.25">
      <c r="A43" s="6" t="s">
        <v>68</v>
      </c>
      <c r="B43" s="8" t="s">
        <v>57</v>
      </c>
      <c r="C43" s="6" t="s">
        <v>69</v>
      </c>
      <c r="D43" s="8" t="s">
        <v>208</v>
      </c>
      <c r="E43" s="6" t="s">
        <v>51</v>
      </c>
      <c r="F43" s="6" t="s">
        <v>209</v>
      </c>
      <c r="G43" s="6" t="s">
        <v>5</v>
      </c>
      <c r="H43" s="6" t="s">
        <v>210</v>
      </c>
      <c r="I43" s="45"/>
      <c r="J43" s="6"/>
      <c r="K43" s="6"/>
      <c r="L43" s="6"/>
      <c r="M43" s="6"/>
      <c r="N43" s="6"/>
      <c r="O43" s="6"/>
    </row>
    <row r="44" spans="1:15" x14ac:dyDescent="0.25">
      <c r="A44" s="7" t="s">
        <v>68</v>
      </c>
      <c r="B44" s="9" t="s">
        <v>57</v>
      </c>
      <c r="C44" s="13" t="s">
        <v>151</v>
      </c>
      <c r="D44" s="9" t="s">
        <v>208</v>
      </c>
      <c r="E44" s="7" t="s">
        <v>51</v>
      </c>
      <c r="F44" s="7" t="s">
        <v>209</v>
      </c>
      <c r="G44" s="7" t="s">
        <v>5</v>
      </c>
      <c r="H44" s="7" t="s">
        <v>210</v>
      </c>
      <c r="I44" s="46"/>
      <c r="J44" s="1"/>
      <c r="K44" s="1"/>
      <c r="L44" s="1"/>
      <c r="M44" s="1"/>
      <c r="N44" s="1"/>
      <c r="O44" s="1"/>
    </row>
    <row r="45" spans="1:15" x14ac:dyDescent="0.25">
      <c r="A45" s="6"/>
      <c r="B45" s="8"/>
      <c r="C45" s="6"/>
      <c r="D45" s="8"/>
      <c r="E45" s="6"/>
      <c r="F45" s="6"/>
      <c r="G45" s="6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7"/>
      <c r="B46" s="9"/>
      <c r="C46" s="13"/>
      <c r="D46" s="9"/>
      <c r="E46" s="7"/>
      <c r="F46" s="7"/>
      <c r="G46" s="7"/>
      <c r="H46" s="7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8"/>
      <c r="C47" s="6"/>
      <c r="D47" s="8"/>
      <c r="E47" s="6"/>
      <c r="F47" s="6"/>
      <c r="G47" s="6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7"/>
      <c r="B48" s="9"/>
      <c r="C48" s="13"/>
      <c r="D48" s="9"/>
      <c r="E48" s="7"/>
      <c r="F48" s="7"/>
      <c r="G48" s="7"/>
      <c r="H48" s="7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8"/>
      <c r="C49" s="6"/>
      <c r="D49" s="8"/>
      <c r="E49" s="6"/>
      <c r="F49" s="6"/>
      <c r="G49" s="6"/>
      <c r="H49" s="6"/>
      <c r="I49" s="10"/>
      <c r="J49" s="6"/>
      <c r="K49" s="6"/>
      <c r="L49" s="6"/>
      <c r="M49" s="6"/>
      <c r="N49" s="6"/>
      <c r="O49" s="6"/>
    </row>
    <row r="50" spans="1:15" x14ac:dyDescent="0.25">
      <c r="A50" s="7"/>
      <c r="B50" s="9"/>
      <c r="C50" s="13"/>
      <c r="D50" s="9"/>
      <c r="E50" s="7"/>
      <c r="F50" s="7"/>
      <c r="G50" s="7"/>
      <c r="H50" s="7"/>
      <c r="I50" s="41"/>
      <c r="J50" s="1"/>
      <c r="K50" s="1"/>
      <c r="L50" s="1"/>
      <c r="M50" s="1"/>
      <c r="N50" s="1"/>
      <c r="O50" s="1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F6:F44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63B6-CCE3-44B3-A07C-9B3006B2D239}">
  <sheetPr codeName="Planilha19">
    <tabColor rgb="FFFFC000"/>
    <pageSetUpPr fitToPage="1"/>
  </sheetPr>
  <dimension ref="A1:O127"/>
  <sheetViews>
    <sheetView showGridLines="0" view="pageBreakPreview" topLeftCell="A42" zoomScale="70" zoomScaleNormal="70" zoomScaleSheetLayoutView="70" workbookViewId="0">
      <selection activeCell="O45" sqref="O45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685</v>
      </c>
      <c r="C3" s="26"/>
      <c r="D3" s="35" t="s">
        <v>686</v>
      </c>
      <c r="E3" s="27"/>
      <c r="F3" s="28"/>
      <c r="G3" s="28"/>
      <c r="H3" s="35" t="s">
        <v>196</v>
      </c>
      <c r="I3" s="27"/>
      <c r="J3" s="27"/>
      <c r="K3" s="35" t="s">
        <v>687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 t="s">
        <v>49</v>
      </c>
      <c r="B7" s="9" t="s">
        <v>688</v>
      </c>
      <c r="C7" s="13" t="s">
        <v>81</v>
      </c>
      <c r="D7" s="9" t="s">
        <v>208</v>
      </c>
      <c r="E7" s="7" t="s">
        <v>51</v>
      </c>
      <c r="F7" s="7" t="s">
        <v>209</v>
      </c>
      <c r="G7" s="7" t="s">
        <v>5</v>
      </c>
      <c r="H7" s="7" t="s">
        <v>210</v>
      </c>
      <c r="I7" s="46">
        <v>46233</v>
      </c>
      <c r="J7" s="1" t="s">
        <v>266</v>
      </c>
      <c r="K7" s="1"/>
      <c r="L7" s="1"/>
      <c r="M7" s="1"/>
      <c r="N7" s="1" t="s">
        <v>267</v>
      </c>
      <c r="O7" s="1" t="s">
        <v>268</v>
      </c>
    </row>
    <row r="8" spans="1:15" x14ac:dyDescent="0.25">
      <c r="A8" s="6" t="s">
        <v>49</v>
      </c>
      <c r="B8" s="8" t="s">
        <v>689</v>
      </c>
      <c r="C8" s="6" t="s">
        <v>61</v>
      </c>
      <c r="D8" s="8" t="s">
        <v>208</v>
      </c>
      <c r="E8" s="6" t="s">
        <v>51</v>
      </c>
      <c r="F8" s="6" t="s">
        <v>209</v>
      </c>
      <c r="G8" s="6" t="s">
        <v>5</v>
      </c>
      <c r="H8" s="6" t="s">
        <v>210</v>
      </c>
      <c r="I8" s="45">
        <v>46233</v>
      </c>
      <c r="J8" s="6" t="s">
        <v>266</v>
      </c>
      <c r="K8" s="6"/>
      <c r="L8" s="6" t="s">
        <v>267</v>
      </c>
      <c r="M8" s="6"/>
      <c r="N8" s="6"/>
      <c r="O8" s="6" t="s">
        <v>268</v>
      </c>
    </row>
    <row r="9" spans="1:15" x14ac:dyDescent="0.25">
      <c r="A9" s="7" t="s">
        <v>49</v>
      </c>
      <c r="B9" s="9" t="s">
        <v>690</v>
      </c>
      <c r="C9" s="13" t="s">
        <v>64</v>
      </c>
      <c r="D9" s="9" t="s">
        <v>208</v>
      </c>
      <c r="E9" s="7" t="s">
        <v>51</v>
      </c>
      <c r="F9" s="7" t="s">
        <v>209</v>
      </c>
      <c r="G9" s="7" t="s">
        <v>5</v>
      </c>
      <c r="H9" s="7" t="s">
        <v>210</v>
      </c>
      <c r="I9" s="46">
        <v>46233</v>
      </c>
      <c r="J9" s="1" t="s">
        <v>266</v>
      </c>
      <c r="K9" s="1"/>
      <c r="L9" s="1"/>
      <c r="M9" s="1"/>
      <c r="N9" s="1" t="s">
        <v>267</v>
      </c>
      <c r="O9" s="1" t="s">
        <v>268</v>
      </c>
    </row>
    <row r="10" spans="1:15" x14ac:dyDescent="0.25">
      <c r="A10" s="6" t="s">
        <v>49</v>
      </c>
      <c r="B10" s="8" t="s">
        <v>691</v>
      </c>
      <c r="C10" s="6" t="s">
        <v>77</v>
      </c>
      <c r="D10" s="8" t="s">
        <v>215</v>
      </c>
      <c r="E10" s="6" t="s">
        <v>48</v>
      </c>
      <c r="F10" s="6" t="s">
        <v>216</v>
      </c>
      <c r="G10" s="6" t="s">
        <v>6</v>
      </c>
      <c r="H10" s="6" t="s">
        <v>210</v>
      </c>
      <c r="I10" s="45">
        <v>46233</v>
      </c>
      <c r="J10" s="6" t="s">
        <v>266</v>
      </c>
      <c r="K10" s="6"/>
      <c r="L10" s="6"/>
      <c r="M10" s="6"/>
      <c r="N10" s="6" t="s">
        <v>267</v>
      </c>
      <c r="O10" s="6" t="s">
        <v>268</v>
      </c>
    </row>
    <row r="11" spans="1:15" x14ac:dyDescent="0.25">
      <c r="A11" s="7" t="s">
        <v>49</v>
      </c>
      <c r="B11" s="9" t="s">
        <v>692</v>
      </c>
      <c r="C11" s="13" t="s">
        <v>50</v>
      </c>
      <c r="D11" s="9" t="s">
        <v>208</v>
      </c>
      <c r="E11" s="7" t="s">
        <v>51</v>
      </c>
      <c r="F11" s="7" t="s">
        <v>209</v>
      </c>
      <c r="G11" s="7" t="s">
        <v>5</v>
      </c>
      <c r="H11" s="7" t="s">
        <v>210</v>
      </c>
      <c r="I11" s="46">
        <v>46233</v>
      </c>
      <c r="J11" s="1" t="s">
        <v>266</v>
      </c>
      <c r="K11" s="1"/>
      <c r="L11" s="1"/>
      <c r="M11" s="1"/>
      <c r="N11" s="1" t="s">
        <v>267</v>
      </c>
      <c r="O11" s="1" t="s">
        <v>268</v>
      </c>
    </row>
    <row r="12" spans="1:15" x14ac:dyDescent="0.25">
      <c r="A12" s="6" t="s">
        <v>49</v>
      </c>
      <c r="B12" s="8" t="s">
        <v>57</v>
      </c>
      <c r="C12" s="6" t="s">
        <v>53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45">
        <v>46233</v>
      </c>
      <c r="J12" s="6" t="s">
        <v>266</v>
      </c>
      <c r="K12" s="6"/>
      <c r="L12" s="6"/>
      <c r="M12" s="6" t="s">
        <v>267</v>
      </c>
      <c r="N12" s="6"/>
      <c r="O12" s="6" t="s">
        <v>268</v>
      </c>
    </row>
    <row r="13" spans="1:15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6">
        <v>46233</v>
      </c>
      <c r="J13" s="1" t="s">
        <v>273</v>
      </c>
      <c r="K13" s="1"/>
      <c r="L13" s="1"/>
      <c r="M13" s="1" t="s">
        <v>267</v>
      </c>
      <c r="N13" s="1"/>
      <c r="O13" s="1" t="s">
        <v>268</v>
      </c>
    </row>
    <row r="14" spans="1:15" x14ac:dyDescent="0.25">
      <c r="A14" s="6" t="s">
        <v>49</v>
      </c>
      <c r="B14" s="8" t="s">
        <v>57</v>
      </c>
      <c r="C14" s="6" t="s">
        <v>56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45">
        <v>46233</v>
      </c>
      <c r="J14" s="6" t="s">
        <v>273</v>
      </c>
      <c r="K14" s="6"/>
      <c r="L14" s="6"/>
      <c r="M14" s="6" t="s">
        <v>267</v>
      </c>
      <c r="N14" s="6"/>
      <c r="O14" s="6" t="s">
        <v>268</v>
      </c>
    </row>
    <row r="15" spans="1:15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6">
        <v>46233</v>
      </c>
      <c r="J15" s="1" t="s">
        <v>273</v>
      </c>
      <c r="K15" s="1"/>
      <c r="L15" s="1"/>
      <c r="M15" s="1" t="s">
        <v>267</v>
      </c>
      <c r="N15" s="1"/>
      <c r="O15" s="1" t="s">
        <v>268</v>
      </c>
    </row>
    <row r="16" spans="1:15" x14ac:dyDescent="0.25">
      <c r="A16" s="6" t="s">
        <v>49</v>
      </c>
      <c r="B16" s="8" t="s">
        <v>693</v>
      </c>
      <c r="C16" s="6" t="s">
        <v>129</v>
      </c>
      <c r="D16" s="8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45">
        <v>46233</v>
      </c>
      <c r="J16" s="6" t="s">
        <v>266</v>
      </c>
      <c r="K16" s="6"/>
      <c r="L16" s="6"/>
      <c r="M16" s="6"/>
      <c r="N16" s="6" t="s">
        <v>267</v>
      </c>
      <c r="O16" s="6" t="s">
        <v>268</v>
      </c>
    </row>
    <row r="17" spans="1:15" x14ac:dyDescent="0.25">
      <c r="A17" s="7" t="s">
        <v>49</v>
      </c>
      <c r="B17" s="9" t="s">
        <v>694</v>
      </c>
      <c r="C17" s="13" t="s">
        <v>72</v>
      </c>
      <c r="D17" s="9" t="s">
        <v>208</v>
      </c>
      <c r="E17" s="7" t="s">
        <v>51</v>
      </c>
      <c r="F17" s="7" t="s">
        <v>209</v>
      </c>
      <c r="G17" s="7" t="s">
        <v>5</v>
      </c>
      <c r="H17" s="7" t="s">
        <v>210</v>
      </c>
      <c r="I17" s="46">
        <v>46233</v>
      </c>
      <c r="J17" s="1" t="s">
        <v>266</v>
      </c>
      <c r="K17" s="1"/>
      <c r="L17" s="1" t="s">
        <v>267</v>
      </c>
      <c r="M17" s="1"/>
      <c r="N17" s="1"/>
      <c r="O17" s="1" t="s">
        <v>268</v>
      </c>
    </row>
    <row r="18" spans="1:15" x14ac:dyDescent="0.25">
      <c r="A18" s="6" t="s">
        <v>68</v>
      </c>
      <c r="B18" s="8" t="s">
        <v>695</v>
      </c>
      <c r="C18" s="6" t="s">
        <v>125</v>
      </c>
      <c r="D18" s="8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45">
        <v>46233</v>
      </c>
      <c r="J18" s="6" t="s">
        <v>273</v>
      </c>
      <c r="K18" s="6"/>
      <c r="L18" s="6"/>
      <c r="M18" s="6"/>
      <c r="N18" s="6" t="s">
        <v>267</v>
      </c>
      <c r="O18" s="6" t="s">
        <v>309</v>
      </c>
    </row>
    <row r="19" spans="1:15" x14ac:dyDescent="0.25">
      <c r="A19" s="7" t="s">
        <v>68</v>
      </c>
      <c r="B19" s="9" t="s">
        <v>696</v>
      </c>
      <c r="C19" s="13" t="s">
        <v>144</v>
      </c>
      <c r="D19" s="9" t="s">
        <v>240</v>
      </c>
      <c r="E19" s="7" t="s">
        <v>86</v>
      </c>
      <c r="F19" s="7" t="s">
        <v>241</v>
      </c>
      <c r="G19" s="7" t="s">
        <v>5</v>
      </c>
      <c r="H19" s="7" t="s">
        <v>210</v>
      </c>
      <c r="I19" s="46">
        <v>46233</v>
      </c>
      <c r="J19" s="1" t="s">
        <v>266</v>
      </c>
      <c r="K19" s="1"/>
      <c r="L19" s="1"/>
      <c r="M19" s="1"/>
      <c r="N19" s="1" t="s">
        <v>267</v>
      </c>
      <c r="O19" s="1" t="s">
        <v>309</v>
      </c>
    </row>
    <row r="20" spans="1:15" x14ac:dyDescent="0.25">
      <c r="A20" s="6" t="s">
        <v>68</v>
      </c>
      <c r="B20" s="8" t="s">
        <v>697</v>
      </c>
      <c r="C20" s="6" t="s">
        <v>106</v>
      </c>
      <c r="D20" s="8" t="s">
        <v>240</v>
      </c>
      <c r="E20" s="6" t="s">
        <v>86</v>
      </c>
      <c r="F20" s="6" t="s">
        <v>241</v>
      </c>
      <c r="G20" s="6" t="s">
        <v>5</v>
      </c>
      <c r="H20" s="6" t="s">
        <v>218</v>
      </c>
      <c r="I20" s="45">
        <v>46233</v>
      </c>
      <c r="J20" s="6" t="s">
        <v>273</v>
      </c>
      <c r="K20" s="6"/>
      <c r="L20" s="6"/>
      <c r="M20" s="6" t="s">
        <v>267</v>
      </c>
      <c r="N20" s="6"/>
      <c r="O20" s="6" t="s">
        <v>309</v>
      </c>
    </row>
    <row r="21" spans="1:15" x14ac:dyDescent="0.25">
      <c r="A21" s="7" t="s">
        <v>68</v>
      </c>
      <c r="B21" s="9" t="s">
        <v>698</v>
      </c>
      <c r="C21" s="13" t="s">
        <v>115</v>
      </c>
      <c r="D21" s="9" t="s">
        <v>208</v>
      </c>
      <c r="E21" s="7" t="s">
        <v>51</v>
      </c>
      <c r="F21" s="7" t="s">
        <v>209</v>
      </c>
      <c r="G21" s="7" t="s">
        <v>5</v>
      </c>
      <c r="H21" s="7" t="s">
        <v>210</v>
      </c>
      <c r="I21" s="46">
        <v>46234</v>
      </c>
      <c r="J21" s="1" t="s">
        <v>266</v>
      </c>
      <c r="K21" s="1"/>
      <c r="L21" s="1"/>
      <c r="M21" s="1"/>
      <c r="N21" s="1" t="s">
        <v>267</v>
      </c>
      <c r="O21" s="1" t="s">
        <v>309</v>
      </c>
    </row>
    <row r="22" spans="1:15" x14ac:dyDescent="0.25">
      <c r="A22" s="6" t="s">
        <v>68</v>
      </c>
      <c r="B22" s="8" t="s">
        <v>699</v>
      </c>
      <c r="C22" s="6" t="s">
        <v>135</v>
      </c>
      <c r="D22" s="8" t="s">
        <v>208</v>
      </c>
      <c r="E22" s="6" t="s">
        <v>51</v>
      </c>
      <c r="F22" s="6" t="s">
        <v>209</v>
      </c>
      <c r="G22" s="6" t="s">
        <v>5</v>
      </c>
      <c r="H22" s="6" t="s">
        <v>210</v>
      </c>
      <c r="I22" s="45">
        <v>46234</v>
      </c>
      <c r="J22" s="6" t="s">
        <v>266</v>
      </c>
      <c r="K22" s="6"/>
      <c r="L22" s="6"/>
      <c r="M22" s="6" t="s">
        <v>267</v>
      </c>
      <c r="N22" s="6"/>
      <c r="O22" s="6" t="s">
        <v>309</v>
      </c>
    </row>
    <row r="23" spans="1:15" x14ac:dyDescent="0.25">
      <c r="A23" s="7" t="s">
        <v>68</v>
      </c>
      <c r="B23" s="9" t="s">
        <v>700</v>
      </c>
      <c r="C23" s="13" t="s">
        <v>103</v>
      </c>
      <c r="D23" s="9" t="s">
        <v>208</v>
      </c>
      <c r="E23" s="7" t="s">
        <v>51</v>
      </c>
      <c r="F23" s="7" t="s">
        <v>209</v>
      </c>
      <c r="G23" s="7" t="s">
        <v>5</v>
      </c>
      <c r="H23" s="7" t="s">
        <v>218</v>
      </c>
      <c r="I23" s="46">
        <v>46234</v>
      </c>
      <c r="J23" s="1" t="s">
        <v>273</v>
      </c>
      <c r="K23" s="1"/>
      <c r="L23" s="1"/>
      <c r="M23" s="1"/>
      <c r="N23" s="1" t="s">
        <v>267</v>
      </c>
      <c r="O23" s="1" t="s">
        <v>309</v>
      </c>
    </row>
    <row r="24" spans="1:15" x14ac:dyDescent="0.25">
      <c r="A24" s="6" t="s">
        <v>68</v>
      </c>
      <c r="B24" s="8" t="s">
        <v>701</v>
      </c>
      <c r="C24" s="6" t="s">
        <v>119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45">
        <v>46234</v>
      </c>
      <c r="J24" s="6" t="s">
        <v>273</v>
      </c>
      <c r="K24" s="6"/>
      <c r="L24" s="6"/>
      <c r="M24" s="6"/>
      <c r="N24" s="6" t="s">
        <v>267</v>
      </c>
      <c r="O24" s="6" t="s">
        <v>309</v>
      </c>
    </row>
    <row r="25" spans="1:15" x14ac:dyDescent="0.25">
      <c r="A25" s="7" t="s">
        <v>68</v>
      </c>
      <c r="B25" s="9" t="s">
        <v>702</v>
      </c>
      <c r="C25" s="13" t="s">
        <v>137</v>
      </c>
      <c r="D25" s="9" t="s">
        <v>240</v>
      </c>
      <c r="E25" s="7" t="s">
        <v>86</v>
      </c>
      <c r="F25" s="7" t="s">
        <v>241</v>
      </c>
      <c r="G25" s="7" t="s">
        <v>5</v>
      </c>
      <c r="H25" s="7" t="s">
        <v>210</v>
      </c>
      <c r="I25" s="46">
        <v>46234</v>
      </c>
      <c r="J25" s="1" t="s">
        <v>266</v>
      </c>
      <c r="K25" s="1"/>
      <c r="L25" s="1"/>
      <c r="M25" s="1"/>
      <c r="N25" s="1" t="s">
        <v>267</v>
      </c>
      <c r="O25" s="1" t="s">
        <v>309</v>
      </c>
    </row>
    <row r="26" spans="1:15" x14ac:dyDescent="0.25">
      <c r="A26" s="6" t="s">
        <v>68</v>
      </c>
      <c r="B26" s="8" t="s">
        <v>703</v>
      </c>
      <c r="C26" s="6" t="s">
        <v>85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218</v>
      </c>
      <c r="I26" s="45">
        <v>46234</v>
      </c>
      <c r="J26" s="6" t="s">
        <v>273</v>
      </c>
      <c r="K26" s="6"/>
      <c r="L26" s="6"/>
      <c r="M26" s="6"/>
      <c r="N26" s="6" t="s">
        <v>267</v>
      </c>
      <c r="O26" s="6" t="s">
        <v>309</v>
      </c>
    </row>
    <row r="27" spans="1:15" x14ac:dyDescent="0.25">
      <c r="A27" s="7" t="s">
        <v>68</v>
      </c>
      <c r="B27" s="9" t="s">
        <v>704</v>
      </c>
      <c r="C27" s="13" t="s">
        <v>122</v>
      </c>
      <c r="D27" s="9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6">
        <v>46234</v>
      </c>
      <c r="J27" s="1" t="s">
        <v>273</v>
      </c>
      <c r="K27" s="1"/>
      <c r="L27" s="1"/>
      <c r="M27" s="1"/>
      <c r="N27" s="1" t="s">
        <v>267</v>
      </c>
      <c r="O27" s="1" t="s">
        <v>309</v>
      </c>
    </row>
    <row r="28" spans="1:15" x14ac:dyDescent="0.25">
      <c r="A28" s="6" t="s">
        <v>68</v>
      </c>
      <c r="B28" s="8" t="s">
        <v>705</v>
      </c>
      <c r="C28" s="6" t="s">
        <v>140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210</v>
      </c>
      <c r="I28" s="45">
        <v>46234</v>
      </c>
      <c r="J28" s="6" t="s">
        <v>266</v>
      </c>
      <c r="K28" s="6"/>
      <c r="L28" s="6"/>
      <c r="M28" s="6" t="s">
        <v>267</v>
      </c>
      <c r="N28" s="6"/>
      <c r="O28" s="6" t="s">
        <v>309</v>
      </c>
    </row>
    <row r="29" spans="1:15" x14ac:dyDescent="0.25">
      <c r="A29" s="7" t="s">
        <v>68</v>
      </c>
      <c r="B29" s="9" t="s">
        <v>706</v>
      </c>
      <c r="C29" s="13" t="s">
        <v>90</v>
      </c>
      <c r="D29" s="9" t="s">
        <v>240</v>
      </c>
      <c r="E29" s="7" t="s">
        <v>86</v>
      </c>
      <c r="F29" s="7" t="s">
        <v>241</v>
      </c>
      <c r="G29" s="7" t="s">
        <v>5</v>
      </c>
      <c r="H29" s="7" t="s">
        <v>218</v>
      </c>
      <c r="I29" s="46">
        <v>46234</v>
      </c>
      <c r="J29" s="1" t="s">
        <v>273</v>
      </c>
      <c r="K29" s="1"/>
      <c r="L29" s="1"/>
      <c r="M29" s="1"/>
      <c r="N29" s="1" t="s">
        <v>267</v>
      </c>
      <c r="O29" s="1" t="s">
        <v>309</v>
      </c>
    </row>
    <row r="30" spans="1:15" x14ac:dyDescent="0.25">
      <c r="A30" s="6" t="s">
        <v>68</v>
      </c>
      <c r="B30" s="8" t="s">
        <v>707</v>
      </c>
      <c r="C30" s="6" t="s">
        <v>93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45">
        <v>46234</v>
      </c>
      <c r="J30" s="6" t="s">
        <v>273</v>
      </c>
      <c r="K30" s="6"/>
      <c r="L30" s="6"/>
      <c r="M30" s="6"/>
      <c r="N30" s="6" t="s">
        <v>267</v>
      </c>
      <c r="O30" s="6" t="s">
        <v>309</v>
      </c>
    </row>
    <row r="31" spans="1:15" x14ac:dyDescent="0.25">
      <c r="A31" s="7" t="s">
        <v>68</v>
      </c>
      <c r="B31" s="9" t="s">
        <v>708</v>
      </c>
      <c r="C31" s="13" t="s">
        <v>97</v>
      </c>
      <c r="D31" s="9" t="s">
        <v>240</v>
      </c>
      <c r="E31" s="7" t="s">
        <v>86</v>
      </c>
      <c r="F31" s="7" t="s">
        <v>241</v>
      </c>
      <c r="G31" s="7" t="s">
        <v>5</v>
      </c>
      <c r="H31" s="7" t="s">
        <v>210</v>
      </c>
      <c r="I31" s="46">
        <v>46234</v>
      </c>
      <c r="J31" s="1" t="s">
        <v>266</v>
      </c>
      <c r="K31" s="1"/>
      <c r="L31" s="1"/>
      <c r="M31" s="1"/>
      <c r="N31" s="1" t="s">
        <v>267</v>
      </c>
      <c r="O31" s="1" t="s">
        <v>309</v>
      </c>
    </row>
    <row r="32" spans="1:15" x14ac:dyDescent="0.25">
      <c r="A32" s="6" t="s">
        <v>68</v>
      </c>
      <c r="B32" s="8" t="s">
        <v>709</v>
      </c>
      <c r="C32" s="6" t="s">
        <v>100</v>
      </c>
      <c r="D32" s="8" t="s">
        <v>240</v>
      </c>
      <c r="E32" s="6" t="s">
        <v>86</v>
      </c>
      <c r="F32" s="6" t="s">
        <v>241</v>
      </c>
      <c r="G32" s="6" t="s">
        <v>5</v>
      </c>
      <c r="H32" s="6" t="s">
        <v>218</v>
      </c>
      <c r="I32" s="45">
        <v>46234</v>
      </c>
      <c r="J32" s="6" t="s">
        <v>273</v>
      </c>
      <c r="K32" s="6"/>
      <c r="L32" s="6"/>
      <c r="M32" s="6"/>
      <c r="N32" s="6" t="s">
        <v>267</v>
      </c>
      <c r="O32" s="6" t="s">
        <v>309</v>
      </c>
    </row>
    <row r="33" spans="1:15" ht="18" customHeight="1" x14ac:dyDescent="0.25">
      <c r="A33" s="7" t="s">
        <v>68</v>
      </c>
      <c r="B33" s="9" t="s">
        <v>57</v>
      </c>
      <c r="C33" s="13" t="s">
        <v>69</v>
      </c>
      <c r="D33" s="9" t="s">
        <v>208</v>
      </c>
      <c r="E33" s="7" t="s">
        <v>51</v>
      </c>
      <c r="F33" s="7" t="s">
        <v>209</v>
      </c>
      <c r="G33" s="7" t="s">
        <v>5</v>
      </c>
      <c r="H33" s="7" t="s">
        <v>210</v>
      </c>
      <c r="I33" s="46">
        <v>46233</v>
      </c>
      <c r="J33" s="1" t="s">
        <v>266</v>
      </c>
      <c r="K33" s="1"/>
      <c r="L33" s="1"/>
      <c r="M33" s="1"/>
      <c r="N33" s="1" t="s">
        <v>267</v>
      </c>
      <c r="O33" s="1" t="s">
        <v>268</v>
      </c>
    </row>
    <row r="34" spans="1:15" x14ac:dyDescent="0.25">
      <c r="A34" s="6" t="s">
        <v>68</v>
      </c>
      <c r="B34" s="8" t="s">
        <v>57</v>
      </c>
      <c r="C34" s="6" t="s">
        <v>151</v>
      </c>
      <c r="D34" s="8" t="s">
        <v>208</v>
      </c>
      <c r="E34" s="6" t="s">
        <v>51</v>
      </c>
      <c r="F34" s="6" t="s">
        <v>209</v>
      </c>
      <c r="G34" s="6" t="s">
        <v>5</v>
      </c>
      <c r="H34" s="6" t="s">
        <v>210</v>
      </c>
      <c r="I34" s="45">
        <v>46233</v>
      </c>
      <c r="J34" s="6" t="s">
        <v>266</v>
      </c>
      <c r="K34" s="6"/>
      <c r="L34" s="6"/>
      <c r="M34" s="6"/>
      <c r="N34" s="6" t="s">
        <v>267</v>
      </c>
      <c r="O34" s="6" t="s">
        <v>268</v>
      </c>
    </row>
    <row r="35" spans="1:15" x14ac:dyDescent="0.25">
      <c r="A35" s="7" t="s">
        <v>68</v>
      </c>
      <c r="B35" s="9" t="s">
        <v>57</v>
      </c>
      <c r="C35" s="13" t="s">
        <v>112</v>
      </c>
      <c r="D35" s="9" t="s">
        <v>402</v>
      </c>
      <c r="E35" s="7" t="s">
        <v>48</v>
      </c>
      <c r="F35" s="7" t="s">
        <v>216</v>
      </c>
      <c r="G35" s="7" t="s">
        <v>5</v>
      </c>
      <c r="H35" s="7" t="s">
        <v>210</v>
      </c>
      <c r="I35" s="46">
        <v>46233</v>
      </c>
      <c r="J35" s="1" t="s">
        <v>266</v>
      </c>
      <c r="K35" s="1"/>
      <c r="L35" s="1"/>
      <c r="M35" s="1"/>
      <c r="N35" s="1" t="s">
        <v>267</v>
      </c>
      <c r="O35" s="1" t="s">
        <v>268</v>
      </c>
    </row>
    <row r="36" spans="1:15" x14ac:dyDescent="0.25">
      <c r="A36" s="6" t="s">
        <v>68</v>
      </c>
      <c r="B36" s="8" t="s">
        <v>57</v>
      </c>
      <c r="C36" s="6" t="s">
        <v>109</v>
      </c>
      <c r="D36" s="8" t="s">
        <v>215</v>
      </c>
      <c r="E36" s="6" t="s">
        <v>48</v>
      </c>
      <c r="F36" s="6" t="s">
        <v>216</v>
      </c>
      <c r="G36" s="6" t="s">
        <v>5</v>
      </c>
      <c r="H36" s="6" t="s">
        <v>218</v>
      </c>
      <c r="I36" s="45">
        <v>46233</v>
      </c>
      <c r="J36" s="6" t="s">
        <v>273</v>
      </c>
      <c r="K36" s="6"/>
      <c r="L36" s="6"/>
      <c r="M36" s="6" t="s">
        <v>267</v>
      </c>
      <c r="N36" s="6"/>
      <c r="O36" s="6" t="s">
        <v>268</v>
      </c>
    </row>
    <row r="37" spans="1:15" x14ac:dyDescent="0.25">
      <c r="A37" s="7" t="s">
        <v>68</v>
      </c>
      <c r="B37" s="9" t="s">
        <v>57</v>
      </c>
      <c r="C37" s="13" t="s">
        <v>148</v>
      </c>
      <c r="D37" s="9" t="s">
        <v>217</v>
      </c>
      <c r="E37" s="7" t="s">
        <v>48</v>
      </c>
      <c r="F37" s="7" t="s">
        <v>216</v>
      </c>
      <c r="G37" s="7" t="s">
        <v>6</v>
      </c>
      <c r="H37" s="7" t="s">
        <v>218</v>
      </c>
      <c r="I37" s="46">
        <v>46233</v>
      </c>
      <c r="J37" s="1" t="s">
        <v>273</v>
      </c>
      <c r="K37" s="1"/>
      <c r="L37" s="1"/>
      <c r="M37" s="1" t="s">
        <v>267</v>
      </c>
      <c r="N37" s="1"/>
      <c r="O37" s="1" t="s">
        <v>268</v>
      </c>
    </row>
    <row r="38" spans="1:15" x14ac:dyDescent="0.25">
      <c r="A38" s="6" t="s">
        <v>68</v>
      </c>
      <c r="B38" s="8" t="s">
        <v>710</v>
      </c>
      <c r="C38" s="6" t="s">
        <v>159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210</v>
      </c>
      <c r="I38" s="45">
        <v>46233</v>
      </c>
      <c r="J38" s="6" t="s">
        <v>266</v>
      </c>
      <c r="K38" s="6"/>
      <c r="L38" s="6"/>
      <c r="M38" s="6"/>
      <c r="N38" s="6" t="s">
        <v>267</v>
      </c>
      <c r="O38" s="6" t="s">
        <v>309</v>
      </c>
    </row>
    <row r="39" spans="1:15" x14ac:dyDescent="0.25">
      <c r="A39" s="7" t="s">
        <v>68</v>
      </c>
      <c r="B39" s="9" t="s">
        <v>711</v>
      </c>
      <c r="C39" s="13" t="s">
        <v>132</v>
      </c>
      <c r="D39" s="9" t="s">
        <v>240</v>
      </c>
      <c r="E39" s="7" t="s">
        <v>86</v>
      </c>
      <c r="F39" s="7" t="s">
        <v>241</v>
      </c>
      <c r="G39" s="7" t="s">
        <v>5</v>
      </c>
      <c r="H39" s="7" t="s">
        <v>218</v>
      </c>
      <c r="I39" s="46">
        <v>46233</v>
      </c>
      <c r="J39" s="1" t="s">
        <v>273</v>
      </c>
      <c r="K39" s="1"/>
      <c r="L39" s="1"/>
      <c r="M39" s="1"/>
      <c r="N39" s="1" t="s">
        <v>267</v>
      </c>
      <c r="O39" s="1" t="s">
        <v>309</v>
      </c>
    </row>
    <row r="40" spans="1:15" x14ac:dyDescent="0.25">
      <c r="A40" s="6" t="s">
        <v>68</v>
      </c>
      <c r="B40" s="8" t="s">
        <v>712</v>
      </c>
      <c r="C40" s="6" t="s">
        <v>156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45">
        <v>46233</v>
      </c>
      <c r="J40" s="6" t="s">
        <v>273</v>
      </c>
      <c r="K40" s="6"/>
      <c r="L40" s="6"/>
      <c r="M40" s="6"/>
      <c r="N40" s="6" t="s">
        <v>267</v>
      </c>
      <c r="O40" s="6" t="s">
        <v>309</v>
      </c>
    </row>
    <row r="41" spans="1:15" x14ac:dyDescent="0.25">
      <c r="A41" s="7" t="s">
        <v>68</v>
      </c>
      <c r="B41" s="9" t="s">
        <v>713</v>
      </c>
      <c r="C41" s="13" t="s">
        <v>153</v>
      </c>
      <c r="D41" s="9" t="s">
        <v>240</v>
      </c>
      <c r="E41" s="7" t="s">
        <v>86</v>
      </c>
      <c r="F41" s="7" t="s">
        <v>241</v>
      </c>
      <c r="G41" s="7" t="s">
        <v>5</v>
      </c>
      <c r="H41" s="7" t="s">
        <v>218</v>
      </c>
      <c r="I41" s="46">
        <v>46233</v>
      </c>
      <c r="J41" s="1" t="s">
        <v>273</v>
      </c>
      <c r="K41" s="1"/>
      <c r="L41" s="1"/>
      <c r="M41" s="1" t="s">
        <v>267</v>
      </c>
      <c r="N41" s="1"/>
      <c r="O41" s="1" t="s">
        <v>309</v>
      </c>
    </row>
    <row r="42" spans="1:15" x14ac:dyDescent="0.25">
      <c r="A42" s="6" t="s">
        <v>68</v>
      </c>
      <c r="B42" s="8" t="s">
        <v>714</v>
      </c>
      <c r="C42" s="6" t="s">
        <v>162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218</v>
      </c>
      <c r="I42" s="45">
        <v>46233</v>
      </c>
      <c r="J42" s="6" t="s">
        <v>273</v>
      </c>
      <c r="K42" s="6"/>
      <c r="L42" s="6"/>
      <c r="M42" s="6"/>
      <c r="N42" s="6" t="s">
        <v>267</v>
      </c>
      <c r="O42" s="6" t="s">
        <v>309</v>
      </c>
    </row>
    <row r="43" spans="1:15" x14ac:dyDescent="0.25">
      <c r="A43" s="7" t="s">
        <v>68</v>
      </c>
      <c r="B43" s="9" t="s">
        <v>715</v>
      </c>
      <c r="C43" s="13" t="s">
        <v>164</v>
      </c>
      <c r="D43" s="9" t="s">
        <v>240</v>
      </c>
      <c r="E43" s="7" t="s">
        <v>86</v>
      </c>
      <c r="F43" s="7" t="s">
        <v>241</v>
      </c>
      <c r="G43" s="7" t="s">
        <v>5</v>
      </c>
      <c r="H43" s="7" t="s">
        <v>210</v>
      </c>
      <c r="I43" s="46">
        <v>46233</v>
      </c>
      <c r="J43" s="1" t="s">
        <v>266</v>
      </c>
      <c r="K43" s="1"/>
      <c r="L43" s="1"/>
      <c r="M43" s="1"/>
      <c r="N43" s="1" t="s">
        <v>267</v>
      </c>
      <c r="O43" s="1" t="s">
        <v>309</v>
      </c>
    </row>
    <row r="44" spans="1:15" x14ac:dyDescent="0.25">
      <c r="A44" s="6" t="s">
        <v>68</v>
      </c>
      <c r="B44" s="8" t="s">
        <v>716</v>
      </c>
      <c r="C44" s="6" t="s">
        <v>167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45">
        <v>46233</v>
      </c>
      <c r="J44" s="6" t="s">
        <v>273</v>
      </c>
      <c r="K44" s="6"/>
      <c r="L44" s="6"/>
      <c r="M44" s="6"/>
      <c r="N44" s="6" t="s">
        <v>267</v>
      </c>
      <c r="O44" s="6" t="s">
        <v>309</v>
      </c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8"/>
      <c r="C46" s="6"/>
      <c r="D46" s="8"/>
      <c r="E46" s="6"/>
      <c r="F46" s="6"/>
      <c r="G46" s="6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8"/>
      <c r="C48" s="6"/>
      <c r="D48" s="8"/>
      <c r="E48" s="6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6"/>
      <c r="B50" s="8"/>
      <c r="C50" s="6"/>
      <c r="D50" s="8"/>
      <c r="E50" s="6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0EEA-D665-42CA-BF78-B02926286111}">
  <sheetPr codeName="Planilha20">
    <tabColor rgb="FFFFC000"/>
    <pageSetUpPr fitToPage="1"/>
  </sheetPr>
  <dimension ref="A1:O127"/>
  <sheetViews>
    <sheetView showGridLines="0" view="pageBreakPreview" zoomScale="70" zoomScaleNormal="70" zoomScaleSheetLayoutView="70" workbookViewId="0">
      <selection activeCell="D3" sqref="D3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66.42578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717</v>
      </c>
      <c r="C3" s="26"/>
      <c r="D3" s="35" t="s">
        <v>1077</v>
      </c>
      <c r="E3" s="27"/>
      <c r="F3" s="28"/>
      <c r="G3" s="28"/>
      <c r="H3" s="35" t="s">
        <v>196</v>
      </c>
      <c r="I3" s="27"/>
      <c r="J3" s="27"/>
      <c r="K3" s="35" t="s">
        <v>1078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 t="s">
        <v>49</v>
      </c>
      <c r="B7" s="9" t="s">
        <v>718</v>
      </c>
      <c r="C7" s="13" t="s">
        <v>81</v>
      </c>
      <c r="D7" s="9" t="s">
        <v>208</v>
      </c>
      <c r="E7" s="9" t="s">
        <v>51</v>
      </c>
      <c r="F7" s="7" t="s">
        <v>209</v>
      </c>
      <c r="G7" s="7" t="s">
        <v>5</v>
      </c>
      <c r="H7" s="7" t="s">
        <v>210</v>
      </c>
      <c r="I7" s="41"/>
      <c r="J7" s="1"/>
      <c r="K7" s="1"/>
      <c r="L7" s="1"/>
      <c r="M7" s="1"/>
      <c r="N7" s="1"/>
      <c r="O7" s="1"/>
    </row>
    <row r="8" spans="1:15" x14ac:dyDescent="0.25">
      <c r="A8" s="6" t="s">
        <v>49</v>
      </c>
      <c r="B8" s="8" t="s">
        <v>719</v>
      </c>
      <c r="C8" s="6" t="s">
        <v>61</v>
      </c>
      <c r="D8" s="8" t="s">
        <v>208</v>
      </c>
      <c r="E8" s="8" t="s">
        <v>51</v>
      </c>
      <c r="F8" s="6" t="s">
        <v>209</v>
      </c>
      <c r="G8" s="6" t="s">
        <v>5</v>
      </c>
      <c r="H8" s="6" t="s">
        <v>210</v>
      </c>
      <c r="I8" s="10"/>
      <c r="J8" s="6"/>
      <c r="K8" s="6"/>
      <c r="L8" s="6"/>
      <c r="M8" s="6"/>
      <c r="N8" s="6"/>
      <c r="O8" s="6"/>
    </row>
    <row r="9" spans="1:15" x14ac:dyDescent="0.25">
      <c r="A9" s="7" t="s">
        <v>49</v>
      </c>
      <c r="B9" s="9" t="s">
        <v>720</v>
      </c>
      <c r="C9" s="13" t="s">
        <v>64</v>
      </c>
      <c r="D9" s="9" t="s">
        <v>208</v>
      </c>
      <c r="E9" s="9" t="s">
        <v>51</v>
      </c>
      <c r="F9" s="7" t="s">
        <v>209</v>
      </c>
      <c r="G9" s="7" t="s">
        <v>5</v>
      </c>
      <c r="H9" s="7" t="s">
        <v>210</v>
      </c>
      <c r="I9" s="41"/>
      <c r="J9" s="1"/>
      <c r="K9" s="1"/>
      <c r="L9" s="1"/>
      <c r="M9" s="1"/>
      <c r="N9" s="1"/>
      <c r="O9" s="1"/>
    </row>
    <row r="10" spans="1:15" x14ac:dyDescent="0.25">
      <c r="A10" s="6" t="s">
        <v>49</v>
      </c>
      <c r="B10" s="8" t="s">
        <v>721</v>
      </c>
      <c r="C10" s="6" t="s">
        <v>77</v>
      </c>
      <c r="D10" s="8" t="s">
        <v>722</v>
      </c>
      <c r="E10" s="8" t="s">
        <v>48</v>
      </c>
      <c r="F10" s="6" t="s">
        <v>216</v>
      </c>
      <c r="G10" s="6" t="s">
        <v>6</v>
      </c>
      <c r="H10" s="6" t="s">
        <v>210</v>
      </c>
      <c r="I10" s="10"/>
      <c r="J10" s="6"/>
      <c r="K10" s="6"/>
      <c r="L10" s="6"/>
      <c r="M10" s="6"/>
      <c r="N10" s="6"/>
      <c r="O10" s="6"/>
    </row>
    <row r="11" spans="1:15" x14ac:dyDescent="0.25">
      <c r="A11" s="7" t="s">
        <v>49</v>
      </c>
      <c r="B11" s="9" t="s">
        <v>723</v>
      </c>
      <c r="C11" s="13" t="s">
        <v>50</v>
      </c>
      <c r="D11" s="9" t="s">
        <v>724</v>
      </c>
      <c r="E11" s="9" t="s">
        <v>51</v>
      </c>
      <c r="F11" s="7" t="s">
        <v>219</v>
      </c>
      <c r="G11" s="7" t="s">
        <v>5</v>
      </c>
      <c r="H11" s="7" t="s">
        <v>210</v>
      </c>
      <c r="I11" s="41"/>
      <c r="J11" s="1"/>
      <c r="K11" s="1"/>
      <c r="L11" s="1"/>
      <c r="M11" s="1"/>
      <c r="N11" s="1"/>
      <c r="O11" s="1"/>
    </row>
    <row r="12" spans="1:15" x14ac:dyDescent="0.25">
      <c r="A12" s="6" t="s">
        <v>49</v>
      </c>
      <c r="B12" s="8" t="s">
        <v>57</v>
      </c>
      <c r="C12" s="6" t="s">
        <v>53</v>
      </c>
      <c r="D12" s="8" t="s">
        <v>215</v>
      </c>
      <c r="E12" s="8" t="s">
        <v>54</v>
      </c>
      <c r="F12" s="6" t="s">
        <v>219</v>
      </c>
      <c r="G12" s="6" t="s">
        <v>6</v>
      </c>
      <c r="H12" s="6" t="s">
        <v>210</v>
      </c>
      <c r="I12" s="10"/>
      <c r="J12" s="6"/>
      <c r="K12" s="6"/>
      <c r="L12" s="6"/>
      <c r="M12" s="6"/>
      <c r="N12" s="6"/>
      <c r="O12" s="6"/>
    </row>
    <row r="13" spans="1:15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9" t="s">
        <v>54</v>
      </c>
      <c r="F13" s="7" t="s">
        <v>219</v>
      </c>
      <c r="G13" s="7" t="s">
        <v>6</v>
      </c>
      <c r="H13" s="7" t="s">
        <v>218</v>
      </c>
      <c r="I13" s="41"/>
      <c r="J13" s="1"/>
      <c r="K13" s="1"/>
      <c r="L13" s="1"/>
      <c r="M13" s="1"/>
      <c r="N13" s="1"/>
      <c r="O13" s="1"/>
    </row>
    <row r="14" spans="1:15" x14ac:dyDescent="0.25">
      <c r="A14" s="6" t="s">
        <v>49</v>
      </c>
      <c r="B14" s="8" t="s">
        <v>57</v>
      </c>
      <c r="C14" s="6" t="s">
        <v>56</v>
      </c>
      <c r="D14" s="8" t="s">
        <v>215</v>
      </c>
      <c r="E14" s="8" t="s">
        <v>54</v>
      </c>
      <c r="F14" s="6" t="s">
        <v>219</v>
      </c>
      <c r="G14" s="6" t="s">
        <v>6</v>
      </c>
      <c r="H14" s="6" t="s">
        <v>218</v>
      </c>
      <c r="I14" s="10"/>
      <c r="J14" s="6"/>
      <c r="K14" s="6"/>
      <c r="L14" s="6"/>
      <c r="M14" s="6"/>
      <c r="N14" s="6"/>
      <c r="O14" s="6"/>
    </row>
    <row r="15" spans="1:15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9" t="s">
        <v>48</v>
      </c>
      <c r="F15" s="7" t="s">
        <v>216</v>
      </c>
      <c r="G15" s="7" t="s">
        <v>5</v>
      </c>
      <c r="H15" s="7" t="s">
        <v>218</v>
      </c>
      <c r="I15" s="41"/>
      <c r="J15" s="1"/>
      <c r="K15" s="1"/>
      <c r="L15" s="1"/>
      <c r="M15" s="1"/>
      <c r="N15" s="1"/>
      <c r="O15" s="1"/>
    </row>
    <row r="16" spans="1:15" x14ac:dyDescent="0.25">
      <c r="A16" s="6" t="s">
        <v>49</v>
      </c>
      <c r="B16" s="8" t="s">
        <v>725</v>
      </c>
      <c r="C16" s="6" t="s">
        <v>129</v>
      </c>
      <c r="D16" s="8" t="s">
        <v>208</v>
      </c>
      <c r="E16" s="8" t="s">
        <v>51</v>
      </c>
      <c r="F16" s="6" t="s">
        <v>209</v>
      </c>
      <c r="G16" s="6" t="s">
        <v>5</v>
      </c>
      <c r="H16" s="6" t="s">
        <v>210</v>
      </c>
      <c r="I16" s="10"/>
      <c r="J16" s="6"/>
      <c r="K16" s="6"/>
      <c r="L16" s="6"/>
      <c r="M16" s="6"/>
      <c r="N16" s="6"/>
      <c r="O16" s="6"/>
    </row>
    <row r="17" spans="1:15" x14ac:dyDescent="0.25">
      <c r="A17" s="7" t="s">
        <v>49</v>
      </c>
      <c r="B17" s="9" t="s">
        <v>726</v>
      </c>
      <c r="C17" s="13" t="s">
        <v>72</v>
      </c>
      <c r="D17" s="9" t="s">
        <v>208</v>
      </c>
      <c r="E17" s="9" t="s">
        <v>51</v>
      </c>
      <c r="F17" s="7" t="s">
        <v>209</v>
      </c>
      <c r="G17" s="7" t="s">
        <v>5</v>
      </c>
      <c r="H17" s="7" t="s">
        <v>210</v>
      </c>
      <c r="I17" s="41"/>
      <c r="J17" s="1"/>
      <c r="K17" s="1"/>
      <c r="L17" s="1"/>
      <c r="M17" s="1"/>
      <c r="N17" s="1"/>
      <c r="O17" s="1"/>
    </row>
    <row r="18" spans="1:15" x14ac:dyDescent="0.25">
      <c r="A18" s="6" t="s">
        <v>68</v>
      </c>
      <c r="B18" s="8" t="s">
        <v>727</v>
      </c>
      <c r="C18" s="6" t="s">
        <v>100</v>
      </c>
      <c r="D18" s="8" t="s">
        <v>240</v>
      </c>
      <c r="E18" s="8" t="s">
        <v>86</v>
      </c>
      <c r="F18" s="6" t="s">
        <v>241</v>
      </c>
      <c r="G18" s="6" t="s">
        <v>5</v>
      </c>
      <c r="H18" s="6" t="s">
        <v>218</v>
      </c>
      <c r="I18" s="10"/>
      <c r="J18" s="6"/>
      <c r="K18" s="6"/>
      <c r="L18" s="6"/>
      <c r="M18" s="6"/>
      <c r="N18" s="6"/>
      <c r="O18" s="6"/>
    </row>
    <row r="19" spans="1:15" x14ac:dyDescent="0.25">
      <c r="A19" s="7" t="s">
        <v>68</v>
      </c>
      <c r="B19" s="9" t="s">
        <v>57</v>
      </c>
      <c r="C19" s="13" t="s">
        <v>69</v>
      </c>
      <c r="D19" s="9" t="s">
        <v>208</v>
      </c>
      <c r="E19" s="9" t="s">
        <v>51</v>
      </c>
      <c r="F19" s="7" t="s">
        <v>209</v>
      </c>
      <c r="G19" s="7" t="s">
        <v>5</v>
      </c>
      <c r="H19" s="7" t="s">
        <v>210</v>
      </c>
      <c r="I19" s="41"/>
      <c r="J19" s="1"/>
      <c r="K19" s="1"/>
      <c r="L19" s="1"/>
      <c r="M19" s="1"/>
      <c r="N19" s="1"/>
      <c r="O19" s="1"/>
    </row>
    <row r="20" spans="1:15" x14ac:dyDescent="0.25">
      <c r="A20" s="6" t="s">
        <v>68</v>
      </c>
      <c r="B20" s="8" t="s">
        <v>57</v>
      </c>
      <c r="C20" s="6" t="s">
        <v>151</v>
      </c>
      <c r="D20" s="8" t="s">
        <v>208</v>
      </c>
      <c r="E20" s="8" t="s">
        <v>51</v>
      </c>
      <c r="F20" s="6" t="s">
        <v>209</v>
      </c>
      <c r="G20" s="6" t="s">
        <v>5</v>
      </c>
      <c r="H20" s="6" t="s">
        <v>210</v>
      </c>
      <c r="I20" s="10"/>
      <c r="J20" s="6"/>
      <c r="K20" s="6"/>
      <c r="L20" s="6"/>
      <c r="M20" s="6"/>
      <c r="N20" s="6"/>
      <c r="O20" s="6"/>
    </row>
    <row r="21" spans="1:15" x14ac:dyDescent="0.25">
      <c r="A21" s="7" t="s">
        <v>68</v>
      </c>
      <c r="B21" s="9" t="s">
        <v>57</v>
      </c>
      <c r="C21" s="13" t="s">
        <v>112</v>
      </c>
      <c r="D21" s="9" t="s">
        <v>217</v>
      </c>
      <c r="E21" s="9" t="s">
        <v>48</v>
      </c>
      <c r="F21" s="7" t="s">
        <v>216</v>
      </c>
      <c r="G21" s="7" t="s">
        <v>5</v>
      </c>
      <c r="H21" s="7" t="s">
        <v>210</v>
      </c>
      <c r="I21" s="41"/>
      <c r="J21" s="1"/>
      <c r="K21" s="1"/>
      <c r="L21" s="1"/>
      <c r="M21" s="1"/>
      <c r="N21" s="1"/>
      <c r="O21" s="1"/>
    </row>
    <row r="22" spans="1:15" x14ac:dyDescent="0.25">
      <c r="A22" s="6" t="s">
        <v>68</v>
      </c>
      <c r="B22" s="8" t="s">
        <v>57</v>
      </c>
      <c r="C22" s="6" t="s">
        <v>109</v>
      </c>
      <c r="D22" s="8" t="s">
        <v>402</v>
      </c>
      <c r="E22" s="8" t="s">
        <v>48</v>
      </c>
      <c r="F22" s="6" t="s">
        <v>216</v>
      </c>
      <c r="G22" s="6" t="s">
        <v>5</v>
      </c>
      <c r="H22" s="6" t="s">
        <v>218</v>
      </c>
      <c r="I22" s="10"/>
      <c r="J22" s="6"/>
      <c r="K22" s="6"/>
      <c r="L22" s="6"/>
      <c r="M22" s="6"/>
      <c r="N22" s="6"/>
      <c r="O22" s="6"/>
    </row>
    <row r="23" spans="1:15" x14ac:dyDescent="0.25">
      <c r="A23" s="7" t="s">
        <v>68</v>
      </c>
      <c r="B23" s="9" t="s">
        <v>57</v>
      </c>
      <c r="C23" s="13" t="s">
        <v>148</v>
      </c>
      <c r="D23" s="9" t="s">
        <v>217</v>
      </c>
      <c r="E23" s="9" t="s">
        <v>48</v>
      </c>
      <c r="F23" s="7" t="s">
        <v>216</v>
      </c>
      <c r="G23" s="7" t="s">
        <v>6</v>
      </c>
      <c r="H23" s="7" t="s">
        <v>218</v>
      </c>
      <c r="I23" s="41"/>
      <c r="J23" s="1"/>
      <c r="K23" s="1"/>
      <c r="L23" s="1"/>
      <c r="M23" s="1"/>
      <c r="N23" s="1"/>
      <c r="O23" s="1"/>
    </row>
    <row r="24" spans="1:15" x14ac:dyDescent="0.25">
      <c r="A24" s="6" t="s">
        <v>68</v>
      </c>
      <c r="B24" s="8" t="s">
        <v>728</v>
      </c>
      <c r="C24" s="6" t="s">
        <v>132</v>
      </c>
      <c r="D24" s="8" t="s">
        <v>240</v>
      </c>
      <c r="E24" s="8" t="s">
        <v>86</v>
      </c>
      <c r="F24" s="6" t="s">
        <v>241</v>
      </c>
      <c r="G24" s="6" t="s">
        <v>5</v>
      </c>
      <c r="H24" s="6" t="s">
        <v>218</v>
      </c>
      <c r="I24" s="10"/>
      <c r="J24" s="6"/>
      <c r="K24" s="6"/>
      <c r="L24" s="6"/>
      <c r="M24" s="6"/>
      <c r="N24" s="6"/>
      <c r="O24" s="6"/>
    </row>
    <row r="25" spans="1:15" x14ac:dyDescent="0.25">
      <c r="A25" s="7" t="s">
        <v>68</v>
      </c>
      <c r="B25" s="9" t="s">
        <v>729</v>
      </c>
      <c r="C25" s="13" t="s">
        <v>167</v>
      </c>
      <c r="D25" s="9" t="s">
        <v>240</v>
      </c>
      <c r="E25" s="9" t="s">
        <v>86</v>
      </c>
      <c r="F25" s="7" t="s">
        <v>241</v>
      </c>
      <c r="G25" s="7" t="s">
        <v>5</v>
      </c>
      <c r="H25" s="7" t="s">
        <v>218</v>
      </c>
      <c r="I25" s="41"/>
      <c r="J25" s="1"/>
      <c r="K25" s="1"/>
      <c r="L25" s="1"/>
      <c r="M25" s="1"/>
      <c r="N25" s="1"/>
      <c r="O25" s="1"/>
    </row>
    <row r="26" spans="1:15" x14ac:dyDescent="0.25">
      <c r="A26" s="6" t="s">
        <v>68</v>
      </c>
      <c r="B26" s="8" t="s">
        <v>730</v>
      </c>
      <c r="C26" s="6" t="s">
        <v>162</v>
      </c>
      <c r="D26" s="8" t="s">
        <v>240</v>
      </c>
      <c r="E26" s="8" t="s">
        <v>86</v>
      </c>
      <c r="F26" s="6" t="s">
        <v>241</v>
      </c>
      <c r="G26" s="6" t="s">
        <v>5</v>
      </c>
      <c r="H26" s="6" t="s">
        <v>218</v>
      </c>
      <c r="I26" s="10"/>
      <c r="J26" s="6"/>
      <c r="K26" s="6"/>
      <c r="L26" s="6"/>
      <c r="M26" s="6"/>
      <c r="N26" s="6"/>
      <c r="O26" s="6"/>
    </row>
    <row r="27" spans="1:15" x14ac:dyDescent="0.25">
      <c r="A27" s="7" t="s">
        <v>68</v>
      </c>
      <c r="B27" s="9" t="s">
        <v>731</v>
      </c>
      <c r="C27" s="13" t="s">
        <v>164</v>
      </c>
      <c r="D27" s="9" t="s">
        <v>240</v>
      </c>
      <c r="E27" s="9" t="s">
        <v>86</v>
      </c>
      <c r="F27" s="7" t="s">
        <v>241</v>
      </c>
      <c r="G27" s="7" t="s">
        <v>5</v>
      </c>
      <c r="H27" s="7" t="s">
        <v>210</v>
      </c>
      <c r="I27" s="41"/>
      <c r="J27" s="1"/>
      <c r="K27" s="1"/>
      <c r="L27" s="1"/>
      <c r="M27" s="1"/>
      <c r="N27" s="1"/>
      <c r="O27" s="1"/>
    </row>
    <row r="28" spans="1:15" x14ac:dyDescent="0.25">
      <c r="A28" s="6" t="s">
        <v>732</v>
      </c>
      <c r="B28" s="8" t="s">
        <v>733</v>
      </c>
      <c r="C28" s="6" t="s">
        <v>125</v>
      </c>
      <c r="D28" s="8" t="s">
        <v>240</v>
      </c>
      <c r="E28" s="8" t="s">
        <v>86</v>
      </c>
      <c r="F28" s="6" t="s">
        <v>241</v>
      </c>
      <c r="G28" s="6" t="s">
        <v>5</v>
      </c>
      <c r="H28" s="6" t="s">
        <v>218</v>
      </c>
      <c r="I28" s="10"/>
      <c r="J28" s="6"/>
      <c r="K28" s="6"/>
      <c r="L28" s="6"/>
      <c r="M28" s="6"/>
      <c r="N28" s="6"/>
      <c r="O28" s="6"/>
    </row>
    <row r="29" spans="1:15" x14ac:dyDescent="0.25">
      <c r="A29" s="7" t="s">
        <v>732</v>
      </c>
      <c r="B29" s="9" t="s">
        <v>734</v>
      </c>
      <c r="C29" s="13" t="s">
        <v>144</v>
      </c>
      <c r="D29" s="9" t="s">
        <v>240</v>
      </c>
      <c r="E29" s="9" t="s">
        <v>86</v>
      </c>
      <c r="F29" s="7" t="s">
        <v>241</v>
      </c>
      <c r="G29" s="7" t="s">
        <v>5</v>
      </c>
      <c r="H29" s="7" t="s">
        <v>210</v>
      </c>
      <c r="I29" s="41"/>
      <c r="J29" s="1"/>
      <c r="K29" s="1"/>
      <c r="L29" s="1"/>
      <c r="M29" s="1"/>
      <c r="N29" s="1"/>
      <c r="O29" s="1"/>
    </row>
    <row r="30" spans="1:15" x14ac:dyDescent="0.25">
      <c r="A30" s="6" t="s">
        <v>732</v>
      </c>
      <c r="B30" s="8" t="s">
        <v>735</v>
      </c>
      <c r="C30" s="6" t="s">
        <v>106</v>
      </c>
      <c r="D30" s="8" t="s">
        <v>240</v>
      </c>
      <c r="E30" s="8" t="s">
        <v>86</v>
      </c>
      <c r="F30" s="6" t="s">
        <v>241</v>
      </c>
      <c r="G30" s="6" t="s">
        <v>5</v>
      </c>
      <c r="H30" s="6" t="s">
        <v>218</v>
      </c>
      <c r="I30" s="10"/>
      <c r="J30" s="6"/>
      <c r="K30" s="6"/>
      <c r="L30" s="6"/>
      <c r="M30" s="6"/>
      <c r="N30" s="6"/>
      <c r="O30" s="6"/>
    </row>
    <row r="31" spans="1:15" x14ac:dyDescent="0.25">
      <c r="A31" s="7" t="s">
        <v>732</v>
      </c>
      <c r="B31" s="9" t="s">
        <v>736</v>
      </c>
      <c r="C31" s="13" t="s">
        <v>115</v>
      </c>
      <c r="D31" s="9" t="s">
        <v>208</v>
      </c>
      <c r="E31" s="9" t="s">
        <v>51</v>
      </c>
      <c r="F31" s="7" t="s">
        <v>209</v>
      </c>
      <c r="G31" s="7" t="s">
        <v>5</v>
      </c>
      <c r="H31" s="7" t="s">
        <v>210</v>
      </c>
      <c r="I31" s="41"/>
      <c r="J31" s="1"/>
      <c r="K31" s="1"/>
      <c r="L31" s="1"/>
      <c r="M31" s="1"/>
      <c r="N31" s="1"/>
      <c r="O31" s="1"/>
    </row>
    <row r="32" spans="1:15" x14ac:dyDescent="0.25">
      <c r="A32" s="6" t="s">
        <v>732</v>
      </c>
      <c r="B32" s="8" t="s">
        <v>737</v>
      </c>
      <c r="C32" s="6" t="s">
        <v>135</v>
      </c>
      <c r="D32" s="8" t="s">
        <v>208</v>
      </c>
      <c r="E32" s="8" t="s">
        <v>51</v>
      </c>
      <c r="F32" s="6" t="s">
        <v>209</v>
      </c>
      <c r="G32" s="6" t="s">
        <v>5</v>
      </c>
      <c r="H32" s="6" t="s">
        <v>210</v>
      </c>
      <c r="I32" s="10"/>
      <c r="J32" s="6"/>
      <c r="K32" s="6"/>
      <c r="L32" s="6"/>
      <c r="M32" s="6"/>
      <c r="N32" s="6"/>
      <c r="O32" s="6"/>
    </row>
    <row r="33" spans="1:15" ht="18" customHeight="1" x14ac:dyDescent="0.25">
      <c r="A33" s="7" t="s">
        <v>732</v>
      </c>
      <c r="B33" s="9" t="s">
        <v>738</v>
      </c>
      <c r="C33" s="13" t="s">
        <v>103</v>
      </c>
      <c r="D33" s="9" t="s">
        <v>208</v>
      </c>
      <c r="E33" s="9" t="s">
        <v>51</v>
      </c>
      <c r="F33" s="7" t="s">
        <v>209</v>
      </c>
      <c r="G33" s="7" t="s">
        <v>5</v>
      </c>
      <c r="H33" s="7" t="s">
        <v>218</v>
      </c>
      <c r="I33" s="41"/>
      <c r="J33" s="1"/>
      <c r="K33" s="1"/>
      <c r="L33" s="1"/>
      <c r="M33" s="1"/>
      <c r="N33" s="1"/>
      <c r="O33" s="1"/>
    </row>
    <row r="34" spans="1:15" x14ac:dyDescent="0.25">
      <c r="A34" s="6" t="s">
        <v>732</v>
      </c>
      <c r="B34" s="8" t="s">
        <v>739</v>
      </c>
      <c r="C34" s="6" t="s">
        <v>119</v>
      </c>
      <c r="D34" s="8" t="s">
        <v>240</v>
      </c>
      <c r="E34" s="8" t="s">
        <v>86</v>
      </c>
      <c r="F34" s="6" t="s">
        <v>241</v>
      </c>
      <c r="G34" s="6" t="s">
        <v>5</v>
      </c>
      <c r="H34" s="6" t="s">
        <v>218</v>
      </c>
      <c r="I34" s="10"/>
      <c r="J34" s="6"/>
      <c r="K34" s="6"/>
      <c r="L34" s="6"/>
      <c r="M34" s="6"/>
      <c r="N34" s="6"/>
      <c r="O34" s="6"/>
    </row>
    <row r="35" spans="1:15" x14ac:dyDescent="0.25">
      <c r="A35" s="7" t="s">
        <v>732</v>
      </c>
      <c r="B35" s="9" t="s">
        <v>740</v>
      </c>
      <c r="C35" s="13" t="s">
        <v>137</v>
      </c>
      <c r="D35" s="9" t="s">
        <v>240</v>
      </c>
      <c r="E35" s="9" t="s">
        <v>86</v>
      </c>
      <c r="F35" s="7" t="s">
        <v>241</v>
      </c>
      <c r="G35" s="7" t="s">
        <v>5</v>
      </c>
      <c r="H35" s="7" t="s">
        <v>210</v>
      </c>
      <c r="I35" s="41"/>
      <c r="J35" s="1"/>
      <c r="K35" s="1"/>
      <c r="L35" s="1"/>
      <c r="M35" s="1"/>
      <c r="N35" s="1"/>
      <c r="O35" s="1"/>
    </row>
    <row r="36" spans="1:15" x14ac:dyDescent="0.25">
      <c r="A36" s="6" t="s">
        <v>732</v>
      </c>
      <c r="B36" s="8" t="s">
        <v>741</v>
      </c>
      <c r="C36" s="6" t="s">
        <v>85</v>
      </c>
      <c r="D36" s="8" t="s">
        <v>240</v>
      </c>
      <c r="E36" s="8" t="s">
        <v>86</v>
      </c>
      <c r="F36" s="6" t="s">
        <v>241</v>
      </c>
      <c r="G36" s="6" t="s">
        <v>5</v>
      </c>
      <c r="H36" s="6" t="s">
        <v>218</v>
      </c>
      <c r="I36" s="10"/>
      <c r="J36" s="6"/>
      <c r="K36" s="6"/>
      <c r="L36" s="6"/>
      <c r="M36" s="6"/>
      <c r="N36" s="6"/>
      <c r="O36" s="6"/>
    </row>
    <row r="37" spans="1:15" x14ac:dyDescent="0.25">
      <c r="A37" s="7" t="s">
        <v>732</v>
      </c>
      <c r="B37" s="9" t="s">
        <v>742</v>
      </c>
      <c r="C37" s="13" t="s">
        <v>122</v>
      </c>
      <c r="D37" s="9" t="s">
        <v>240</v>
      </c>
      <c r="E37" s="9" t="s">
        <v>86</v>
      </c>
      <c r="F37" s="7" t="s">
        <v>241</v>
      </c>
      <c r="G37" s="7" t="s">
        <v>5</v>
      </c>
      <c r="H37" s="7" t="s">
        <v>218</v>
      </c>
      <c r="I37" s="41"/>
      <c r="J37" s="1"/>
      <c r="K37" s="1"/>
      <c r="L37" s="1"/>
      <c r="M37" s="1"/>
      <c r="N37" s="1"/>
      <c r="O37" s="1"/>
    </row>
    <row r="38" spans="1:15" x14ac:dyDescent="0.25">
      <c r="A38" s="6" t="s">
        <v>732</v>
      </c>
      <c r="B38" s="8" t="s">
        <v>743</v>
      </c>
      <c r="C38" s="6" t="s">
        <v>140</v>
      </c>
      <c r="D38" s="8" t="s">
        <v>240</v>
      </c>
      <c r="E38" s="8" t="s">
        <v>86</v>
      </c>
      <c r="F38" s="6" t="s">
        <v>241</v>
      </c>
      <c r="G38" s="6" t="s">
        <v>5</v>
      </c>
      <c r="H38" s="6" t="s">
        <v>210</v>
      </c>
      <c r="I38" s="10"/>
      <c r="J38" s="6"/>
      <c r="K38" s="6"/>
      <c r="L38" s="6"/>
      <c r="M38" s="6"/>
      <c r="N38" s="6"/>
      <c r="O38" s="6"/>
    </row>
    <row r="39" spans="1:15" x14ac:dyDescent="0.25">
      <c r="A39" s="7" t="s">
        <v>732</v>
      </c>
      <c r="B39" s="9" t="s">
        <v>744</v>
      </c>
      <c r="C39" s="13" t="s">
        <v>90</v>
      </c>
      <c r="D39" s="9" t="s">
        <v>240</v>
      </c>
      <c r="E39" s="9" t="s">
        <v>86</v>
      </c>
      <c r="F39" s="7" t="s">
        <v>241</v>
      </c>
      <c r="G39" s="7" t="s">
        <v>5</v>
      </c>
      <c r="H39" s="7" t="s">
        <v>218</v>
      </c>
      <c r="I39" s="41"/>
      <c r="J39" s="1"/>
      <c r="K39" s="1"/>
      <c r="L39" s="1"/>
      <c r="M39" s="1"/>
      <c r="N39" s="1"/>
      <c r="O39" s="1"/>
    </row>
    <row r="40" spans="1:15" x14ac:dyDescent="0.25">
      <c r="A40" s="6" t="s">
        <v>732</v>
      </c>
      <c r="B40" s="8" t="s">
        <v>745</v>
      </c>
      <c r="C40" s="6" t="s">
        <v>93</v>
      </c>
      <c r="D40" s="8" t="s">
        <v>240</v>
      </c>
      <c r="E40" s="8" t="s">
        <v>86</v>
      </c>
      <c r="F40" s="6" t="s">
        <v>241</v>
      </c>
      <c r="G40" s="6" t="s">
        <v>5</v>
      </c>
      <c r="H40" s="6" t="s">
        <v>218</v>
      </c>
      <c r="I40" s="10"/>
      <c r="J40" s="6"/>
      <c r="K40" s="6"/>
      <c r="L40" s="6"/>
      <c r="M40" s="6"/>
      <c r="N40" s="6"/>
      <c r="O40" s="6"/>
    </row>
    <row r="41" spans="1:15" x14ac:dyDescent="0.25">
      <c r="A41" s="7" t="s">
        <v>732</v>
      </c>
      <c r="B41" s="9" t="s">
        <v>746</v>
      </c>
      <c r="C41" s="13" t="s">
        <v>97</v>
      </c>
      <c r="D41" s="9" t="s">
        <v>240</v>
      </c>
      <c r="E41" s="9" t="s">
        <v>86</v>
      </c>
      <c r="F41" s="7" t="s">
        <v>241</v>
      </c>
      <c r="G41" s="7" t="s">
        <v>5</v>
      </c>
      <c r="H41" s="7" t="s">
        <v>210</v>
      </c>
      <c r="I41" s="41"/>
      <c r="J41" s="1"/>
      <c r="K41" s="1"/>
      <c r="L41" s="1"/>
      <c r="M41" s="1"/>
      <c r="N41" s="1"/>
      <c r="O41" s="1"/>
    </row>
    <row r="42" spans="1:15" x14ac:dyDescent="0.25">
      <c r="A42" s="6" t="s">
        <v>732</v>
      </c>
      <c r="B42" s="8" t="s">
        <v>747</v>
      </c>
      <c r="C42" s="6" t="s">
        <v>159</v>
      </c>
      <c r="D42" s="8" t="s">
        <v>240</v>
      </c>
      <c r="E42" s="8" t="s">
        <v>86</v>
      </c>
      <c r="F42" s="6" t="s">
        <v>241</v>
      </c>
      <c r="G42" s="6" t="s">
        <v>5</v>
      </c>
      <c r="H42" s="6" t="s">
        <v>210</v>
      </c>
      <c r="I42" s="10"/>
      <c r="J42" s="6"/>
      <c r="K42" s="6"/>
      <c r="L42" s="6"/>
      <c r="M42" s="6"/>
      <c r="N42" s="6"/>
      <c r="O42" s="6"/>
    </row>
    <row r="43" spans="1:15" x14ac:dyDescent="0.25">
      <c r="A43" s="7" t="s">
        <v>732</v>
      </c>
      <c r="B43" s="9" t="s">
        <v>748</v>
      </c>
      <c r="C43" s="13" t="s">
        <v>156</v>
      </c>
      <c r="D43" s="9" t="s">
        <v>240</v>
      </c>
      <c r="E43" s="9" t="s">
        <v>86</v>
      </c>
      <c r="F43" s="7" t="s">
        <v>241</v>
      </c>
      <c r="G43" s="7" t="s">
        <v>5</v>
      </c>
      <c r="H43" s="7" t="s">
        <v>218</v>
      </c>
      <c r="I43" s="41"/>
      <c r="J43" s="1"/>
      <c r="K43" s="1"/>
      <c r="L43" s="1"/>
      <c r="M43" s="1"/>
      <c r="N43" s="1"/>
      <c r="O43" s="1"/>
    </row>
    <row r="44" spans="1:15" x14ac:dyDescent="0.25">
      <c r="A44" s="6" t="s">
        <v>732</v>
      </c>
      <c r="B44" s="8" t="s">
        <v>749</v>
      </c>
      <c r="C44" s="6" t="s">
        <v>153</v>
      </c>
      <c r="D44" s="8" t="s">
        <v>240</v>
      </c>
      <c r="E44" s="8" t="s">
        <v>86</v>
      </c>
      <c r="F44" s="6" t="s">
        <v>241</v>
      </c>
      <c r="G44" s="6" t="s">
        <v>5</v>
      </c>
      <c r="H44" s="6" t="s">
        <v>218</v>
      </c>
      <c r="I44" s="10"/>
      <c r="J44" s="6"/>
      <c r="K44" s="6"/>
      <c r="L44" s="6"/>
      <c r="M44" s="6"/>
      <c r="N44" s="6"/>
      <c r="O44" s="6"/>
    </row>
    <row r="45" spans="1:15" x14ac:dyDescent="0.25">
      <c r="A45" s="7"/>
      <c r="B45" s="9"/>
      <c r="C45" s="13"/>
      <c r="D45" s="9"/>
      <c r="E45" s="9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8"/>
      <c r="C46" s="6"/>
      <c r="D46" s="8"/>
      <c r="E46" s="8"/>
      <c r="F46" s="6"/>
      <c r="G46" s="6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7"/>
      <c r="B47" s="9"/>
      <c r="C47" s="13"/>
      <c r="D47" s="9"/>
      <c r="E47" s="9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8"/>
      <c r="C48" s="6"/>
      <c r="D48" s="8"/>
      <c r="E48" s="8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7"/>
      <c r="B49" s="9"/>
      <c r="C49" s="13"/>
      <c r="D49" s="9"/>
      <c r="E49" s="9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6"/>
      <c r="B50" s="8"/>
      <c r="C50" s="6"/>
      <c r="D50" s="8"/>
      <c r="E50" s="8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:A44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60" fitToHeight="0" orientation="landscape" horizontalDpi="4294967293" verticalDpi="4294967293" r:id="rId1"/>
  <rowBreaks count="1" manualBreakCount="1">
    <brk id="55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F4EC-CBC1-43CC-8B95-08B4A382F00D}">
  <sheetPr codeName="Planilha21">
    <tabColor rgb="FFFFC000"/>
    <pageSetUpPr fitToPage="1"/>
  </sheetPr>
  <dimension ref="A1:W127"/>
  <sheetViews>
    <sheetView showGridLines="0" view="pageBreakPreview" zoomScale="70" zoomScaleNormal="70" zoomScaleSheetLayoutView="70" workbookViewId="0">
      <selection activeCell="G22" sqref="G22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66.42578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22" width="9.140625" style="3"/>
    <col min="23" max="23" width="12" style="3" customWidth="1"/>
    <col min="24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750</v>
      </c>
      <c r="C3" s="26"/>
      <c r="D3" s="35" t="s">
        <v>1060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76">
        <v>45581</v>
      </c>
      <c r="N3" s="176"/>
      <c r="O3" s="208"/>
      <c r="Q3" s="27"/>
      <c r="R3" s="27"/>
      <c r="S3" s="35" t="s">
        <v>197</v>
      </c>
      <c r="T3" s="27"/>
      <c r="U3" s="176">
        <v>45581</v>
      </c>
      <c r="V3" s="176"/>
      <c r="W3" s="208"/>
    </row>
    <row r="4" spans="1:23" s="2" customFormat="1" x14ac:dyDescent="0.25">
      <c r="C4" s="24"/>
      <c r="I4" s="20"/>
      <c r="Q4" s="20"/>
    </row>
    <row r="5" spans="1:23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/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7" t="s">
        <v>49</v>
      </c>
      <c r="B7" s="9" t="s">
        <v>751</v>
      </c>
      <c r="C7" s="13" t="s">
        <v>81</v>
      </c>
      <c r="D7" s="9" t="s">
        <v>225</v>
      </c>
      <c r="E7" s="7" t="s">
        <v>51</v>
      </c>
      <c r="F7" s="7" t="s">
        <v>209</v>
      </c>
      <c r="G7" s="7" t="s">
        <v>5</v>
      </c>
      <c r="H7" s="7" t="s">
        <v>210</v>
      </c>
      <c r="I7" s="41"/>
      <c r="J7" s="1"/>
      <c r="K7" s="1"/>
      <c r="L7" s="1"/>
      <c r="M7" s="1"/>
      <c r="N7" s="1"/>
      <c r="O7" s="1"/>
      <c r="Q7" s="46">
        <v>46253</v>
      </c>
      <c r="R7" s="1" t="s">
        <v>266</v>
      </c>
      <c r="S7" s="155" t="b">
        <v>0</v>
      </c>
      <c r="T7" s="155" t="b">
        <v>0</v>
      </c>
      <c r="U7" s="155" t="b">
        <v>1</v>
      </c>
      <c r="V7" s="155" t="b">
        <v>0</v>
      </c>
      <c r="W7" s="1" t="s">
        <v>1065</v>
      </c>
    </row>
    <row r="8" spans="1:23" x14ac:dyDescent="0.25">
      <c r="A8" s="6" t="s">
        <v>49</v>
      </c>
      <c r="B8" s="8" t="s">
        <v>752</v>
      </c>
      <c r="C8" s="6" t="s">
        <v>61</v>
      </c>
      <c r="D8" s="8" t="s">
        <v>225</v>
      </c>
      <c r="E8" s="6" t="s">
        <v>51</v>
      </c>
      <c r="F8" s="6" t="s">
        <v>209</v>
      </c>
      <c r="G8" s="6" t="s">
        <v>5</v>
      </c>
      <c r="H8" s="6" t="s">
        <v>210</v>
      </c>
      <c r="I8" s="10"/>
      <c r="J8" s="6"/>
      <c r="K8" s="6"/>
      <c r="L8" s="6"/>
      <c r="M8" s="6"/>
      <c r="N8" s="6"/>
      <c r="O8" s="6"/>
      <c r="Q8" s="46">
        <v>46253</v>
      </c>
      <c r="R8" s="1" t="s">
        <v>266</v>
      </c>
      <c r="S8" s="154" t="b">
        <v>0</v>
      </c>
      <c r="T8" s="154" t="b">
        <v>0</v>
      </c>
      <c r="U8" s="154" t="b">
        <v>1</v>
      </c>
      <c r="V8" s="154" t="b">
        <v>0</v>
      </c>
      <c r="W8" s="1" t="s">
        <v>1065</v>
      </c>
    </row>
    <row r="9" spans="1:23" x14ac:dyDescent="0.25">
      <c r="A9" s="7" t="s">
        <v>49</v>
      </c>
      <c r="B9" s="9" t="s">
        <v>753</v>
      </c>
      <c r="C9" s="13" t="s">
        <v>64</v>
      </c>
      <c r="D9" s="9" t="s">
        <v>225</v>
      </c>
      <c r="E9" s="7" t="s">
        <v>51</v>
      </c>
      <c r="F9" s="7" t="s">
        <v>209</v>
      </c>
      <c r="G9" s="7" t="s">
        <v>5</v>
      </c>
      <c r="H9" s="7" t="s">
        <v>210</v>
      </c>
      <c r="I9" s="41"/>
      <c r="J9" s="1"/>
      <c r="K9" s="1"/>
      <c r="L9" s="1"/>
      <c r="M9" s="1"/>
      <c r="N9" s="1"/>
      <c r="O9" s="1"/>
      <c r="Q9" s="46">
        <v>46253</v>
      </c>
      <c r="R9" s="1" t="s">
        <v>266</v>
      </c>
      <c r="S9" s="155" t="b">
        <v>0</v>
      </c>
      <c r="T9" s="155" t="b">
        <v>0</v>
      </c>
      <c r="U9" s="155" t="b">
        <v>1</v>
      </c>
      <c r="V9" s="155" t="b">
        <v>0</v>
      </c>
      <c r="W9" s="1" t="s">
        <v>1065</v>
      </c>
    </row>
    <row r="10" spans="1:23" x14ac:dyDescent="0.25">
      <c r="A10" s="6" t="s">
        <v>49</v>
      </c>
      <c r="B10" s="8" t="s">
        <v>754</v>
      </c>
      <c r="C10" s="6" t="s">
        <v>77</v>
      </c>
      <c r="D10" s="8" t="s">
        <v>215</v>
      </c>
      <c r="E10" s="6" t="s">
        <v>48</v>
      </c>
      <c r="F10" s="6" t="s">
        <v>216</v>
      </c>
      <c r="G10" s="6" t="s">
        <v>6</v>
      </c>
      <c r="H10" s="6" t="s">
        <v>210</v>
      </c>
      <c r="I10" s="10"/>
      <c r="J10" s="6"/>
      <c r="K10" s="6"/>
      <c r="L10" s="6"/>
      <c r="M10" s="6"/>
      <c r="N10" s="6"/>
      <c r="O10" s="6"/>
      <c r="Q10" s="46">
        <v>46253</v>
      </c>
      <c r="R10" s="1" t="s">
        <v>266</v>
      </c>
      <c r="S10" s="154" t="b">
        <v>0</v>
      </c>
      <c r="T10" s="154" t="b">
        <v>0</v>
      </c>
      <c r="U10" s="154" t="b">
        <v>1</v>
      </c>
      <c r="V10" s="154" t="b">
        <v>0</v>
      </c>
      <c r="W10" s="1" t="s">
        <v>1065</v>
      </c>
    </row>
    <row r="11" spans="1:23" x14ac:dyDescent="0.25">
      <c r="A11" s="7" t="s">
        <v>49</v>
      </c>
      <c r="B11" s="9" t="s">
        <v>755</v>
      </c>
      <c r="C11" s="13" t="s">
        <v>50</v>
      </c>
      <c r="D11" s="9" t="s">
        <v>225</v>
      </c>
      <c r="E11" s="7" t="s">
        <v>51</v>
      </c>
      <c r="F11" s="7" t="s">
        <v>209</v>
      </c>
      <c r="G11" s="7" t="s">
        <v>5</v>
      </c>
      <c r="H11" s="7" t="s">
        <v>210</v>
      </c>
      <c r="I11" s="41"/>
      <c r="J11" s="1"/>
      <c r="K11" s="1"/>
      <c r="L11" s="1"/>
      <c r="M11" s="1"/>
      <c r="N11" s="1"/>
      <c r="O11" s="1"/>
      <c r="Q11" s="46">
        <v>46253</v>
      </c>
      <c r="R11" s="1" t="s">
        <v>266</v>
      </c>
      <c r="S11" s="155" t="b">
        <v>0</v>
      </c>
      <c r="T11" s="155" t="b">
        <v>0</v>
      </c>
      <c r="U11" s="155" t="b">
        <v>1</v>
      </c>
      <c r="V11" s="155" t="b">
        <v>0</v>
      </c>
      <c r="W11" s="1" t="s">
        <v>1065</v>
      </c>
    </row>
    <row r="12" spans="1:23" x14ac:dyDescent="0.25">
      <c r="A12" s="6" t="s">
        <v>49</v>
      </c>
      <c r="B12" s="8" t="s">
        <v>57</v>
      </c>
      <c r="C12" s="6" t="s">
        <v>53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10"/>
      <c r="J12" s="6"/>
      <c r="K12" s="6"/>
      <c r="L12" s="6"/>
      <c r="M12" s="6"/>
      <c r="N12" s="6"/>
      <c r="O12" s="6"/>
      <c r="Q12" s="46">
        <v>46253</v>
      </c>
      <c r="R12" s="1" t="s">
        <v>266</v>
      </c>
      <c r="S12" s="154" t="b">
        <v>0</v>
      </c>
      <c r="T12" s="154" t="b">
        <v>0</v>
      </c>
      <c r="U12" s="154" t="b">
        <v>1</v>
      </c>
      <c r="V12" s="154" t="b">
        <v>0</v>
      </c>
      <c r="W12" s="1" t="s">
        <v>1065</v>
      </c>
    </row>
    <row r="13" spans="1:23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1"/>
      <c r="J13" s="1"/>
      <c r="K13" s="1"/>
      <c r="L13" s="1"/>
      <c r="M13" s="1"/>
      <c r="N13" s="1"/>
      <c r="O13" s="1"/>
      <c r="Q13" s="46">
        <v>46253</v>
      </c>
      <c r="R13" s="1" t="s">
        <v>273</v>
      </c>
      <c r="S13" s="155" t="b">
        <v>0</v>
      </c>
      <c r="T13" s="155" t="b">
        <v>0</v>
      </c>
      <c r="U13" s="155" t="b">
        <v>0</v>
      </c>
      <c r="V13" s="155" t="b">
        <v>1</v>
      </c>
      <c r="W13" s="1" t="s">
        <v>1065</v>
      </c>
    </row>
    <row r="14" spans="1:23" x14ac:dyDescent="0.25">
      <c r="A14" s="6" t="s">
        <v>49</v>
      </c>
      <c r="B14" s="8" t="s">
        <v>57</v>
      </c>
      <c r="C14" s="6" t="s">
        <v>56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10"/>
      <c r="J14" s="6"/>
      <c r="K14" s="6"/>
      <c r="L14" s="6"/>
      <c r="M14" s="6"/>
      <c r="N14" s="6"/>
      <c r="O14" s="6"/>
      <c r="Q14" s="46">
        <v>46253</v>
      </c>
      <c r="R14" s="6" t="s">
        <v>273</v>
      </c>
      <c r="S14" s="154" t="b">
        <v>0</v>
      </c>
      <c r="T14" s="154" t="b">
        <v>0</v>
      </c>
      <c r="U14" s="154" t="b">
        <v>0</v>
      </c>
      <c r="V14" s="154" t="b">
        <v>1</v>
      </c>
      <c r="W14" s="1" t="s">
        <v>1065</v>
      </c>
    </row>
    <row r="15" spans="1:23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1"/>
      <c r="J15" s="1"/>
      <c r="K15" s="1"/>
      <c r="L15" s="1"/>
      <c r="M15" s="1"/>
      <c r="N15" s="1"/>
      <c r="O15" s="1"/>
      <c r="Q15" s="46">
        <v>46253</v>
      </c>
      <c r="R15" s="1" t="s">
        <v>273</v>
      </c>
      <c r="S15" s="155" t="b">
        <v>0</v>
      </c>
      <c r="T15" s="155" t="b">
        <v>0</v>
      </c>
      <c r="U15" s="155" t="b">
        <v>1</v>
      </c>
      <c r="V15" s="155" t="b">
        <v>0</v>
      </c>
      <c r="W15" s="1" t="s">
        <v>1065</v>
      </c>
    </row>
    <row r="16" spans="1:23" x14ac:dyDescent="0.25">
      <c r="A16" s="6" t="s">
        <v>49</v>
      </c>
      <c r="B16" s="8" t="s">
        <v>756</v>
      </c>
      <c r="C16" s="6" t="s">
        <v>129</v>
      </c>
      <c r="D16" s="8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10"/>
      <c r="J16" s="6"/>
      <c r="K16" s="6"/>
      <c r="L16" s="6"/>
      <c r="M16" s="6"/>
      <c r="N16" s="6"/>
      <c r="O16" s="6"/>
      <c r="Q16" s="46">
        <v>46253</v>
      </c>
      <c r="R16" s="6" t="s">
        <v>266</v>
      </c>
      <c r="S16" s="154" t="b">
        <v>0</v>
      </c>
      <c r="T16" s="154" t="b">
        <v>0</v>
      </c>
      <c r="U16" s="154" t="b">
        <v>1</v>
      </c>
      <c r="V16" s="154" t="b">
        <v>0</v>
      </c>
      <c r="W16" s="1" t="s">
        <v>1065</v>
      </c>
    </row>
    <row r="17" spans="1:23" x14ac:dyDescent="0.25">
      <c r="A17" s="7" t="s">
        <v>49</v>
      </c>
      <c r="B17" s="9" t="s">
        <v>757</v>
      </c>
      <c r="C17" s="13" t="s">
        <v>72</v>
      </c>
      <c r="D17" s="9" t="s">
        <v>225</v>
      </c>
      <c r="E17" s="7" t="s">
        <v>51</v>
      </c>
      <c r="F17" s="7" t="s">
        <v>209</v>
      </c>
      <c r="G17" s="7" t="s">
        <v>5</v>
      </c>
      <c r="H17" s="7" t="s">
        <v>210</v>
      </c>
      <c r="I17" s="41"/>
      <c r="J17" s="1"/>
      <c r="K17" s="1"/>
      <c r="L17" s="1"/>
      <c r="M17" s="1"/>
      <c r="N17" s="1"/>
      <c r="O17" s="1"/>
      <c r="Q17" s="46">
        <v>46253</v>
      </c>
      <c r="R17" s="1" t="s">
        <v>266</v>
      </c>
      <c r="S17" s="155" t="b">
        <v>0</v>
      </c>
      <c r="T17" s="155" t="b">
        <v>0</v>
      </c>
      <c r="U17" s="155" t="b">
        <v>1</v>
      </c>
      <c r="V17" s="155" t="b">
        <v>0</v>
      </c>
      <c r="W17" s="1" t="s">
        <v>1065</v>
      </c>
    </row>
    <row r="18" spans="1:23" x14ac:dyDescent="0.25">
      <c r="A18" s="6" t="s">
        <v>68</v>
      </c>
      <c r="B18" s="8" t="s">
        <v>758</v>
      </c>
      <c r="C18" s="6" t="s">
        <v>125</v>
      </c>
      <c r="D18" s="8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10"/>
      <c r="J18" s="6"/>
      <c r="K18" s="6"/>
      <c r="L18" s="6"/>
      <c r="M18" s="6"/>
      <c r="N18" s="6"/>
      <c r="O18" s="6"/>
      <c r="Q18" s="46">
        <v>46253</v>
      </c>
      <c r="R18" s="6" t="s">
        <v>273</v>
      </c>
      <c r="S18" s="154" t="b">
        <v>0</v>
      </c>
      <c r="T18" s="154" t="b">
        <v>0</v>
      </c>
      <c r="U18" s="154" t="b">
        <v>0</v>
      </c>
      <c r="V18" s="154" t="b">
        <v>1</v>
      </c>
      <c r="W18" s="6" t="s">
        <v>1066</v>
      </c>
    </row>
    <row r="19" spans="1:23" x14ac:dyDescent="0.25">
      <c r="A19" s="7" t="s">
        <v>68</v>
      </c>
      <c r="B19" s="9" t="s">
        <v>759</v>
      </c>
      <c r="C19" s="13" t="s">
        <v>144</v>
      </c>
      <c r="D19" s="9" t="s">
        <v>240</v>
      </c>
      <c r="E19" s="7" t="s">
        <v>86</v>
      </c>
      <c r="F19" s="7" t="s">
        <v>241</v>
      </c>
      <c r="G19" s="7" t="s">
        <v>5</v>
      </c>
      <c r="H19" s="7" t="s">
        <v>210</v>
      </c>
      <c r="I19" s="41"/>
      <c r="J19" s="1"/>
      <c r="K19" s="1"/>
      <c r="L19" s="1"/>
      <c r="M19" s="1"/>
      <c r="N19" s="1"/>
      <c r="O19" s="1"/>
      <c r="Q19" s="46">
        <v>46253</v>
      </c>
      <c r="R19" s="1" t="s">
        <v>266</v>
      </c>
      <c r="S19" s="155" t="b">
        <v>0</v>
      </c>
      <c r="T19" s="155" t="b">
        <v>0</v>
      </c>
      <c r="U19" s="155" t="b">
        <v>0</v>
      </c>
      <c r="V19" s="155" t="b">
        <v>1</v>
      </c>
      <c r="W19" s="6" t="s">
        <v>1066</v>
      </c>
    </row>
    <row r="20" spans="1:23" x14ac:dyDescent="0.25">
      <c r="A20" s="6" t="s">
        <v>68</v>
      </c>
      <c r="B20" s="8" t="s">
        <v>760</v>
      </c>
      <c r="C20" s="6" t="s">
        <v>106</v>
      </c>
      <c r="D20" s="8" t="s">
        <v>240</v>
      </c>
      <c r="E20" s="6" t="s">
        <v>86</v>
      </c>
      <c r="F20" s="6" t="s">
        <v>241</v>
      </c>
      <c r="G20" s="6" t="s">
        <v>5</v>
      </c>
      <c r="H20" s="6" t="s">
        <v>218</v>
      </c>
      <c r="I20" s="10"/>
      <c r="J20" s="6"/>
      <c r="K20" s="6"/>
      <c r="L20" s="6"/>
      <c r="M20" s="6"/>
      <c r="N20" s="6"/>
      <c r="O20" s="6"/>
      <c r="Q20" s="46">
        <v>46253</v>
      </c>
      <c r="R20" s="6" t="s">
        <v>273</v>
      </c>
      <c r="S20" s="154" t="b">
        <v>0</v>
      </c>
      <c r="T20" s="154" t="b">
        <v>0</v>
      </c>
      <c r="U20" s="154" t="b">
        <v>0</v>
      </c>
      <c r="V20" s="154" t="b">
        <v>1</v>
      </c>
      <c r="W20" s="6" t="s">
        <v>1066</v>
      </c>
    </row>
    <row r="21" spans="1:23" x14ac:dyDescent="0.25">
      <c r="A21" s="7" t="s">
        <v>68</v>
      </c>
      <c r="B21" s="9" t="s">
        <v>761</v>
      </c>
      <c r="C21" s="13" t="s">
        <v>115</v>
      </c>
      <c r="D21" s="9" t="s">
        <v>225</v>
      </c>
      <c r="E21" s="7" t="s">
        <v>51</v>
      </c>
      <c r="F21" s="7" t="s">
        <v>209</v>
      </c>
      <c r="G21" s="7" t="s">
        <v>5</v>
      </c>
      <c r="H21" s="7" t="s">
        <v>210</v>
      </c>
      <c r="I21" s="41"/>
      <c r="J21" s="1"/>
      <c r="K21" s="1"/>
      <c r="L21" s="1"/>
      <c r="M21" s="1"/>
      <c r="N21" s="1"/>
      <c r="O21" s="1"/>
      <c r="Q21" s="46">
        <v>46253</v>
      </c>
      <c r="R21" s="1" t="s">
        <v>266</v>
      </c>
      <c r="S21" s="155" t="b">
        <v>0</v>
      </c>
      <c r="T21" s="155" t="b">
        <v>1</v>
      </c>
      <c r="U21" s="155" t="b">
        <v>0</v>
      </c>
      <c r="V21" s="155" t="b">
        <v>0</v>
      </c>
      <c r="W21" s="6" t="s">
        <v>1066</v>
      </c>
    </row>
    <row r="22" spans="1:23" x14ac:dyDescent="0.25">
      <c r="A22" s="6" t="s">
        <v>68</v>
      </c>
      <c r="B22" s="8" t="s">
        <v>762</v>
      </c>
      <c r="C22" s="6" t="s">
        <v>135</v>
      </c>
      <c r="D22" s="8" t="s">
        <v>225</v>
      </c>
      <c r="E22" s="6" t="s">
        <v>51</v>
      </c>
      <c r="F22" s="6" t="s">
        <v>209</v>
      </c>
      <c r="G22" s="6" t="s">
        <v>5</v>
      </c>
      <c r="H22" s="6" t="s">
        <v>210</v>
      </c>
      <c r="I22" s="10"/>
      <c r="J22" s="6"/>
      <c r="K22" s="6"/>
      <c r="L22" s="6"/>
      <c r="M22" s="6"/>
      <c r="N22" s="6"/>
      <c r="O22" s="6"/>
      <c r="Q22" s="46">
        <v>46253</v>
      </c>
      <c r="R22" s="6" t="s">
        <v>266</v>
      </c>
      <c r="S22" s="154" t="b">
        <v>0</v>
      </c>
      <c r="T22" s="154" t="b">
        <v>0</v>
      </c>
      <c r="U22" s="154" t="b">
        <v>0</v>
      </c>
      <c r="V22" s="154" t="b">
        <v>1</v>
      </c>
      <c r="W22" s="6" t="s">
        <v>1066</v>
      </c>
    </row>
    <row r="23" spans="1:23" x14ac:dyDescent="0.25">
      <c r="A23" s="7" t="s">
        <v>68</v>
      </c>
      <c r="B23" s="9" t="s">
        <v>763</v>
      </c>
      <c r="C23" s="13" t="s">
        <v>103</v>
      </c>
      <c r="D23" s="9" t="s">
        <v>225</v>
      </c>
      <c r="E23" s="7" t="s">
        <v>51</v>
      </c>
      <c r="F23" s="7" t="s">
        <v>209</v>
      </c>
      <c r="G23" s="7" t="s">
        <v>5</v>
      </c>
      <c r="H23" s="7" t="s">
        <v>218</v>
      </c>
      <c r="I23" s="41"/>
      <c r="J23" s="1"/>
      <c r="K23" s="1"/>
      <c r="L23" s="1"/>
      <c r="M23" s="1"/>
      <c r="N23" s="1"/>
      <c r="O23" s="1"/>
      <c r="Q23" s="46">
        <v>46253</v>
      </c>
      <c r="R23" s="1" t="s">
        <v>273</v>
      </c>
      <c r="S23" s="155" t="b">
        <v>0</v>
      </c>
      <c r="T23" s="155" t="b">
        <v>0</v>
      </c>
      <c r="U23" s="155" t="b">
        <v>1</v>
      </c>
      <c r="V23" s="155" t="b">
        <v>0</v>
      </c>
      <c r="W23" s="6" t="s">
        <v>1066</v>
      </c>
    </row>
    <row r="24" spans="1:23" x14ac:dyDescent="0.25">
      <c r="A24" s="6" t="s">
        <v>68</v>
      </c>
      <c r="B24" s="8" t="s">
        <v>764</v>
      </c>
      <c r="C24" s="6" t="s">
        <v>119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10"/>
      <c r="J24" s="6"/>
      <c r="K24" s="6"/>
      <c r="L24" s="6"/>
      <c r="M24" s="6"/>
      <c r="N24" s="6"/>
      <c r="O24" s="6"/>
      <c r="Q24" s="46">
        <v>46253</v>
      </c>
      <c r="R24" s="6" t="s">
        <v>273</v>
      </c>
      <c r="S24" s="154" t="b">
        <v>0</v>
      </c>
      <c r="T24" s="154" t="b">
        <v>0</v>
      </c>
      <c r="U24" s="154" t="b">
        <v>0</v>
      </c>
      <c r="V24" s="154" t="b">
        <v>1</v>
      </c>
      <c r="W24" s="6" t="s">
        <v>1065</v>
      </c>
    </row>
    <row r="25" spans="1:23" x14ac:dyDescent="0.25">
      <c r="A25" s="7" t="s">
        <v>68</v>
      </c>
      <c r="B25" s="9" t="s">
        <v>765</v>
      </c>
      <c r="C25" s="13" t="s">
        <v>137</v>
      </c>
      <c r="D25" s="9" t="s">
        <v>240</v>
      </c>
      <c r="E25" s="7" t="s">
        <v>86</v>
      </c>
      <c r="F25" s="7" t="s">
        <v>241</v>
      </c>
      <c r="G25" s="7" t="s">
        <v>5</v>
      </c>
      <c r="H25" s="7" t="s">
        <v>210</v>
      </c>
      <c r="I25" s="41"/>
      <c r="J25" s="1"/>
      <c r="K25" s="1"/>
      <c r="L25" s="1"/>
      <c r="M25" s="1"/>
      <c r="N25" s="1"/>
      <c r="O25" s="1"/>
      <c r="Q25" s="46">
        <v>46253</v>
      </c>
      <c r="R25" s="1" t="s">
        <v>266</v>
      </c>
      <c r="S25" s="155" t="b">
        <v>0</v>
      </c>
      <c r="T25" s="155" t="b">
        <v>0</v>
      </c>
      <c r="U25" s="155" t="b">
        <v>0</v>
      </c>
      <c r="V25" s="155" t="b">
        <v>1</v>
      </c>
      <c r="W25" s="1" t="s">
        <v>1065</v>
      </c>
    </row>
    <row r="26" spans="1:23" x14ac:dyDescent="0.25">
      <c r="A26" s="6" t="s">
        <v>68</v>
      </c>
      <c r="B26" s="8" t="s">
        <v>766</v>
      </c>
      <c r="C26" s="6" t="s">
        <v>85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218</v>
      </c>
      <c r="I26" s="10"/>
      <c r="J26" s="6"/>
      <c r="K26" s="6"/>
      <c r="L26" s="6"/>
      <c r="M26" s="6"/>
      <c r="N26" s="6"/>
      <c r="O26" s="6"/>
      <c r="Q26" s="46">
        <v>46253</v>
      </c>
      <c r="R26" s="6" t="s">
        <v>273</v>
      </c>
      <c r="S26" s="154" t="b">
        <v>0</v>
      </c>
      <c r="T26" s="154" t="b">
        <v>0</v>
      </c>
      <c r="U26" s="154" t="b">
        <v>0</v>
      </c>
      <c r="V26" s="154" t="b">
        <v>1</v>
      </c>
      <c r="W26" s="6" t="s">
        <v>1065</v>
      </c>
    </row>
    <row r="27" spans="1:23" x14ac:dyDescent="0.25">
      <c r="A27" s="7" t="s">
        <v>68</v>
      </c>
      <c r="B27" s="9" t="s">
        <v>767</v>
      </c>
      <c r="C27" s="13" t="s">
        <v>122</v>
      </c>
      <c r="D27" s="9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1"/>
      <c r="J27" s="1"/>
      <c r="K27" s="1"/>
      <c r="L27" s="1"/>
      <c r="M27" s="1"/>
      <c r="N27" s="1"/>
      <c r="O27" s="1"/>
      <c r="Q27" s="46">
        <v>46253</v>
      </c>
      <c r="R27" s="1" t="s">
        <v>273</v>
      </c>
      <c r="S27" s="155" t="b">
        <v>0</v>
      </c>
      <c r="T27" s="155" t="b">
        <v>0</v>
      </c>
      <c r="U27" s="155" t="b">
        <v>0</v>
      </c>
      <c r="V27" s="155" t="b">
        <v>1</v>
      </c>
      <c r="W27" s="1" t="s">
        <v>1066</v>
      </c>
    </row>
    <row r="28" spans="1:23" x14ac:dyDescent="0.25">
      <c r="A28" s="6" t="s">
        <v>68</v>
      </c>
      <c r="B28" s="8" t="s">
        <v>768</v>
      </c>
      <c r="C28" s="6" t="s">
        <v>140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210</v>
      </c>
      <c r="I28" s="10"/>
      <c r="J28" s="6"/>
      <c r="K28" s="6"/>
      <c r="L28" s="6"/>
      <c r="M28" s="6"/>
      <c r="N28" s="6"/>
      <c r="O28" s="6"/>
      <c r="Q28" s="46">
        <v>46253</v>
      </c>
      <c r="R28" s="6" t="s">
        <v>266</v>
      </c>
      <c r="S28" s="154" t="b">
        <v>0</v>
      </c>
      <c r="T28" s="154" t="b">
        <v>0</v>
      </c>
      <c r="U28" s="154" t="b">
        <v>1</v>
      </c>
      <c r="V28" s="154" t="b">
        <v>0</v>
      </c>
      <c r="W28" s="6" t="s">
        <v>1066</v>
      </c>
    </row>
    <row r="29" spans="1:23" x14ac:dyDescent="0.25">
      <c r="A29" s="7" t="s">
        <v>68</v>
      </c>
      <c r="B29" s="9" t="s">
        <v>769</v>
      </c>
      <c r="C29" s="13" t="s">
        <v>90</v>
      </c>
      <c r="D29" s="9" t="s">
        <v>240</v>
      </c>
      <c r="E29" s="7" t="s">
        <v>86</v>
      </c>
      <c r="F29" s="7" t="s">
        <v>241</v>
      </c>
      <c r="G29" s="7" t="s">
        <v>5</v>
      </c>
      <c r="H29" s="7" t="s">
        <v>218</v>
      </c>
      <c r="I29" s="41"/>
      <c r="J29" s="1"/>
      <c r="K29" s="1"/>
      <c r="L29" s="1"/>
      <c r="M29" s="1"/>
      <c r="N29" s="1"/>
      <c r="O29" s="1"/>
      <c r="Q29" s="46">
        <v>46253</v>
      </c>
      <c r="R29" s="1" t="s">
        <v>273</v>
      </c>
      <c r="S29" s="155" t="b">
        <v>0</v>
      </c>
      <c r="T29" s="155" t="b">
        <v>0</v>
      </c>
      <c r="U29" s="155" t="b">
        <v>1</v>
      </c>
      <c r="V29" s="155" t="b">
        <v>0</v>
      </c>
      <c r="W29" s="1" t="s">
        <v>1066</v>
      </c>
    </row>
    <row r="30" spans="1:23" x14ac:dyDescent="0.25">
      <c r="A30" s="6" t="s">
        <v>68</v>
      </c>
      <c r="B30" s="8" t="s">
        <v>770</v>
      </c>
      <c r="C30" s="6" t="s">
        <v>93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10"/>
      <c r="J30" s="6"/>
      <c r="K30" s="6"/>
      <c r="L30" s="6"/>
      <c r="M30" s="6"/>
      <c r="N30" s="6"/>
      <c r="O30" s="6"/>
      <c r="Q30" s="46">
        <v>46253</v>
      </c>
      <c r="R30" s="6" t="s">
        <v>273</v>
      </c>
      <c r="S30" s="154" t="b">
        <v>0</v>
      </c>
      <c r="T30" s="154" t="b">
        <v>0</v>
      </c>
      <c r="U30" s="154" t="b">
        <v>1</v>
      </c>
      <c r="V30" s="154" t="b">
        <v>0</v>
      </c>
      <c r="W30" s="6" t="s">
        <v>1066</v>
      </c>
    </row>
    <row r="31" spans="1:23" x14ac:dyDescent="0.25">
      <c r="A31" s="7" t="s">
        <v>68</v>
      </c>
      <c r="B31" s="9" t="s">
        <v>771</v>
      </c>
      <c r="C31" s="13" t="s">
        <v>97</v>
      </c>
      <c r="D31" s="9" t="s">
        <v>240</v>
      </c>
      <c r="E31" s="7" t="s">
        <v>86</v>
      </c>
      <c r="F31" s="7" t="s">
        <v>241</v>
      </c>
      <c r="G31" s="7" t="s">
        <v>5</v>
      </c>
      <c r="H31" s="7" t="s">
        <v>210</v>
      </c>
      <c r="I31" s="41"/>
      <c r="J31" s="1"/>
      <c r="K31" s="1"/>
      <c r="L31" s="1"/>
      <c r="M31" s="1"/>
      <c r="N31" s="1"/>
      <c r="O31" s="1"/>
      <c r="Q31" s="46">
        <v>46253</v>
      </c>
      <c r="R31" s="1" t="s">
        <v>266</v>
      </c>
      <c r="S31" s="155" t="b">
        <v>0</v>
      </c>
      <c r="T31" s="155" t="b">
        <v>0</v>
      </c>
      <c r="U31" s="155" t="b">
        <v>0</v>
      </c>
      <c r="V31" s="155" t="b">
        <v>1</v>
      </c>
      <c r="W31" s="1" t="s">
        <v>1066</v>
      </c>
    </row>
    <row r="32" spans="1:23" x14ac:dyDescent="0.25">
      <c r="A32" s="6" t="s">
        <v>68</v>
      </c>
      <c r="B32" s="8" t="s">
        <v>772</v>
      </c>
      <c r="C32" s="6" t="s">
        <v>100</v>
      </c>
      <c r="D32" s="8" t="s">
        <v>240</v>
      </c>
      <c r="E32" s="6" t="s">
        <v>86</v>
      </c>
      <c r="F32" s="6" t="s">
        <v>241</v>
      </c>
      <c r="G32" s="6" t="s">
        <v>5</v>
      </c>
      <c r="H32" s="6" t="s">
        <v>218</v>
      </c>
      <c r="I32" s="10"/>
      <c r="J32" s="6"/>
      <c r="K32" s="6"/>
      <c r="L32" s="6"/>
      <c r="M32" s="6"/>
      <c r="N32" s="6"/>
      <c r="O32" s="6"/>
      <c r="Q32" s="46">
        <v>46253</v>
      </c>
      <c r="R32" s="6" t="s">
        <v>273</v>
      </c>
      <c r="S32" s="154" t="b">
        <v>0</v>
      </c>
      <c r="T32" s="154" t="b">
        <v>0</v>
      </c>
      <c r="U32" s="154" t="b">
        <v>1</v>
      </c>
      <c r="V32" s="154" t="b">
        <v>0</v>
      </c>
      <c r="W32" s="6" t="s">
        <v>1066</v>
      </c>
    </row>
    <row r="33" spans="1:23" ht="18" customHeight="1" x14ac:dyDescent="0.25">
      <c r="A33" s="7" t="s">
        <v>68</v>
      </c>
      <c r="B33" s="9" t="s">
        <v>57</v>
      </c>
      <c r="C33" s="13" t="s">
        <v>69</v>
      </c>
      <c r="D33" s="9" t="s">
        <v>208</v>
      </c>
      <c r="E33" s="7" t="s">
        <v>51</v>
      </c>
      <c r="F33" s="7" t="s">
        <v>209</v>
      </c>
      <c r="G33" s="7" t="s">
        <v>5</v>
      </c>
      <c r="H33" s="7" t="s">
        <v>210</v>
      </c>
      <c r="I33" s="41"/>
      <c r="J33" s="1"/>
      <c r="K33" s="1"/>
      <c r="L33" s="1"/>
      <c r="M33" s="1"/>
      <c r="N33" s="1"/>
      <c r="O33" s="1"/>
      <c r="Q33" s="46">
        <v>46253</v>
      </c>
      <c r="R33" s="1" t="s">
        <v>266</v>
      </c>
      <c r="S33" s="155" t="b">
        <v>0</v>
      </c>
      <c r="T33" s="155" t="b">
        <v>0</v>
      </c>
      <c r="U33" s="155" t="b">
        <v>1</v>
      </c>
      <c r="V33" s="155" t="b">
        <v>0</v>
      </c>
      <c r="W33" s="1" t="s">
        <v>1065</v>
      </c>
    </row>
    <row r="34" spans="1:23" x14ac:dyDescent="0.25">
      <c r="A34" s="6" t="s">
        <v>68</v>
      </c>
      <c r="B34" s="8" t="s">
        <v>57</v>
      </c>
      <c r="C34" s="6" t="s">
        <v>151</v>
      </c>
      <c r="D34" s="8" t="s">
        <v>208</v>
      </c>
      <c r="E34" s="6" t="s">
        <v>51</v>
      </c>
      <c r="F34" s="6" t="s">
        <v>209</v>
      </c>
      <c r="G34" s="6" t="s">
        <v>5</v>
      </c>
      <c r="H34" s="6" t="s">
        <v>210</v>
      </c>
      <c r="I34" s="10"/>
      <c r="J34" s="6"/>
      <c r="K34" s="6"/>
      <c r="L34" s="6"/>
      <c r="M34" s="6"/>
      <c r="N34" s="6"/>
      <c r="O34" s="6"/>
      <c r="Q34" s="46">
        <v>46253</v>
      </c>
      <c r="R34" s="6" t="s">
        <v>266</v>
      </c>
      <c r="S34" s="154" t="b">
        <v>0</v>
      </c>
      <c r="T34" s="154" t="b">
        <v>0</v>
      </c>
      <c r="U34" s="154" t="b">
        <v>1</v>
      </c>
      <c r="V34" s="154" t="b">
        <v>0</v>
      </c>
      <c r="W34" s="6" t="s">
        <v>1065</v>
      </c>
    </row>
    <row r="35" spans="1:23" x14ac:dyDescent="0.25">
      <c r="A35" s="7" t="s">
        <v>68</v>
      </c>
      <c r="B35" s="9" t="s">
        <v>57</v>
      </c>
      <c r="C35" s="13" t="s">
        <v>112</v>
      </c>
      <c r="D35" s="9" t="s">
        <v>402</v>
      </c>
      <c r="E35" s="7" t="s">
        <v>48</v>
      </c>
      <c r="F35" s="7" t="s">
        <v>216</v>
      </c>
      <c r="G35" s="7" t="s">
        <v>5</v>
      </c>
      <c r="H35" s="7" t="s">
        <v>210</v>
      </c>
      <c r="I35" s="41"/>
      <c r="J35" s="1"/>
      <c r="K35" s="1"/>
      <c r="L35" s="1"/>
      <c r="M35" s="1"/>
      <c r="N35" s="1"/>
      <c r="O35" s="1"/>
      <c r="Q35" s="46">
        <v>46253</v>
      </c>
      <c r="R35" s="1" t="s">
        <v>273</v>
      </c>
      <c r="S35" s="155" t="b">
        <v>0</v>
      </c>
      <c r="T35" s="155" t="b">
        <v>0</v>
      </c>
      <c r="U35" s="155" t="b">
        <v>0</v>
      </c>
      <c r="V35" s="155" t="b">
        <v>1</v>
      </c>
      <c r="W35" s="1" t="s">
        <v>1066</v>
      </c>
    </row>
    <row r="36" spans="1:23" x14ac:dyDescent="0.25">
      <c r="A36" s="6" t="s">
        <v>68</v>
      </c>
      <c r="B36" s="8" t="s">
        <v>57</v>
      </c>
      <c r="C36" s="6" t="s">
        <v>109</v>
      </c>
      <c r="D36" s="8" t="s">
        <v>215</v>
      </c>
      <c r="E36" s="6" t="s">
        <v>48</v>
      </c>
      <c r="F36" s="6" t="s">
        <v>216</v>
      </c>
      <c r="G36" s="6" t="s">
        <v>5</v>
      </c>
      <c r="H36" s="6" t="s">
        <v>218</v>
      </c>
      <c r="I36" s="10"/>
      <c r="J36" s="6"/>
      <c r="K36" s="6"/>
      <c r="L36" s="6"/>
      <c r="M36" s="6"/>
      <c r="N36" s="6"/>
      <c r="O36" s="6"/>
      <c r="Q36" s="46">
        <v>46253</v>
      </c>
      <c r="R36" s="6" t="s">
        <v>273</v>
      </c>
      <c r="S36" s="154" t="b">
        <v>0</v>
      </c>
      <c r="T36" s="154" t="b">
        <v>0</v>
      </c>
      <c r="U36" s="154" t="b">
        <v>0</v>
      </c>
      <c r="V36" s="154" t="b">
        <v>1</v>
      </c>
      <c r="W36" s="6" t="s">
        <v>1065</v>
      </c>
    </row>
    <row r="37" spans="1:23" x14ac:dyDescent="0.25">
      <c r="A37" s="7" t="s">
        <v>68</v>
      </c>
      <c r="B37" s="9" t="s">
        <v>57</v>
      </c>
      <c r="C37" s="13" t="s">
        <v>148</v>
      </c>
      <c r="D37" s="9" t="s">
        <v>217</v>
      </c>
      <c r="E37" s="7" t="s">
        <v>48</v>
      </c>
      <c r="F37" s="7" t="s">
        <v>216</v>
      </c>
      <c r="G37" s="7" t="s">
        <v>6</v>
      </c>
      <c r="H37" s="7" t="s">
        <v>218</v>
      </c>
      <c r="I37" s="41"/>
      <c r="J37" s="1"/>
      <c r="K37" s="1"/>
      <c r="L37" s="1"/>
      <c r="M37" s="1"/>
      <c r="N37" s="1"/>
      <c r="O37" s="1"/>
      <c r="Q37" s="46">
        <v>46253</v>
      </c>
      <c r="R37" s="1" t="s">
        <v>266</v>
      </c>
      <c r="S37" s="155" t="b">
        <v>1</v>
      </c>
      <c r="T37" s="155" t="b">
        <v>0</v>
      </c>
      <c r="U37" s="155" t="b">
        <v>0</v>
      </c>
      <c r="V37" s="155" t="b">
        <v>0</v>
      </c>
      <c r="W37" s="1" t="s">
        <v>1065</v>
      </c>
    </row>
    <row r="38" spans="1:23" x14ac:dyDescent="0.25">
      <c r="A38" s="6" t="s">
        <v>68</v>
      </c>
      <c r="B38" s="8" t="s">
        <v>773</v>
      </c>
      <c r="C38" s="6" t="s">
        <v>159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210</v>
      </c>
      <c r="I38" s="10"/>
      <c r="J38" s="6"/>
      <c r="K38" s="6"/>
      <c r="L38" s="6"/>
      <c r="M38" s="6"/>
      <c r="N38" s="6"/>
      <c r="O38" s="6"/>
      <c r="Q38" s="46">
        <v>46253</v>
      </c>
      <c r="R38" s="6" t="s">
        <v>266</v>
      </c>
      <c r="S38" s="154" t="b">
        <v>0</v>
      </c>
      <c r="T38" s="154" t="b">
        <v>0</v>
      </c>
      <c r="U38" s="154" t="b">
        <v>0</v>
      </c>
      <c r="V38" s="154" t="b">
        <v>1</v>
      </c>
      <c r="W38" s="6" t="s">
        <v>1066</v>
      </c>
    </row>
    <row r="39" spans="1:23" x14ac:dyDescent="0.25">
      <c r="A39" s="7" t="s">
        <v>68</v>
      </c>
      <c r="B39" s="9" t="s">
        <v>774</v>
      </c>
      <c r="C39" s="13" t="s">
        <v>132</v>
      </c>
      <c r="D39" s="9" t="s">
        <v>240</v>
      </c>
      <c r="E39" s="7" t="s">
        <v>86</v>
      </c>
      <c r="F39" s="7" t="s">
        <v>241</v>
      </c>
      <c r="G39" s="7" t="s">
        <v>5</v>
      </c>
      <c r="H39" s="7" t="s">
        <v>218</v>
      </c>
      <c r="I39" s="41"/>
      <c r="J39" s="1"/>
      <c r="K39" s="1"/>
      <c r="L39" s="1"/>
      <c r="M39" s="1"/>
      <c r="N39" s="1"/>
      <c r="O39" s="1"/>
      <c r="Q39" s="46">
        <v>46253</v>
      </c>
      <c r="R39" s="1" t="s">
        <v>273</v>
      </c>
      <c r="S39" s="155" t="b">
        <v>0</v>
      </c>
      <c r="T39" s="155" t="b">
        <v>0</v>
      </c>
      <c r="U39" s="155" t="b">
        <v>0</v>
      </c>
      <c r="V39" s="155" t="b">
        <v>1</v>
      </c>
      <c r="W39" s="1" t="s">
        <v>1065</v>
      </c>
    </row>
    <row r="40" spans="1:23" x14ac:dyDescent="0.25">
      <c r="A40" s="6" t="s">
        <v>68</v>
      </c>
      <c r="B40" s="8" t="s">
        <v>775</v>
      </c>
      <c r="C40" s="6" t="s">
        <v>156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10"/>
      <c r="J40" s="6"/>
      <c r="K40" s="6"/>
      <c r="L40" s="6"/>
      <c r="M40" s="6"/>
      <c r="N40" s="6"/>
      <c r="O40" s="6"/>
      <c r="Q40" s="46">
        <v>46253</v>
      </c>
      <c r="R40" s="6" t="s">
        <v>273</v>
      </c>
      <c r="S40" s="154" t="b">
        <v>0</v>
      </c>
      <c r="T40" s="154" t="b">
        <v>0</v>
      </c>
      <c r="U40" s="155" t="b">
        <v>1</v>
      </c>
      <c r="V40" s="155" t="b">
        <v>0</v>
      </c>
      <c r="W40" s="6" t="s">
        <v>1066</v>
      </c>
    </row>
    <row r="41" spans="1:23" x14ac:dyDescent="0.25">
      <c r="A41" s="7" t="s">
        <v>68</v>
      </c>
      <c r="B41" s="9" t="s">
        <v>776</v>
      </c>
      <c r="C41" s="13" t="s">
        <v>153</v>
      </c>
      <c r="D41" s="9" t="s">
        <v>240</v>
      </c>
      <c r="E41" s="7" t="s">
        <v>86</v>
      </c>
      <c r="F41" s="7" t="s">
        <v>241</v>
      </c>
      <c r="G41" s="7" t="s">
        <v>5</v>
      </c>
      <c r="H41" s="7" t="s">
        <v>218</v>
      </c>
      <c r="I41" s="41"/>
      <c r="J41" s="1"/>
      <c r="K41" s="1"/>
      <c r="L41" s="1"/>
      <c r="M41" s="1"/>
      <c r="N41" s="1"/>
      <c r="O41" s="1"/>
      <c r="Q41" s="46">
        <v>46253</v>
      </c>
      <c r="R41" s="1" t="s">
        <v>273</v>
      </c>
      <c r="S41" s="155" t="b">
        <v>0</v>
      </c>
      <c r="T41" s="155" t="b">
        <v>0</v>
      </c>
      <c r="U41" s="154" t="b">
        <v>1</v>
      </c>
      <c r="V41" s="154" t="b">
        <v>0</v>
      </c>
      <c r="W41" s="1" t="s">
        <v>1066</v>
      </c>
    </row>
    <row r="42" spans="1:23" x14ac:dyDescent="0.25">
      <c r="A42" s="6" t="s">
        <v>68</v>
      </c>
      <c r="B42" s="8" t="s">
        <v>777</v>
      </c>
      <c r="C42" s="6" t="s">
        <v>162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218</v>
      </c>
      <c r="I42" s="10"/>
      <c r="J42" s="6"/>
      <c r="K42" s="6"/>
      <c r="L42" s="6"/>
      <c r="M42" s="6"/>
      <c r="N42" s="6"/>
      <c r="O42" s="6"/>
      <c r="Q42" s="46">
        <v>46253</v>
      </c>
      <c r="R42" s="6" t="s">
        <v>273</v>
      </c>
      <c r="S42" s="154" t="b">
        <v>0</v>
      </c>
      <c r="T42" s="154" t="b">
        <v>0</v>
      </c>
      <c r="U42" s="155" t="b">
        <v>1</v>
      </c>
      <c r="V42" s="155" t="b">
        <v>0</v>
      </c>
      <c r="W42" s="6" t="s">
        <v>1066</v>
      </c>
    </row>
    <row r="43" spans="1:23" x14ac:dyDescent="0.25">
      <c r="A43" s="7" t="s">
        <v>68</v>
      </c>
      <c r="B43" s="9" t="s">
        <v>778</v>
      </c>
      <c r="C43" s="13" t="s">
        <v>164</v>
      </c>
      <c r="D43" s="9" t="s">
        <v>240</v>
      </c>
      <c r="E43" s="7" t="s">
        <v>86</v>
      </c>
      <c r="F43" s="7" t="s">
        <v>241</v>
      </c>
      <c r="G43" s="7" t="s">
        <v>5</v>
      </c>
      <c r="H43" s="7" t="s">
        <v>210</v>
      </c>
      <c r="I43" s="41"/>
      <c r="J43" s="1"/>
      <c r="K43" s="1"/>
      <c r="L43" s="1"/>
      <c r="M43" s="1"/>
      <c r="N43" s="1"/>
      <c r="O43" s="1"/>
      <c r="Q43" s="46">
        <v>46253</v>
      </c>
      <c r="R43" s="1" t="s">
        <v>266</v>
      </c>
      <c r="S43" s="155" t="b">
        <v>0</v>
      </c>
      <c r="T43" s="155" t="b">
        <v>0</v>
      </c>
      <c r="U43" s="154" t="b">
        <v>0</v>
      </c>
      <c r="V43" s="154" t="b">
        <v>1</v>
      </c>
      <c r="W43" s="1" t="s">
        <v>1066</v>
      </c>
    </row>
    <row r="44" spans="1:23" x14ac:dyDescent="0.25">
      <c r="A44" s="6" t="s">
        <v>68</v>
      </c>
      <c r="B44" s="8" t="s">
        <v>779</v>
      </c>
      <c r="C44" s="6" t="s">
        <v>167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10"/>
      <c r="J44" s="6"/>
      <c r="K44" s="6"/>
      <c r="L44" s="6"/>
      <c r="M44" s="6"/>
      <c r="N44" s="6"/>
      <c r="O44" s="6"/>
      <c r="Q44" s="46">
        <v>46253</v>
      </c>
      <c r="R44" s="6" t="s">
        <v>273</v>
      </c>
      <c r="S44" s="154" t="b">
        <v>0</v>
      </c>
      <c r="T44" s="154" t="b">
        <v>0</v>
      </c>
      <c r="U44" s="154" t="b">
        <v>1</v>
      </c>
      <c r="V44" s="155" t="b">
        <v>0</v>
      </c>
      <c r="W44" s="6" t="s">
        <v>1066</v>
      </c>
    </row>
    <row r="45" spans="1:23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23" x14ac:dyDescent="0.25">
      <c r="A46" s="6"/>
      <c r="B46" s="8"/>
      <c r="C46" s="6"/>
      <c r="D46" s="8"/>
      <c r="E46" s="6"/>
      <c r="F46" s="6"/>
      <c r="G46" s="6"/>
      <c r="H46" s="6"/>
      <c r="I46" s="10"/>
      <c r="J46" s="6"/>
      <c r="K46" s="6"/>
      <c r="L46" s="6"/>
      <c r="M46" s="6"/>
      <c r="N46" s="6"/>
      <c r="O46" s="6"/>
    </row>
    <row r="47" spans="1:23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23" x14ac:dyDescent="0.25">
      <c r="A48" s="6"/>
      <c r="B48" s="8"/>
      <c r="C48" s="6"/>
      <c r="D48" s="8"/>
      <c r="E48" s="6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6"/>
      <c r="B50" s="8"/>
      <c r="C50" s="6"/>
      <c r="D50" s="8"/>
      <c r="E50" s="6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:A44"/>
    </sortState>
  </autoFilter>
  <mergeCells count="20">
    <mergeCell ref="A114:C114"/>
    <mergeCell ref="A121:C121"/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M3:O3"/>
    <mergeCell ref="U3:W3"/>
    <mergeCell ref="S5:V5"/>
    <mergeCell ref="B61:I61"/>
    <mergeCell ref="B62:I62"/>
    <mergeCell ref="B63:I63"/>
  </mergeCells>
  <phoneticPr fontId="1" type="noConversion"/>
  <pageMargins left="0.23622047244094491" right="0.23622047244094491" top="0.15748031496062992" bottom="0.15748031496062992" header="0" footer="0"/>
  <pageSetup paperSize="9" scale="60" fitToHeight="0" orientation="landscape" horizontalDpi="4294967293" verticalDpi="4294967293" r:id="rId1"/>
  <rowBreaks count="1" manualBreakCount="1">
    <brk id="56" max="1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4095-110A-49E8-A194-953CE46B7872}">
  <sheetPr codeName="Planilha22">
    <tabColor rgb="FFFFC000"/>
    <pageSetUpPr fitToPage="1"/>
  </sheetPr>
  <dimension ref="A1:W127"/>
  <sheetViews>
    <sheetView showGridLines="0" view="pageBreakPreview" topLeftCell="C1" zoomScale="80" zoomScaleNormal="70" zoomScaleSheetLayoutView="80" workbookViewId="0">
      <selection activeCell="O45" sqref="O45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7" width="9.140625" style="3"/>
    <col min="18" max="18" width="11.42578125" style="3" bestFit="1" customWidth="1"/>
    <col min="19" max="22" width="9.140625" style="3"/>
    <col min="23" max="23" width="12" style="3" bestFit="1" customWidth="1"/>
    <col min="24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780</v>
      </c>
      <c r="C3" s="26"/>
      <c r="D3" s="35" t="s">
        <v>781</v>
      </c>
      <c r="E3" s="27"/>
      <c r="F3" s="28"/>
      <c r="G3" s="28"/>
      <c r="H3" s="35" t="s">
        <v>196</v>
      </c>
      <c r="I3" s="27"/>
      <c r="J3" s="27"/>
      <c r="K3" s="35" t="s">
        <v>782</v>
      </c>
      <c r="L3" s="27"/>
      <c r="M3" s="27"/>
      <c r="N3" s="27"/>
      <c r="O3" s="29"/>
    </row>
    <row r="4" spans="1:23" s="2" customFormat="1" x14ac:dyDescent="0.25">
      <c r="C4" s="24"/>
      <c r="I4" s="20"/>
    </row>
    <row r="5" spans="1:23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Q5" s="22"/>
      <c r="R5" s="22"/>
      <c r="S5" s="165" t="s">
        <v>198</v>
      </c>
      <c r="T5" s="165"/>
      <c r="U5" s="165"/>
      <c r="V5" s="165"/>
      <c r="W5" s="23">
        <v>39430</v>
      </c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7" t="s">
        <v>49</v>
      </c>
      <c r="B7" s="9" t="s">
        <v>783</v>
      </c>
      <c r="C7" s="13" t="s">
        <v>81</v>
      </c>
      <c r="D7" s="9" t="s">
        <v>225</v>
      </c>
      <c r="E7" s="7" t="s">
        <v>51</v>
      </c>
      <c r="F7" s="7" t="s">
        <v>209</v>
      </c>
      <c r="G7" s="7" t="s">
        <v>5</v>
      </c>
      <c r="H7" s="7" t="s">
        <v>210</v>
      </c>
      <c r="I7" s="46">
        <v>46240</v>
      </c>
      <c r="J7" s="1" t="s">
        <v>266</v>
      </c>
      <c r="K7" s="1"/>
      <c r="L7" s="1"/>
      <c r="M7" s="1"/>
      <c r="N7" s="1" t="s">
        <v>267</v>
      </c>
      <c r="O7" s="1" t="s">
        <v>268</v>
      </c>
      <c r="Q7" s="46">
        <v>46163</v>
      </c>
      <c r="R7" s="1" t="s">
        <v>266</v>
      </c>
      <c r="S7" s="1"/>
      <c r="T7" s="1"/>
      <c r="U7" s="1" t="s">
        <v>267</v>
      </c>
      <c r="V7" s="1"/>
      <c r="W7" s="1" t="s">
        <v>529</v>
      </c>
    </row>
    <row r="8" spans="1:23" x14ac:dyDescent="0.25">
      <c r="A8" s="6" t="s">
        <v>49</v>
      </c>
      <c r="B8" s="8" t="s">
        <v>784</v>
      </c>
      <c r="C8" s="6" t="s">
        <v>61</v>
      </c>
      <c r="D8" s="8" t="s">
        <v>225</v>
      </c>
      <c r="E8" s="6" t="s">
        <v>51</v>
      </c>
      <c r="F8" s="6" t="s">
        <v>209</v>
      </c>
      <c r="G8" s="6" t="s">
        <v>5</v>
      </c>
      <c r="H8" s="6" t="s">
        <v>210</v>
      </c>
      <c r="I8" s="45">
        <v>46240</v>
      </c>
      <c r="J8" s="6" t="s">
        <v>266</v>
      </c>
      <c r="K8" s="6"/>
      <c r="L8" s="6"/>
      <c r="M8" s="6"/>
      <c r="N8" s="6" t="s">
        <v>267</v>
      </c>
      <c r="O8" s="6" t="s">
        <v>268</v>
      </c>
      <c r="Q8" s="45">
        <v>46163</v>
      </c>
      <c r="R8" s="6" t="s">
        <v>266</v>
      </c>
      <c r="S8" s="6"/>
      <c r="T8" s="6"/>
      <c r="U8" s="6" t="s">
        <v>267</v>
      </c>
      <c r="V8" s="6"/>
      <c r="W8" s="6" t="s">
        <v>529</v>
      </c>
    </row>
    <row r="9" spans="1:23" x14ac:dyDescent="0.25">
      <c r="A9" s="7" t="s">
        <v>49</v>
      </c>
      <c r="B9" s="9" t="s">
        <v>785</v>
      </c>
      <c r="C9" s="13" t="s">
        <v>64</v>
      </c>
      <c r="D9" s="9" t="s">
        <v>225</v>
      </c>
      <c r="E9" s="7" t="s">
        <v>51</v>
      </c>
      <c r="F9" s="7" t="s">
        <v>209</v>
      </c>
      <c r="G9" s="7" t="s">
        <v>5</v>
      </c>
      <c r="H9" s="7" t="s">
        <v>210</v>
      </c>
      <c r="I9" s="46">
        <v>46240</v>
      </c>
      <c r="J9" s="1" t="s">
        <v>266</v>
      </c>
      <c r="K9" s="1"/>
      <c r="L9" s="1"/>
      <c r="M9" s="1"/>
      <c r="N9" s="1" t="s">
        <v>267</v>
      </c>
      <c r="O9" s="1" t="s">
        <v>268</v>
      </c>
      <c r="Q9" s="46">
        <v>46163</v>
      </c>
      <c r="R9" s="1" t="s">
        <v>266</v>
      </c>
      <c r="S9" s="1"/>
      <c r="T9" s="1"/>
      <c r="U9" s="1" t="s">
        <v>267</v>
      </c>
      <c r="V9" s="1"/>
      <c r="W9" s="1" t="s">
        <v>529</v>
      </c>
    </row>
    <row r="10" spans="1:23" x14ac:dyDescent="0.25">
      <c r="A10" s="6" t="s">
        <v>49</v>
      </c>
      <c r="B10" s="8" t="s">
        <v>786</v>
      </c>
      <c r="C10" s="6" t="s">
        <v>77</v>
      </c>
      <c r="D10" s="8" t="s">
        <v>215</v>
      </c>
      <c r="E10" s="6" t="s">
        <v>48</v>
      </c>
      <c r="F10" s="6" t="s">
        <v>216</v>
      </c>
      <c r="G10" s="6" t="s">
        <v>6</v>
      </c>
      <c r="H10" s="6" t="s">
        <v>210</v>
      </c>
      <c r="I10" s="45">
        <v>46240</v>
      </c>
      <c r="J10" s="6" t="s">
        <v>266</v>
      </c>
      <c r="K10" s="6"/>
      <c r="L10" s="6" t="s">
        <v>267</v>
      </c>
      <c r="M10" s="6"/>
      <c r="N10" s="6"/>
      <c r="O10" s="6" t="s">
        <v>268</v>
      </c>
      <c r="Q10" s="45">
        <v>46163</v>
      </c>
      <c r="R10" s="6" t="s">
        <v>266</v>
      </c>
      <c r="S10" s="6" t="s">
        <v>267</v>
      </c>
      <c r="T10" s="6"/>
      <c r="U10" s="6"/>
      <c r="V10" s="6"/>
      <c r="W10" s="6" t="s">
        <v>529</v>
      </c>
    </row>
    <row r="11" spans="1:23" x14ac:dyDescent="0.25">
      <c r="A11" s="7" t="s">
        <v>49</v>
      </c>
      <c r="B11" s="9" t="s">
        <v>787</v>
      </c>
      <c r="C11" s="13" t="s">
        <v>50</v>
      </c>
      <c r="D11" s="9" t="s">
        <v>225</v>
      </c>
      <c r="E11" s="7" t="s">
        <v>51</v>
      </c>
      <c r="F11" s="7" t="s">
        <v>209</v>
      </c>
      <c r="G11" s="7" t="s">
        <v>5</v>
      </c>
      <c r="H11" s="7" t="s">
        <v>210</v>
      </c>
      <c r="I11" s="46">
        <v>46240</v>
      </c>
      <c r="J11" s="1" t="s">
        <v>266</v>
      </c>
      <c r="K11" s="1"/>
      <c r="L11" s="1" t="s">
        <v>267</v>
      </c>
      <c r="M11" s="1"/>
      <c r="N11" s="1"/>
      <c r="O11" s="1" t="s">
        <v>268</v>
      </c>
      <c r="Q11" s="46">
        <v>46163</v>
      </c>
      <c r="R11" s="1" t="s">
        <v>266</v>
      </c>
      <c r="S11" s="1"/>
      <c r="T11" s="1"/>
      <c r="U11" s="1" t="s">
        <v>267</v>
      </c>
      <c r="V11" s="1"/>
      <c r="W11" s="1" t="s">
        <v>529</v>
      </c>
    </row>
    <row r="12" spans="1:23" x14ac:dyDescent="0.25">
      <c r="A12" s="6" t="s">
        <v>49</v>
      </c>
      <c r="B12" s="8" t="s">
        <v>57</v>
      </c>
      <c r="C12" s="6" t="s">
        <v>53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45">
        <v>46240</v>
      </c>
      <c r="J12" s="6" t="s">
        <v>266</v>
      </c>
      <c r="K12" s="6"/>
      <c r="L12" s="6"/>
      <c r="M12" s="6" t="s">
        <v>267</v>
      </c>
      <c r="N12" s="6"/>
      <c r="O12" s="6" t="s">
        <v>268</v>
      </c>
      <c r="Q12" s="45">
        <v>46163</v>
      </c>
      <c r="R12" s="6" t="s">
        <v>266</v>
      </c>
      <c r="S12" s="6" t="s">
        <v>267</v>
      </c>
      <c r="T12" s="6"/>
      <c r="U12" s="6"/>
      <c r="V12" s="6"/>
      <c r="W12" s="6" t="s">
        <v>529</v>
      </c>
    </row>
    <row r="13" spans="1:23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6">
        <v>46240</v>
      </c>
      <c r="J13" s="1" t="s">
        <v>273</v>
      </c>
      <c r="K13" s="1"/>
      <c r="L13" s="1"/>
      <c r="M13" s="1"/>
      <c r="N13" s="1" t="s">
        <v>267</v>
      </c>
      <c r="O13" s="1" t="s">
        <v>268</v>
      </c>
      <c r="Q13" s="46">
        <v>46163</v>
      </c>
      <c r="R13" s="1" t="s">
        <v>266</v>
      </c>
      <c r="S13" s="1" t="s">
        <v>267</v>
      </c>
      <c r="T13" s="1"/>
      <c r="U13" s="1"/>
      <c r="V13" s="1"/>
      <c r="W13" s="1" t="s">
        <v>529</v>
      </c>
    </row>
    <row r="14" spans="1:23" x14ac:dyDescent="0.25">
      <c r="A14" s="6" t="s">
        <v>49</v>
      </c>
      <c r="B14" s="8" t="s">
        <v>57</v>
      </c>
      <c r="C14" s="6" t="s">
        <v>56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45">
        <v>46240</v>
      </c>
      <c r="J14" s="6" t="s">
        <v>273</v>
      </c>
      <c r="K14" s="6"/>
      <c r="L14" s="6"/>
      <c r="M14" s="6"/>
      <c r="N14" s="6" t="s">
        <v>267</v>
      </c>
      <c r="O14" s="6" t="s">
        <v>268</v>
      </c>
      <c r="Q14" s="45">
        <v>46163</v>
      </c>
      <c r="R14" s="6" t="s">
        <v>266</v>
      </c>
      <c r="S14" s="6" t="s">
        <v>267</v>
      </c>
      <c r="T14" s="6"/>
      <c r="U14" s="6"/>
      <c r="V14" s="6"/>
      <c r="W14" s="6" t="s">
        <v>529</v>
      </c>
    </row>
    <row r="15" spans="1:23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6">
        <v>46240</v>
      </c>
      <c r="J15" s="1" t="s">
        <v>273</v>
      </c>
      <c r="K15" s="1"/>
      <c r="L15" s="1"/>
      <c r="M15" s="1" t="s">
        <v>267</v>
      </c>
      <c r="N15" s="1"/>
      <c r="O15" s="1" t="s">
        <v>268</v>
      </c>
      <c r="Q15" s="46">
        <v>46163</v>
      </c>
      <c r="R15" s="1" t="s">
        <v>273</v>
      </c>
      <c r="S15" s="1"/>
      <c r="T15" s="1"/>
      <c r="U15" s="1"/>
      <c r="V15" s="1"/>
      <c r="W15" s="1"/>
    </row>
    <row r="16" spans="1:23" x14ac:dyDescent="0.25">
      <c r="A16" s="6" t="s">
        <v>49</v>
      </c>
      <c r="B16" s="8" t="s">
        <v>788</v>
      </c>
      <c r="C16" s="6" t="s">
        <v>129</v>
      </c>
      <c r="D16" s="8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45">
        <v>46240</v>
      </c>
      <c r="J16" s="6" t="s">
        <v>266</v>
      </c>
      <c r="K16" s="6"/>
      <c r="L16" s="6"/>
      <c r="M16" s="6"/>
      <c r="N16" s="6" t="s">
        <v>267</v>
      </c>
      <c r="O16" s="6" t="s">
        <v>268</v>
      </c>
      <c r="Q16" s="45">
        <v>46163</v>
      </c>
      <c r="R16" s="6" t="s">
        <v>266</v>
      </c>
      <c r="S16" s="6" t="s">
        <v>267</v>
      </c>
      <c r="T16" s="6"/>
      <c r="U16" s="6"/>
      <c r="V16" s="6"/>
      <c r="W16" s="6" t="s">
        <v>529</v>
      </c>
    </row>
    <row r="17" spans="1:23" x14ac:dyDescent="0.25">
      <c r="A17" s="7" t="s">
        <v>49</v>
      </c>
      <c r="B17" s="9" t="s">
        <v>789</v>
      </c>
      <c r="C17" s="13" t="s">
        <v>72</v>
      </c>
      <c r="D17" s="9" t="s">
        <v>225</v>
      </c>
      <c r="E17" s="7" t="s">
        <v>51</v>
      </c>
      <c r="F17" s="7" t="s">
        <v>209</v>
      </c>
      <c r="G17" s="7" t="s">
        <v>5</v>
      </c>
      <c r="H17" s="7" t="s">
        <v>210</v>
      </c>
      <c r="I17" s="46">
        <v>46240</v>
      </c>
      <c r="J17" s="1" t="s">
        <v>266</v>
      </c>
      <c r="K17" s="1"/>
      <c r="L17" s="1" t="s">
        <v>267</v>
      </c>
      <c r="M17" s="1"/>
      <c r="N17" s="1"/>
      <c r="O17" s="1" t="s">
        <v>268</v>
      </c>
      <c r="Q17" s="46">
        <v>46163</v>
      </c>
      <c r="R17" s="1" t="s">
        <v>266</v>
      </c>
      <c r="S17" s="1" t="s">
        <v>267</v>
      </c>
      <c r="T17" s="1"/>
      <c r="U17" s="1"/>
      <c r="V17" s="1"/>
      <c r="W17" s="1" t="s">
        <v>529</v>
      </c>
    </row>
    <row r="18" spans="1:23" x14ac:dyDescent="0.25">
      <c r="A18" s="6" t="s">
        <v>68</v>
      </c>
      <c r="B18" s="8" t="s">
        <v>790</v>
      </c>
      <c r="C18" s="6" t="s">
        <v>125</v>
      </c>
      <c r="D18" s="8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45">
        <v>46240</v>
      </c>
      <c r="J18" s="6" t="s">
        <v>273</v>
      </c>
      <c r="K18" s="6"/>
      <c r="L18" s="6"/>
      <c r="M18" s="6"/>
      <c r="N18" s="6" t="s">
        <v>267</v>
      </c>
      <c r="O18" s="6" t="s">
        <v>309</v>
      </c>
      <c r="Q18" s="45">
        <v>46163</v>
      </c>
      <c r="R18" s="6" t="s">
        <v>273</v>
      </c>
      <c r="S18" s="6"/>
      <c r="T18" s="6"/>
      <c r="U18" s="6"/>
      <c r="V18" s="6" t="s">
        <v>267</v>
      </c>
      <c r="W18" s="6" t="s">
        <v>341</v>
      </c>
    </row>
    <row r="19" spans="1:23" x14ac:dyDescent="0.25">
      <c r="A19" s="7" t="s">
        <v>68</v>
      </c>
      <c r="B19" s="9" t="s">
        <v>791</v>
      </c>
      <c r="C19" s="13" t="s">
        <v>144</v>
      </c>
      <c r="D19" s="9" t="s">
        <v>240</v>
      </c>
      <c r="E19" s="7" t="s">
        <v>86</v>
      </c>
      <c r="F19" s="7" t="s">
        <v>241</v>
      </c>
      <c r="G19" s="7" t="s">
        <v>5</v>
      </c>
      <c r="H19" s="7" t="s">
        <v>210</v>
      </c>
      <c r="I19" s="46">
        <v>46240</v>
      </c>
      <c r="J19" s="1" t="s">
        <v>266</v>
      </c>
      <c r="K19" s="1"/>
      <c r="L19" s="1"/>
      <c r="M19" s="1"/>
      <c r="N19" s="1" t="s">
        <v>267</v>
      </c>
      <c r="O19" s="1" t="s">
        <v>309</v>
      </c>
      <c r="Q19" s="46">
        <v>46163</v>
      </c>
      <c r="R19" s="1" t="s">
        <v>266</v>
      </c>
      <c r="S19" s="1"/>
      <c r="T19" s="1"/>
      <c r="U19" s="1"/>
      <c r="V19" s="1" t="s">
        <v>267</v>
      </c>
      <c r="W19" s="1" t="s">
        <v>341</v>
      </c>
    </row>
    <row r="20" spans="1:23" x14ac:dyDescent="0.25">
      <c r="A20" s="6" t="s">
        <v>68</v>
      </c>
      <c r="B20" s="8" t="s">
        <v>792</v>
      </c>
      <c r="C20" s="6" t="s">
        <v>106</v>
      </c>
      <c r="D20" s="8" t="s">
        <v>240</v>
      </c>
      <c r="E20" s="6" t="s">
        <v>86</v>
      </c>
      <c r="F20" s="6" t="s">
        <v>241</v>
      </c>
      <c r="G20" s="6" t="s">
        <v>5</v>
      </c>
      <c r="H20" s="6" t="s">
        <v>218</v>
      </c>
      <c r="I20" s="45">
        <v>46240</v>
      </c>
      <c r="J20" s="6" t="s">
        <v>273</v>
      </c>
      <c r="K20" s="6"/>
      <c r="L20" s="6"/>
      <c r="M20" s="6"/>
      <c r="N20" s="6" t="s">
        <v>267</v>
      </c>
      <c r="O20" s="6" t="s">
        <v>309</v>
      </c>
      <c r="Q20" s="45">
        <v>46163</v>
      </c>
      <c r="R20" s="6" t="s">
        <v>273</v>
      </c>
      <c r="S20" s="6"/>
      <c r="T20" s="6"/>
      <c r="U20" s="6"/>
      <c r="V20" s="6" t="s">
        <v>267</v>
      </c>
      <c r="W20" s="6" t="s">
        <v>341</v>
      </c>
    </row>
    <row r="21" spans="1:23" x14ac:dyDescent="0.25">
      <c r="A21" s="7" t="s">
        <v>68</v>
      </c>
      <c r="B21" s="9" t="s">
        <v>793</v>
      </c>
      <c r="C21" s="13" t="s">
        <v>115</v>
      </c>
      <c r="D21" s="9" t="s">
        <v>225</v>
      </c>
      <c r="E21" s="7" t="s">
        <v>51</v>
      </c>
      <c r="F21" s="7" t="s">
        <v>209</v>
      </c>
      <c r="G21" s="7" t="s">
        <v>5</v>
      </c>
      <c r="H21" s="7" t="s">
        <v>210</v>
      </c>
      <c r="I21" s="46">
        <v>46241</v>
      </c>
      <c r="J21" s="1" t="s">
        <v>266</v>
      </c>
      <c r="K21" s="1"/>
      <c r="L21" s="1"/>
      <c r="M21" s="1"/>
      <c r="N21" s="1" t="s">
        <v>267</v>
      </c>
      <c r="O21" s="1" t="s">
        <v>309</v>
      </c>
      <c r="Q21" s="46">
        <v>46163</v>
      </c>
      <c r="R21" s="1" t="s">
        <v>266</v>
      </c>
      <c r="S21" s="1"/>
      <c r="T21" s="1"/>
      <c r="U21" s="1"/>
      <c r="V21" s="1" t="s">
        <v>267</v>
      </c>
      <c r="W21" s="1" t="s">
        <v>341</v>
      </c>
    </row>
    <row r="22" spans="1:23" x14ac:dyDescent="0.25">
      <c r="A22" s="6" t="s">
        <v>68</v>
      </c>
      <c r="B22" s="8" t="s">
        <v>794</v>
      </c>
      <c r="C22" s="6" t="s">
        <v>135</v>
      </c>
      <c r="D22" s="8" t="s">
        <v>225</v>
      </c>
      <c r="E22" s="6" t="s">
        <v>51</v>
      </c>
      <c r="F22" s="6" t="s">
        <v>209</v>
      </c>
      <c r="G22" s="6" t="s">
        <v>5</v>
      </c>
      <c r="H22" s="6" t="s">
        <v>210</v>
      </c>
      <c r="I22" s="45">
        <v>46241</v>
      </c>
      <c r="J22" s="6" t="s">
        <v>266</v>
      </c>
      <c r="K22" s="6"/>
      <c r="L22" s="6"/>
      <c r="M22" s="6"/>
      <c r="N22" s="6" t="s">
        <v>267</v>
      </c>
      <c r="O22" s="6" t="s">
        <v>309</v>
      </c>
      <c r="Q22" s="45">
        <v>46163</v>
      </c>
      <c r="R22" s="6" t="s">
        <v>266</v>
      </c>
      <c r="S22" s="6"/>
      <c r="T22" s="6"/>
      <c r="U22" s="6"/>
      <c r="V22" s="6" t="s">
        <v>267</v>
      </c>
      <c r="W22" s="6" t="s">
        <v>341</v>
      </c>
    </row>
    <row r="23" spans="1:23" x14ac:dyDescent="0.25">
      <c r="A23" s="7" t="s">
        <v>68</v>
      </c>
      <c r="B23" s="9" t="s">
        <v>795</v>
      </c>
      <c r="C23" s="13" t="s">
        <v>103</v>
      </c>
      <c r="D23" s="9" t="s">
        <v>225</v>
      </c>
      <c r="E23" s="7" t="s">
        <v>51</v>
      </c>
      <c r="F23" s="7" t="s">
        <v>209</v>
      </c>
      <c r="G23" s="7" t="s">
        <v>5</v>
      </c>
      <c r="H23" s="7" t="s">
        <v>218</v>
      </c>
      <c r="I23" s="46">
        <v>46240</v>
      </c>
      <c r="J23" s="1" t="s">
        <v>273</v>
      </c>
      <c r="K23" s="1"/>
      <c r="L23" s="1"/>
      <c r="M23" s="1"/>
      <c r="N23" s="1" t="s">
        <v>267</v>
      </c>
      <c r="O23" s="1" t="s">
        <v>309</v>
      </c>
      <c r="Q23" s="46">
        <v>46163</v>
      </c>
      <c r="R23" s="1" t="s">
        <v>266</v>
      </c>
      <c r="S23" s="1"/>
      <c r="T23" s="1"/>
      <c r="U23" s="1"/>
      <c r="V23" s="1" t="s">
        <v>267</v>
      </c>
      <c r="W23" s="1" t="s">
        <v>341</v>
      </c>
    </row>
    <row r="24" spans="1:23" x14ac:dyDescent="0.25">
      <c r="A24" s="6" t="s">
        <v>68</v>
      </c>
      <c r="B24" s="8" t="s">
        <v>796</v>
      </c>
      <c r="C24" s="6" t="s">
        <v>119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45">
        <v>46240</v>
      </c>
      <c r="J24" s="6" t="s">
        <v>273</v>
      </c>
      <c r="K24" s="6"/>
      <c r="L24" s="6"/>
      <c r="M24" s="6"/>
      <c r="N24" s="6" t="s">
        <v>267</v>
      </c>
      <c r="O24" s="6" t="s">
        <v>309</v>
      </c>
      <c r="Q24" s="45">
        <v>46163</v>
      </c>
      <c r="R24" s="6" t="s">
        <v>273</v>
      </c>
      <c r="S24" s="6"/>
      <c r="T24" s="6"/>
      <c r="U24" s="6"/>
      <c r="V24" s="6" t="s">
        <v>267</v>
      </c>
      <c r="W24" s="6" t="s">
        <v>341</v>
      </c>
    </row>
    <row r="25" spans="1:23" x14ac:dyDescent="0.25">
      <c r="A25" s="7" t="s">
        <v>68</v>
      </c>
      <c r="B25" s="9" t="s">
        <v>797</v>
      </c>
      <c r="C25" s="13" t="s">
        <v>137</v>
      </c>
      <c r="D25" s="9" t="s">
        <v>240</v>
      </c>
      <c r="E25" s="7" t="s">
        <v>86</v>
      </c>
      <c r="F25" s="7" t="s">
        <v>241</v>
      </c>
      <c r="G25" s="7" t="s">
        <v>5</v>
      </c>
      <c r="H25" s="7" t="s">
        <v>210</v>
      </c>
      <c r="I25" s="46">
        <v>46240</v>
      </c>
      <c r="J25" s="1" t="s">
        <v>266</v>
      </c>
      <c r="K25" s="1"/>
      <c r="L25" s="1"/>
      <c r="M25" s="1"/>
      <c r="N25" s="1" t="s">
        <v>267</v>
      </c>
      <c r="O25" s="1" t="s">
        <v>309</v>
      </c>
      <c r="Q25" s="46">
        <v>46163</v>
      </c>
      <c r="R25" s="1" t="s">
        <v>266</v>
      </c>
      <c r="S25" s="1"/>
      <c r="T25" s="1"/>
      <c r="U25" s="1"/>
      <c r="V25" s="1" t="s">
        <v>267</v>
      </c>
      <c r="W25" s="1" t="s">
        <v>341</v>
      </c>
    </row>
    <row r="26" spans="1:23" x14ac:dyDescent="0.25">
      <c r="A26" s="6" t="s">
        <v>68</v>
      </c>
      <c r="B26" s="8" t="s">
        <v>798</v>
      </c>
      <c r="C26" s="6" t="s">
        <v>85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218</v>
      </c>
      <c r="I26" s="45">
        <v>46240</v>
      </c>
      <c r="J26" s="6" t="s">
        <v>273</v>
      </c>
      <c r="K26" s="6"/>
      <c r="L26" s="6"/>
      <c r="M26" s="6" t="s">
        <v>267</v>
      </c>
      <c r="N26" s="6"/>
      <c r="O26" s="6" t="s">
        <v>309</v>
      </c>
      <c r="Q26" s="45">
        <v>46163</v>
      </c>
      <c r="R26" s="6" t="s">
        <v>273</v>
      </c>
      <c r="S26" s="6"/>
      <c r="T26" s="6"/>
      <c r="U26" s="6"/>
      <c r="V26" s="6" t="s">
        <v>267</v>
      </c>
      <c r="W26" s="6" t="s">
        <v>341</v>
      </c>
    </row>
    <row r="27" spans="1:23" x14ac:dyDescent="0.25">
      <c r="A27" s="7" t="s">
        <v>68</v>
      </c>
      <c r="B27" s="9" t="s">
        <v>799</v>
      </c>
      <c r="C27" s="13" t="s">
        <v>122</v>
      </c>
      <c r="D27" s="9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6">
        <v>46240</v>
      </c>
      <c r="J27" s="1" t="s">
        <v>273</v>
      </c>
      <c r="K27" s="1"/>
      <c r="L27" s="1"/>
      <c r="M27" s="1" t="s">
        <v>267</v>
      </c>
      <c r="N27" s="1"/>
      <c r="O27" s="1" t="s">
        <v>309</v>
      </c>
      <c r="Q27" s="46">
        <v>46163</v>
      </c>
      <c r="R27" s="1" t="s">
        <v>273</v>
      </c>
      <c r="S27" s="1"/>
      <c r="T27" s="1"/>
      <c r="U27" s="1"/>
      <c r="V27" s="1" t="s">
        <v>267</v>
      </c>
      <c r="W27" s="1" t="s">
        <v>341</v>
      </c>
    </row>
    <row r="28" spans="1:23" x14ac:dyDescent="0.25">
      <c r="A28" s="6" t="s">
        <v>68</v>
      </c>
      <c r="B28" s="8" t="s">
        <v>800</v>
      </c>
      <c r="C28" s="6" t="s">
        <v>140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210</v>
      </c>
      <c r="I28" s="45">
        <v>46240</v>
      </c>
      <c r="J28" s="6" t="s">
        <v>266</v>
      </c>
      <c r="K28" s="6"/>
      <c r="L28" s="6"/>
      <c r="M28" s="6"/>
      <c r="N28" s="6" t="s">
        <v>267</v>
      </c>
      <c r="O28" s="6" t="s">
        <v>309</v>
      </c>
      <c r="Q28" s="45">
        <v>46163</v>
      </c>
      <c r="R28" s="6" t="s">
        <v>266</v>
      </c>
      <c r="S28" s="6"/>
      <c r="T28" s="6"/>
      <c r="U28" s="6"/>
      <c r="V28" s="6" t="s">
        <v>267</v>
      </c>
      <c r="W28" s="6" t="s">
        <v>341</v>
      </c>
    </row>
    <row r="29" spans="1:23" x14ac:dyDescent="0.25">
      <c r="A29" s="7" t="s">
        <v>68</v>
      </c>
      <c r="B29" s="9" t="s">
        <v>801</v>
      </c>
      <c r="C29" s="13" t="s">
        <v>90</v>
      </c>
      <c r="D29" s="9" t="s">
        <v>240</v>
      </c>
      <c r="E29" s="7" t="s">
        <v>86</v>
      </c>
      <c r="F29" s="7" t="s">
        <v>241</v>
      </c>
      <c r="G29" s="7" t="s">
        <v>5</v>
      </c>
      <c r="H29" s="7" t="s">
        <v>218</v>
      </c>
      <c r="I29" s="46">
        <v>46240</v>
      </c>
      <c r="J29" s="1" t="s">
        <v>273</v>
      </c>
      <c r="K29" s="1"/>
      <c r="L29" s="1"/>
      <c r="M29" s="1"/>
      <c r="N29" s="1" t="s">
        <v>267</v>
      </c>
      <c r="O29" s="1" t="s">
        <v>309</v>
      </c>
      <c r="Q29" s="46">
        <v>46163</v>
      </c>
      <c r="R29" s="1" t="s">
        <v>273</v>
      </c>
      <c r="S29" s="1"/>
      <c r="T29" s="1"/>
      <c r="U29" s="1"/>
      <c r="V29" s="1" t="s">
        <v>267</v>
      </c>
      <c r="W29" s="1" t="s">
        <v>341</v>
      </c>
    </row>
    <row r="30" spans="1:23" x14ac:dyDescent="0.25">
      <c r="A30" s="6" t="s">
        <v>68</v>
      </c>
      <c r="B30" s="8" t="s">
        <v>802</v>
      </c>
      <c r="C30" s="6" t="s">
        <v>93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45">
        <v>46241</v>
      </c>
      <c r="J30" s="6" t="s">
        <v>273</v>
      </c>
      <c r="K30" s="6"/>
      <c r="L30" s="6"/>
      <c r="M30" s="6"/>
      <c r="N30" s="6" t="s">
        <v>267</v>
      </c>
      <c r="O30" s="6" t="s">
        <v>309</v>
      </c>
      <c r="Q30" s="45">
        <v>46163</v>
      </c>
      <c r="R30" s="6" t="s">
        <v>266</v>
      </c>
      <c r="S30" s="6"/>
      <c r="T30" s="6"/>
      <c r="U30" s="6"/>
      <c r="V30" s="6" t="s">
        <v>267</v>
      </c>
      <c r="W30" s="6" t="s">
        <v>341</v>
      </c>
    </row>
    <row r="31" spans="1:23" x14ac:dyDescent="0.25">
      <c r="A31" s="7" t="s">
        <v>68</v>
      </c>
      <c r="B31" s="9" t="s">
        <v>803</v>
      </c>
      <c r="C31" s="13" t="s">
        <v>97</v>
      </c>
      <c r="D31" s="9" t="s">
        <v>240</v>
      </c>
      <c r="E31" s="7" t="s">
        <v>86</v>
      </c>
      <c r="F31" s="7" t="s">
        <v>241</v>
      </c>
      <c r="G31" s="7" t="s">
        <v>5</v>
      </c>
      <c r="H31" s="7" t="s">
        <v>210</v>
      </c>
      <c r="I31" s="46">
        <v>46241</v>
      </c>
      <c r="J31" s="1" t="s">
        <v>266</v>
      </c>
      <c r="K31" s="1"/>
      <c r="L31" s="1"/>
      <c r="M31" s="1"/>
      <c r="N31" s="1" t="s">
        <v>267</v>
      </c>
      <c r="O31" s="1" t="s">
        <v>309</v>
      </c>
      <c r="Q31" s="46">
        <v>46163</v>
      </c>
      <c r="R31" s="1" t="s">
        <v>273</v>
      </c>
      <c r="S31" s="1"/>
      <c r="T31" s="1"/>
      <c r="U31" s="1"/>
      <c r="V31" s="1" t="s">
        <v>267</v>
      </c>
      <c r="W31" s="1" t="s">
        <v>341</v>
      </c>
    </row>
    <row r="32" spans="1:23" x14ac:dyDescent="0.25">
      <c r="A32" s="6" t="s">
        <v>68</v>
      </c>
      <c r="B32" s="8" t="s">
        <v>804</v>
      </c>
      <c r="C32" s="6" t="s">
        <v>100</v>
      </c>
      <c r="D32" s="8" t="s">
        <v>240</v>
      </c>
      <c r="E32" s="6" t="s">
        <v>86</v>
      </c>
      <c r="F32" s="6" t="s">
        <v>241</v>
      </c>
      <c r="G32" s="6" t="s">
        <v>5</v>
      </c>
      <c r="H32" s="6" t="s">
        <v>218</v>
      </c>
      <c r="I32" s="45">
        <v>46241</v>
      </c>
      <c r="J32" s="6" t="s">
        <v>273</v>
      </c>
      <c r="K32" s="6"/>
      <c r="L32" s="6"/>
      <c r="M32" s="6"/>
      <c r="N32" s="6" t="s">
        <v>267</v>
      </c>
      <c r="O32" s="6" t="s">
        <v>309</v>
      </c>
      <c r="Q32" s="45">
        <v>46163</v>
      </c>
      <c r="R32" s="6" t="s">
        <v>273</v>
      </c>
      <c r="S32" s="6"/>
      <c r="T32" s="6"/>
      <c r="U32" s="6"/>
      <c r="V32" s="6" t="s">
        <v>267</v>
      </c>
      <c r="W32" s="6" t="s">
        <v>341</v>
      </c>
    </row>
    <row r="33" spans="1:23" x14ac:dyDescent="0.25">
      <c r="A33" s="7" t="s">
        <v>68</v>
      </c>
      <c r="B33" s="9" t="s">
        <v>57</v>
      </c>
      <c r="C33" s="13" t="s">
        <v>69</v>
      </c>
      <c r="D33" s="9" t="s">
        <v>208</v>
      </c>
      <c r="E33" s="7" t="s">
        <v>51</v>
      </c>
      <c r="F33" s="7" t="s">
        <v>209</v>
      </c>
      <c r="G33" s="7" t="s">
        <v>5</v>
      </c>
      <c r="H33" s="7" t="s">
        <v>210</v>
      </c>
      <c r="I33" s="46">
        <v>46240</v>
      </c>
      <c r="J33" s="1" t="s">
        <v>266</v>
      </c>
      <c r="K33" s="1"/>
      <c r="L33" s="1"/>
      <c r="M33" s="1"/>
      <c r="N33" s="1" t="s">
        <v>267</v>
      </c>
      <c r="O33" s="1" t="s">
        <v>268</v>
      </c>
      <c r="Q33" s="46">
        <v>46163</v>
      </c>
      <c r="R33" s="1" t="s">
        <v>266</v>
      </c>
      <c r="S33" s="1"/>
      <c r="T33" s="1"/>
      <c r="U33" s="1" t="s">
        <v>267</v>
      </c>
      <c r="V33" s="1"/>
      <c r="W33" s="1" t="s">
        <v>529</v>
      </c>
    </row>
    <row r="34" spans="1:23" x14ac:dyDescent="0.25">
      <c r="A34" s="6" t="s">
        <v>68</v>
      </c>
      <c r="B34" s="8" t="s">
        <v>57</v>
      </c>
      <c r="C34" s="6" t="s">
        <v>151</v>
      </c>
      <c r="D34" s="8" t="s">
        <v>208</v>
      </c>
      <c r="E34" s="6" t="s">
        <v>51</v>
      </c>
      <c r="F34" s="6" t="s">
        <v>209</v>
      </c>
      <c r="G34" s="6" t="s">
        <v>5</v>
      </c>
      <c r="H34" s="6" t="s">
        <v>210</v>
      </c>
      <c r="I34" s="45">
        <v>46240</v>
      </c>
      <c r="J34" s="6" t="s">
        <v>266</v>
      </c>
      <c r="K34" s="6"/>
      <c r="L34" s="6"/>
      <c r="M34" s="6"/>
      <c r="N34" s="6" t="s">
        <v>267</v>
      </c>
      <c r="O34" s="6" t="s">
        <v>268</v>
      </c>
      <c r="Q34" s="45">
        <v>46163</v>
      </c>
      <c r="R34" s="6" t="s">
        <v>266</v>
      </c>
      <c r="S34" s="6"/>
      <c r="T34" s="6"/>
      <c r="U34" s="6" t="s">
        <v>267</v>
      </c>
      <c r="V34" s="6"/>
      <c r="W34" s="6" t="s">
        <v>529</v>
      </c>
    </row>
    <row r="35" spans="1:23" x14ac:dyDescent="0.25">
      <c r="A35" s="7" t="s">
        <v>68</v>
      </c>
      <c r="B35" s="9" t="s">
        <v>57</v>
      </c>
      <c r="C35" s="13" t="s">
        <v>112</v>
      </c>
      <c r="D35" s="9" t="s">
        <v>402</v>
      </c>
      <c r="E35" s="7" t="s">
        <v>48</v>
      </c>
      <c r="F35" s="7" t="s">
        <v>216</v>
      </c>
      <c r="G35" s="7" t="s">
        <v>5</v>
      </c>
      <c r="H35" s="7" t="s">
        <v>210</v>
      </c>
      <c r="I35" s="46">
        <v>46240</v>
      </c>
      <c r="J35" s="1" t="s">
        <v>266</v>
      </c>
      <c r="K35" s="1"/>
      <c r="L35" s="1"/>
      <c r="M35" s="1"/>
      <c r="N35" s="1" t="s">
        <v>267</v>
      </c>
      <c r="O35" s="1" t="s">
        <v>268</v>
      </c>
      <c r="Q35" s="46">
        <v>46163</v>
      </c>
      <c r="R35" s="1" t="s">
        <v>266</v>
      </c>
      <c r="S35" s="1" t="s">
        <v>267</v>
      </c>
      <c r="T35" s="1"/>
      <c r="U35" s="1"/>
      <c r="V35" s="1"/>
      <c r="W35" s="1" t="s">
        <v>529</v>
      </c>
    </row>
    <row r="36" spans="1:23" x14ac:dyDescent="0.25">
      <c r="A36" s="6" t="s">
        <v>68</v>
      </c>
      <c r="B36" s="8" t="s">
        <v>57</v>
      </c>
      <c r="C36" s="6" t="s">
        <v>109</v>
      </c>
      <c r="D36" s="8" t="s">
        <v>215</v>
      </c>
      <c r="E36" s="6" t="s">
        <v>48</v>
      </c>
      <c r="F36" s="6" t="s">
        <v>216</v>
      </c>
      <c r="G36" s="6" t="s">
        <v>5</v>
      </c>
      <c r="H36" s="6" t="s">
        <v>218</v>
      </c>
      <c r="I36" s="45">
        <v>46240</v>
      </c>
      <c r="J36" s="6" t="s">
        <v>273</v>
      </c>
      <c r="K36" s="6"/>
      <c r="L36" s="6"/>
      <c r="M36" s="6" t="s">
        <v>267</v>
      </c>
      <c r="N36" s="6"/>
      <c r="O36" s="6" t="s">
        <v>268</v>
      </c>
      <c r="Q36" s="45">
        <v>46163</v>
      </c>
      <c r="R36" s="6" t="s">
        <v>266</v>
      </c>
      <c r="S36" s="6" t="s">
        <v>267</v>
      </c>
      <c r="T36" s="6"/>
      <c r="U36" s="6"/>
      <c r="V36" s="6"/>
      <c r="W36" s="6" t="s">
        <v>529</v>
      </c>
    </row>
    <row r="37" spans="1:23" x14ac:dyDescent="0.25">
      <c r="A37" s="7" t="s">
        <v>68</v>
      </c>
      <c r="B37" s="9" t="s">
        <v>57</v>
      </c>
      <c r="C37" s="13" t="s">
        <v>148</v>
      </c>
      <c r="D37" s="9" t="s">
        <v>217</v>
      </c>
      <c r="E37" s="7" t="s">
        <v>48</v>
      </c>
      <c r="F37" s="7" t="s">
        <v>216</v>
      </c>
      <c r="G37" s="7" t="s">
        <v>6</v>
      </c>
      <c r="H37" s="7" t="s">
        <v>218</v>
      </c>
      <c r="I37" s="46">
        <v>46240</v>
      </c>
      <c r="J37" s="1" t="s">
        <v>273</v>
      </c>
      <c r="K37" s="1"/>
      <c r="L37" s="1"/>
      <c r="M37" s="1" t="s">
        <v>267</v>
      </c>
      <c r="N37" s="1"/>
      <c r="O37" s="1" t="s">
        <v>268</v>
      </c>
      <c r="Q37" s="46">
        <v>46163</v>
      </c>
      <c r="R37" s="1" t="s">
        <v>266</v>
      </c>
      <c r="S37" s="1" t="s">
        <v>267</v>
      </c>
      <c r="T37" s="1"/>
      <c r="U37" s="1"/>
      <c r="V37" s="1"/>
      <c r="W37" s="1" t="s">
        <v>341</v>
      </c>
    </row>
    <row r="38" spans="1:23" x14ac:dyDescent="0.25">
      <c r="A38" s="6" t="s">
        <v>68</v>
      </c>
      <c r="B38" s="8" t="s">
        <v>805</v>
      </c>
      <c r="C38" s="6" t="s">
        <v>159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210</v>
      </c>
      <c r="I38" s="45">
        <v>46241</v>
      </c>
      <c r="J38" s="6" t="s">
        <v>266</v>
      </c>
      <c r="K38" s="6"/>
      <c r="L38" s="6" t="s">
        <v>267</v>
      </c>
      <c r="M38" s="6"/>
      <c r="N38" s="6"/>
      <c r="O38" s="6" t="s">
        <v>309</v>
      </c>
      <c r="Q38" s="45">
        <v>46163</v>
      </c>
      <c r="R38" s="6" t="s">
        <v>266</v>
      </c>
      <c r="S38" s="6"/>
      <c r="T38" s="6"/>
      <c r="U38" s="6" t="s">
        <v>267</v>
      </c>
      <c r="V38" s="6"/>
      <c r="W38" s="6" t="s">
        <v>341</v>
      </c>
    </row>
    <row r="39" spans="1:23" x14ac:dyDescent="0.25">
      <c r="A39" s="7" t="s">
        <v>68</v>
      </c>
      <c r="B39" s="9" t="s">
        <v>806</v>
      </c>
      <c r="C39" s="13" t="s">
        <v>132</v>
      </c>
      <c r="D39" s="9" t="s">
        <v>240</v>
      </c>
      <c r="E39" s="7" t="s">
        <v>86</v>
      </c>
      <c r="F39" s="7" t="s">
        <v>241</v>
      </c>
      <c r="G39" s="7" t="s">
        <v>5</v>
      </c>
      <c r="H39" s="7" t="s">
        <v>218</v>
      </c>
      <c r="I39" s="46">
        <v>46241</v>
      </c>
      <c r="J39" s="1" t="s">
        <v>273</v>
      </c>
      <c r="K39" s="1"/>
      <c r="L39" s="1"/>
      <c r="M39" s="1"/>
      <c r="N39" s="1" t="s">
        <v>267</v>
      </c>
      <c r="O39" s="1" t="s">
        <v>309</v>
      </c>
      <c r="Q39" s="46">
        <v>46163</v>
      </c>
      <c r="R39" s="1" t="s">
        <v>273</v>
      </c>
      <c r="S39" s="1"/>
      <c r="T39" s="1"/>
      <c r="U39" s="1"/>
      <c r="V39" s="1" t="s">
        <v>267</v>
      </c>
      <c r="W39" s="1" t="s">
        <v>341</v>
      </c>
    </row>
    <row r="40" spans="1:23" x14ac:dyDescent="0.25">
      <c r="A40" s="6" t="s">
        <v>68</v>
      </c>
      <c r="B40" s="8" t="s">
        <v>807</v>
      </c>
      <c r="C40" s="6" t="s">
        <v>156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45">
        <v>46241</v>
      </c>
      <c r="J40" s="6" t="s">
        <v>273</v>
      </c>
      <c r="K40" s="6"/>
      <c r="L40" s="6"/>
      <c r="M40" s="6"/>
      <c r="N40" s="6" t="s">
        <v>267</v>
      </c>
      <c r="O40" s="6" t="s">
        <v>309</v>
      </c>
      <c r="Q40" s="45">
        <v>46163</v>
      </c>
      <c r="R40" s="6" t="s">
        <v>266</v>
      </c>
      <c r="S40" s="6"/>
      <c r="T40" s="6"/>
      <c r="U40" s="6" t="s">
        <v>267</v>
      </c>
      <c r="V40" s="6"/>
      <c r="W40" s="6" t="s">
        <v>341</v>
      </c>
    </row>
    <row r="41" spans="1:23" x14ac:dyDescent="0.25">
      <c r="A41" s="7" t="s">
        <v>68</v>
      </c>
      <c r="B41" s="9" t="s">
        <v>808</v>
      </c>
      <c r="C41" s="13" t="s">
        <v>153</v>
      </c>
      <c r="D41" s="9" t="s">
        <v>240</v>
      </c>
      <c r="E41" s="7" t="s">
        <v>86</v>
      </c>
      <c r="F41" s="7" t="s">
        <v>241</v>
      </c>
      <c r="G41" s="7" t="s">
        <v>5</v>
      </c>
      <c r="H41" s="7" t="s">
        <v>218</v>
      </c>
      <c r="I41" s="46">
        <v>46241</v>
      </c>
      <c r="J41" s="1" t="s">
        <v>273</v>
      </c>
      <c r="K41" s="1"/>
      <c r="L41" s="1"/>
      <c r="M41" s="1"/>
      <c r="N41" s="1" t="s">
        <v>267</v>
      </c>
      <c r="O41" s="1" t="s">
        <v>309</v>
      </c>
      <c r="Q41" s="46">
        <v>46163</v>
      </c>
      <c r="R41" s="1" t="s">
        <v>266</v>
      </c>
      <c r="S41" s="1"/>
      <c r="T41" s="1"/>
      <c r="U41" s="1" t="s">
        <v>267</v>
      </c>
      <c r="V41" s="1"/>
      <c r="W41" s="1" t="s">
        <v>341</v>
      </c>
    </row>
    <row r="42" spans="1:23" x14ac:dyDescent="0.25">
      <c r="A42" s="6" t="s">
        <v>68</v>
      </c>
      <c r="B42" s="8" t="s">
        <v>809</v>
      </c>
      <c r="C42" s="6" t="s">
        <v>162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218</v>
      </c>
      <c r="I42" s="45">
        <v>46241</v>
      </c>
      <c r="J42" s="6" t="s">
        <v>273</v>
      </c>
      <c r="K42" s="6"/>
      <c r="L42" s="6"/>
      <c r="M42" s="6" t="s">
        <v>267</v>
      </c>
      <c r="N42" s="6"/>
      <c r="O42" s="6" t="s">
        <v>309</v>
      </c>
      <c r="Q42" s="45">
        <v>46163</v>
      </c>
      <c r="R42" s="6" t="s">
        <v>273</v>
      </c>
      <c r="S42" s="6"/>
      <c r="T42" s="6"/>
      <c r="U42" s="6"/>
      <c r="V42" s="6" t="s">
        <v>267</v>
      </c>
      <c r="W42" s="6" t="s">
        <v>341</v>
      </c>
    </row>
    <row r="43" spans="1:23" x14ac:dyDescent="0.25">
      <c r="A43" s="7" t="s">
        <v>68</v>
      </c>
      <c r="B43" s="9" t="s">
        <v>810</v>
      </c>
      <c r="C43" s="13" t="s">
        <v>164</v>
      </c>
      <c r="D43" s="9" t="s">
        <v>240</v>
      </c>
      <c r="E43" s="7" t="s">
        <v>86</v>
      </c>
      <c r="F43" s="7" t="s">
        <v>241</v>
      </c>
      <c r="G43" s="7" t="s">
        <v>5</v>
      </c>
      <c r="H43" s="7" t="s">
        <v>210</v>
      </c>
      <c r="I43" s="46">
        <v>46241</v>
      </c>
      <c r="J43" s="1" t="s">
        <v>266</v>
      </c>
      <c r="K43" s="1"/>
      <c r="L43" s="1"/>
      <c r="M43" s="1"/>
      <c r="N43" s="1" t="s">
        <v>267</v>
      </c>
      <c r="O43" s="1" t="s">
        <v>309</v>
      </c>
      <c r="Q43" s="46">
        <v>46163</v>
      </c>
      <c r="R43" s="1" t="s">
        <v>266</v>
      </c>
      <c r="S43" s="1"/>
      <c r="T43" s="1"/>
      <c r="U43" s="1"/>
      <c r="V43" s="1" t="s">
        <v>267</v>
      </c>
      <c r="W43" s="1" t="s">
        <v>341</v>
      </c>
    </row>
    <row r="44" spans="1:23" x14ac:dyDescent="0.25">
      <c r="A44" s="6" t="s">
        <v>68</v>
      </c>
      <c r="B44" s="8" t="s">
        <v>811</v>
      </c>
      <c r="C44" s="6" t="s">
        <v>167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45">
        <v>46241</v>
      </c>
      <c r="J44" s="6" t="s">
        <v>273</v>
      </c>
      <c r="K44" s="6"/>
      <c r="L44" s="6"/>
      <c r="M44" s="6"/>
      <c r="N44" s="6" t="s">
        <v>267</v>
      </c>
      <c r="O44" s="6" t="s">
        <v>309</v>
      </c>
      <c r="Q44" s="45">
        <v>46163</v>
      </c>
      <c r="R44" s="6" t="s">
        <v>273</v>
      </c>
      <c r="S44" s="6"/>
      <c r="T44" s="6"/>
      <c r="U44" s="6"/>
      <c r="V44" s="6" t="s">
        <v>267</v>
      </c>
      <c r="W44" s="6" t="s">
        <v>341</v>
      </c>
    </row>
    <row r="45" spans="1:23" x14ac:dyDescent="0.25">
      <c r="A45" s="7"/>
      <c r="B45" s="9"/>
      <c r="C45" s="13"/>
      <c r="D45" s="9"/>
      <c r="E45" s="7"/>
      <c r="F45" s="7"/>
      <c r="G45" s="7"/>
      <c r="H45" s="7"/>
      <c r="I45" s="46"/>
      <c r="J45" s="1"/>
      <c r="K45" s="1"/>
      <c r="L45" s="1"/>
      <c r="M45" s="1"/>
      <c r="N45" s="1"/>
      <c r="O45" s="1"/>
    </row>
    <row r="46" spans="1:23" x14ac:dyDescent="0.25">
      <c r="A46" s="6"/>
      <c r="B46" s="8"/>
      <c r="C46" s="6"/>
      <c r="D46" s="8"/>
      <c r="E46" s="6"/>
      <c r="F46" s="6"/>
      <c r="G46" s="6"/>
      <c r="H46" s="6"/>
      <c r="I46" s="45"/>
      <c r="J46" s="6"/>
      <c r="K46" s="6"/>
      <c r="L46" s="6"/>
      <c r="M46" s="6"/>
      <c r="N46" s="6"/>
      <c r="O46" s="6"/>
    </row>
    <row r="47" spans="1:23" x14ac:dyDescent="0.25">
      <c r="A47" s="7"/>
      <c r="B47" s="9"/>
      <c r="C47" s="13"/>
      <c r="D47" s="9"/>
      <c r="E47" s="7"/>
      <c r="F47" s="7"/>
      <c r="G47" s="7"/>
      <c r="H47" s="7"/>
      <c r="I47" s="46"/>
      <c r="J47" s="1"/>
      <c r="K47" s="1"/>
      <c r="L47" s="1"/>
      <c r="M47" s="1"/>
      <c r="N47" s="1"/>
      <c r="O47" s="1"/>
    </row>
    <row r="48" spans="1:23" x14ac:dyDescent="0.25">
      <c r="A48" s="6"/>
      <c r="B48" s="8"/>
      <c r="C48" s="6"/>
      <c r="D48" s="8"/>
      <c r="E48" s="6"/>
      <c r="F48" s="6"/>
      <c r="G48" s="6"/>
      <c r="H48" s="6"/>
      <c r="I48" s="45"/>
      <c r="J48" s="6"/>
      <c r="K48" s="6"/>
      <c r="L48" s="6"/>
      <c r="M48" s="6"/>
      <c r="N48" s="6"/>
      <c r="O48" s="6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6"/>
      <c r="J49" s="1"/>
      <c r="K49" s="1"/>
      <c r="L49" s="1"/>
      <c r="M49" s="1"/>
      <c r="N49" s="1"/>
      <c r="O49" s="1"/>
    </row>
    <row r="50" spans="1:15" x14ac:dyDescent="0.25">
      <c r="A50" s="6"/>
      <c r="B50" s="8"/>
      <c r="C50" s="6"/>
      <c r="D50" s="8"/>
      <c r="E50" s="6"/>
      <c r="F50" s="6"/>
      <c r="G50" s="6"/>
      <c r="H50" s="6"/>
      <c r="I50" s="45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"/>
    </sortState>
  </autoFilter>
  <mergeCells count="18">
    <mergeCell ref="A121:C121"/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S5:V5"/>
    <mergeCell ref="B61:I61"/>
    <mergeCell ref="B62:I62"/>
    <mergeCell ref="B63:I63"/>
    <mergeCell ref="A114:C114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7C8A-D3B4-4323-8F37-5ED49D3A79C4}">
  <sheetPr codeName="Planilha23">
    <tabColor rgb="FFFFC000"/>
    <pageSetUpPr fitToPage="1"/>
  </sheetPr>
  <dimension ref="A1:O127"/>
  <sheetViews>
    <sheetView showGridLines="0" zoomScale="70" zoomScaleNormal="70" workbookViewId="0">
      <selection activeCell="C9" sqref="C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812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49</v>
      </c>
      <c r="B7" s="8" t="s">
        <v>813</v>
      </c>
      <c r="C7" s="6" t="s">
        <v>81</v>
      </c>
      <c r="D7" s="8" t="s">
        <v>215</v>
      </c>
      <c r="E7" s="6" t="s">
        <v>51</v>
      </c>
      <c r="F7" s="6" t="s">
        <v>216</v>
      </c>
      <c r="G7" s="6" t="s">
        <v>6</v>
      </c>
      <c r="H7" s="6" t="s">
        <v>210</v>
      </c>
      <c r="I7" s="10"/>
      <c r="J7" s="6"/>
      <c r="K7" s="6"/>
      <c r="L7" s="6"/>
      <c r="M7" s="6"/>
      <c r="N7" s="6"/>
      <c r="O7" s="6"/>
    </row>
    <row r="8" spans="1:15" x14ac:dyDescent="0.25">
      <c r="A8" s="7" t="s">
        <v>49</v>
      </c>
      <c r="B8" s="9" t="s">
        <v>814</v>
      </c>
      <c r="C8" s="13" t="s">
        <v>61</v>
      </c>
      <c r="D8" s="9" t="s">
        <v>208</v>
      </c>
      <c r="E8" s="7" t="s">
        <v>51</v>
      </c>
      <c r="F8" s="9" t="s">
        <v>209</v>
      </c>
      <c r="G8" s="7" t="s">
        <v>5</v>
      </c>
      <c r="H8" s="7" t="s">
        <v>210</v>
      </c>
      <c r="I8" s="41"/>
      <c r="J8" s="1"/>
      <c r="K8" s="1"/>
      <c r="L8" s="1"/>
      <c r="M8" s="1"/>
      <c r="N8" s="1"/>
      <c r="O8" s="1"/>
    </row>
    <row r="9" spans="1:15" x14ac:dyDescent="0.25">
      <c r="A9" s="6" t="s">
        <v>49</v>
      </c>
      <c r="B9" s="8" t="s">
        <v>815</v>
      </c>
      <c r="C9" s="6" t="s">
        <v>64</v>
      </c>
      <c r="D9" s="8" t="s">
        <v>208</v>
      </c>
      <c r="E9" s="6" t="s">
        <v>51</v>
      </c>
      <c r="F9" s="6" t="s">
        <v>209</v>
      </c>
      <c r="G9" s="6" t="s">
        <v>5</v>
      </c>
      <c r="H9" s="6" t="s">
        <v>210</v>
      </c>
      <c r="I9" s="10"/>
      <c r="J9" s="6"/>
      <c r="K9" s="6"/>
      <c r="L9" s="6"/>
      <c r="M9" s="6"/>
      <c r="N9" s="6"/>
      <c r="O9" s="6"/>
    </row>
    <row r="10" spans="1:15" x14ac:dyDescent="0.25">
      <c r="A10" s="7" t="s">
        <v>49</v>
      </c>
      <c r="B10" s="9" t="s">
        <v>816</v>
      </c>
      <c r="C10" s="13" t="s">
        <v>77</v>
      </c>
      <c r="D10" s="9" t="s">
        <v>215</v>
      </c>
      <c r="E10" s="7" t="s">
        <v>48</v>
      </c>
      <c r="F10" s="9" t="s">
        <v>216</v>
      </c>
      <c r="G10" s="7" t="s">
        <v>6</v>
      </c>
      <c r="H10" s="7" t="s">
        <v>210</v>
      </c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49</v>
      </c>
      <c r="B11" s="8" t="s">
        <v>817</v>
      </c>
      <c r="C11" s="6" t="s">
        <v>50</v>
      </c>
      <c r="D11" s="8" t="s">
        <v>208</v>
      </c>
      <c r="E11" s="6" t="s">
        <v>51</v>
      </c>
      <c r="F11" s="6" t="s">
        <v>209</v>
      </c>
      <c r="G11" s="6" t="s">
        <v>5</v>
      </c>
      <c r="H11" s="6" t="s">
        <v>210</v>
      </c>
      <c r="I11" s="10"/>
      <c r="J11" s="6"/>
      <c r="K11" s="6"/>
      <c r="L11" s="6"/>
      <c r="M11" s="6"/>
      <c r="N11" s="6"/>
      <c r="O11" s="6"/>
    </row>
    <row r="12" spans="1:15" x14ac:dyDescent="0.25">
      <c r="A12" s="7" t="s">
        <v>49</v>
      </c>
      <c r="B12" s="9" t="s">
        <v>57</v>
      </c>
      <c r="C12" s="13" t="s">
        <v>53</v>
      </c>
      <c r="D12" s="9" t="s">
        <v>215</v>
      </c>
      <c r="E12" s="7" t="s">
        <v>54</v>
      </c>
      <c r="F12" s="9" t="s">
        <v>219</v>
      </c>
      <c r="G12" s="7" t="s">
        <v>6</v>
      </c>
      <c r="H12" s="7" t="s">
        <v>210</v>
      </c>
      <c r="I12" s="41"/>
      <c r="J12" s="1"/>
      <c r="K12" s="1"/>
      <c r="L12" s="1"/>
      <c r="M12" s="1"/>
      <c r="N12" s="1"/>
      <c r="O12" s="1"/>
    </row>
    <row r="13" spans="1:15" x14ac:dyDescent="0.25">
      <c r="A13" s="6" t="s">
        <v>49</v>
      </c>
      <c r="B13" s="8" t="s">
        <v>57</v>
      </c>
      <c r="C13" s="6" t="s">
        <v>58</v>
      </c>
      <c r="D13" s="8" t="s">
        <v>215</v>
      </c>
      <c r="E13" s="6" t="s">
        <v>54</v>
      </c>
      <c r="F13" s="6" t="s">
        <v>219</v>
      </c>
      <c r="G13" s="6" t="s">
        <v>6</v>
      </c>
      <c r="H13" s="6" t="s">
        <v>218</v>
      </c>
      <c r="I13" s="10"/>
      <c r="J13" s="6"/>
      <c r="K13" s="6"/>
      <c r="L13" s="6"/>
      <c r="M13" s="6"/>
      <c r="N13" s="6"/>
      <c r="O13" s="6"/>
    </row>
    <row r="14" spans="1:15" x14ac:dyDescent="0.25">
      <c r="A14" s="7" t="s">
        <v>49</v>
      </c>
      <c r="B14" s="9" t="s">
        <v>57</v>
      </c>
      <c r="C14" s="13" t="s">
        <v>56</v>
      </c>
      <c r="D14" s="9" t="s">
        <v>215</v>
      </c>
      <c r="E14" s="7" t="s">
        <v>54</v>
      </c>
      <c r="F14" s="9" t="s">
        <v>219</v>
      </c>
      <c r="G14" s="7" t="s">
        <v>6</v>
      </c>
      <c r="H14" s="7" t="s">
        <v>218</v>
      </c>
      <c r="I14" s="41"/>
      <c r="J14" s="1"/>
      <c r="K14" s="1"/>
      <c r="L14" s="1"/>
      <c r="M14" s="1"/>
      <c r="N14" s="1"/>
      <c r="O14" s="1"/>
    </row>
    <row r="15" spans="1:15" x14ac:dyDescent="0.25">
      <c r="A15" s="6" t="s">
        <v>49</v>
      </c>
      <c r="B15" s="8" t="s">
        <v>57</v>
      </c>
      <c r="C15" s="6" t="s">
        <v>169</v>
      </c>
      <c r="D15" s="8" t="s">
        <v>402</v>
      </c>
      <c r="E15" s="6" t="s">
        <v>48</v>
      </c>
      <c r="F15" s="6" t="s">
        <v>216</v>
      </c>
      <c r="G15" s="6" t="s">
        <v>5</v>
      </c>
      <c r="H15" s="6" t="s">
        <v>218</v>
      </c>
      <c r="I15" s="10"/>
      <c r="J15" s="6"/>
      <c r="K15" s="6"/>
      <c r="L15" s="6"/>
      <c r="M15" s="6"/>
      <c r="N15" s="6"/>
      <c r="O15" s="6"/>
    </row>
    <row r="16" spans="1:15" x14ac:dyDescent="0.25">
      <c r="A16" s="7" t="s">
        <v>49</v>
      </c>
      <c r="B16" s="9" t="s">
        <v>818</v>
      </c>
      <c r="C16" s="13" t="s">
        <v>129</v>
      </c>
      <c r="D16" s="9" t="s">
        <v>208</v>
      </c>
      <c r="E16" s="7" t="s">
        <v>51</v>
      </c>
      <c r="F16" s="9" t="s">
        <v>209</v>
      </c>
      <c r="G16" s="7" t="s">
        <v>5</v>
      </c>
      <c r="H16" s="7" t="s">
        <v>210</v>
      </c>
      <c r="I16" s="41"/>
      <c r="J16" s="1"/>
      <c r="K16" s="1"/>
      <c r="L16" s="1"/>
      <c r="M16" s="1"/>
      <c r="N16" s="1"/>
      <c r="O16" s="1"/>
    </row>
    <row r="17" spans="1:15" x14ac:dyDescent="0.25">
      <c r="A17" s="6" t="s">
        <v>49</v>
      </c>
      <c r="B17" s="8" t="s">
        <v>819</v>
      </c>
      <c r="C17" s="6" t="s">
        <v>72</v>
      </c>
      <c r="D17" s="8" t="s">
        <v>225</v>
      </c>
      <c r="E17" s="6" t="s">
        <v>51</v>
      </c>
      <c r="F17" s="6" t="s">
        <v>209</v>
      </c>
      <c r="G17" s="6" t="s">
        <v>5</v>
      </c>
      <c r="H17" s="6" t="s">
        <v>210</v>
      </c>
      <c r="I17" s="10"/>
      <c r="J17" s="6"/>
      <c r="K17" s="6"/>
      <c r="L17" s="6"/>
      <c r="M17" s="6"/>
      <c r="N17" s="6"/>
      <c r="O17" s="6"/>
    </row>
    <row r="18" spans="1:15" x14ac:dyDescent="0.25">
      <c r="A18" s="7" t="s">
        <v>68</v>
      </c>
      <c r="B18" s="9" t="s">
        <v>57</v>
      </c>
      <c r="C18" s="13" t="s">
        <v>69</v>
      </c>
      <c r="D18" s="9" t="s">
        <v>208</v>
      </c>
      <c r="E18" s="7" t="s">
        <v>51</v>
      </c>
      <c r="F18" s="9" t="s">
        <v>209</v>
      </c>
      <c r="G18" s="7" t="s">
        <v>5</v>
      </c>
      <c r="H18" s="7" t="s">
        <v>210</v>
      </c>
      <c r="I18" s="41"/>
      <c r="J18" s="1"/>
      <c r="K18" s="1"/>
      <c r="L18" s="1"/>
      <c r="M18" s="1"/>
      <c r="N18" s="1"/>
      <c r="O18" s="1"/>
    </row>
    <row r="19" spans="1:15" x14ac:dyDescent="0.25">
      <c r="A19" s="6" t="s">
        <v>68</v>
      </c>
      <c r="B19" s="8" t="s">
        <v>57</v>
      </c>
      <c r="C19" s="6" t="s">
        <v>151</v>
      </c>
      <c r="D19" s="8" t="s">
        <v>208</v>
      </c>
      <c r="E19" s="6" t="s">
        <v>51</v>
      </c>
      <c r="F19" s="6" t="s">
        <v>209</v>
      </c>
      <c r="G19" s="6" t="s">
        <v>5</v>
      </c>
      <c r="H19" s="6" t="s">
        <v>210</v>
      </c>
      <c r="I19" s="10"/>
      <c r="J19" s="6"/>
      <c r="K19" s="6"/>
      <c r="L19" s="6"/>
      <c r="M19" s="6"/>
      <c r="N19" s="6"/>
      <c r="O19" s="6"/>
    </row>
    <row r="20" spans="1:15" x14ac:dyDescent="0.25">
      <c r="A20" s="7" t="s">
        <v>68</v>
      </c>
      <c r="B20" s="9" t="s">
        <v>57</v>
      </c>
      <c r="C20" s="13" t="s">
        <v>112</v>
      </c>
      <c r="D20" s="9" t="s">
        <v>402</v>
      </c>
      <c r="E20" s="7" t="s">
        <v>48</v>
      </c>
      <c r="F20" s="9" t="s">
        <v>216</v>
      </c>
      <c r="G20" s="7" t="s">
        <v>5</v>
      </c>
      <c r="H20" s="7" t="s">
        <v>210</v>
      </c>
      <c r="I20" s="41"/>
      <c r="J20" s="1"/>
      <c r="K20" s="1"/>
      <c r="L20" s="1"/>
      <c r="M20" s="1"/>
      <c r="N20" s="1"/>
      <c r="O20" s="1"/>
    </row>
    <row r="21" spans="1:15" x14ac:dyDescent="0.25">
      <c r="A21" s="6" t="s">
        <v>68</v>
      </c>
      <c r="B21" s="8" t="s">
        <v>57</v>
      </c>
      <c r="C21" s="6" t="s">
        <v>109</v>
      </c>
      <c r="D21" s="8" t="s">
        <v>402</v>
      </c>
      <c r="E21" s="6" t="s">
        <v>48</v>
      </c>
      <c r="F21" s="6" t="s">
        <v>216</v>
      </c>
      <c r="G21" s="6" t="s">
        <v>5</v>
      </c>
      <c r="H21" s="6" t="s">
        <v>218</v>
      </c>
      <c r="I21" s="10"/>
      <c r="J21" s="6"/>
      <c r="K21" s="6"/>
      <c r="L21" s="6"/>
      <c r="M21" s="6"/>
      <c r="N21" s="6"/>
      <c r="O21" s="6"/>
    </row>
    <row r="22" spans="1:15" x14ac:dyDescent="0.25">
      <c r="A22" s="7" t="s">
        <v>68</v>
      </c>
      <c r="B22" s="9" t="s">
        <v>57</v>
      </c>
      <c r="C22" s="13" t="s">
        <v>148</v>
      </c>
      <c r="D22" s="9" t="s">
        <v>217</v>
      </c>
      <c r="E22" s="7" t="s">
        <v>48</v>
      </c>
      <c r="F22" s="9" t="s">
        <v>216</v>
      </c>
      <c r="G22" s="7" t="s">
        <v>6</v>
      </c>
      <c r="H22" s="7" t="s">
        <v>218</v>
      </c>
      <c r="I22" s="41"/>
      <c r="J22" s="1"/>
      <c r="K22" s="1"/>
      <c r="L22" s="1"/>
      <c r="M22" s="1"/>
      <c r="N22" s="1"/>
      <c r="O22" s="1"/>
    </row>
    <row r="23" spans="1:15" x14ac:dyDescent="0.25">
      <c r="A23" s="6" t="s">
        <v>68</v>
      </c>
      <c r="B23" s="8" t="s">
        <v>820</v>
      </c>
      <c r="C23" s="6" t="s">
        <v>159</v>
      </c>
      <c r="D23" s="8" t="s">
        <v>240</v>
      </c>
      <c r="E23" s="6" t="s">
        <v>86</v>
      </c>
      <c r="F23" s="6" t="s">
        <v>241</v>
      </c>
      <c r="G23" s="6" t="s">
        <v>5</v>
      </c>
      <c r="H23" s="6" t="s">
        <v>210</v>
      </c>
      <c r="I23" s="10"/>
      <c r="J23" s="6"/>
      <c r="K23" s="6"/>
      <c r="L23" s="6"/>
      <c r="M23" s="6"/>
      <c r="N23" s="6"/>
      <c r="O23" s="6"/>
    </row>
    <row r="24" spans="1:15" x14ac:dyDescent="0.25">
      <c r="A24" s="7" t="s">
        <v>68</v>
      </c>
      <c r="B24" s="9" t="s">
        <v>821</v>
      </c>
      <c r="C24" s="13" t="s">
        <v>132</v>
      </c>
      <c r="D24" s="9" t="s">
        <v>240</v>
      </c>
      <c r="E24" s="7" t="s">
        <v>86</v>
      </c>
      <c r="F24" s="9" t="s">
        <v>241</v>
      </c>
      <c r="G24" s="7" t="s">
        <v>5</v>
      </c>
      <c r="H24" s="7" t="s">
        <v>218</v>
      </c>
      <c r="I24" s="41"/>
      <c r="J24" s="1"/>
      <c r="K24" s="1"/>
      <c r="L24" s="1"/>
      <c r="M24" s="1"/>
      <c r="N24" s="1"/>
      <c r="O24" s="1"/>
    </row>
    <row r="25" spans="1:15" x14ac:dyDescent="0.25">
      <c r="A25" s="6" t="s">
        <v>68</v>
      </c>
      <c r="B25" s="8" t="s">
        <v>822</v>
      </c>
      <c r="C25" s="6" t="s">
        <v>162</v>
      </c>
      <c r="D25" s="8" t="s">
        <v>240</v>
      </c>
      <c r="E25" s="6" t="s">
        <v>86</v>
      </c>
      <c r="F25" s="6" t="s">
        <v>241</v>
      </c>
      <c r="G25" s="6" t="s">
        <v>5</v>
      </c>
      <c r="H25" s="6" t="s">
        <v>218</v>
      </c>
      <c r="I25" s="10"/>
      <c r="J25" s="6"/>
      <c r="K25" s="6"/>
      <c r="L25" s="6"/>
      <c r="M25" s="6"/>
      <c r="N25" s="6"/>
      <c r="O25" s="6"/>
    </row>
    <row r="26" spans="1:15" x14ac:dyDescent="0.25">
      <c r="A26" s="7" t="s">
        <v>68</v>
      </c>
      <c r="B26" s="9" t="s">
        <v>823</v>
      </c>
      <c r="C26" s="13" t="s">
        <v>164</v>
      </c>
      <c r="D26" s="9" t="s">
        <v>240</v>
      </c>
      <c r="E26" s="7" t="s">
        <v>86</v>
      </c>
      <c r="F26" s="9" t="s">
        <v>241</v>
      </c>
      <c r="G26" s="7" t="s">
        <v>5</v>
      </c>
      <c r="H26" s="7" t="s">
        <v>210</v>
      </c>
      <c r="I26" s="41"/>
      <c r="J26" s="1"/>
      <c r="K26" s="1"/>
      <c r="L26" s="1"/>
      <c r="M26" s="1"/>
      <c r="N26" s="1"/>
      <c r="O26" s="1"/>
    </row>
    <row r="27" spans="1:15" x14ac:dyDescent="0.25">
      <c r="A27" s="6" t="s">
        <v>68</v>
      </c>
      <c r="B27" s="8" t="s">
        <v>824</v>
      </c>
      <c r="C27" s="6" t="s">
        <v>167</v>
      </c>
      <c r="D27" s="8" t="s">
        <v>240</v>
      </c>
      <c r="E27" s="6" t="s">
        <v>86</v>
      </c>
      <c r="F27" s="6" t="s">
        <v>241</v>
      </c>
      <c r="G27" s="6" t="s">
        <v>5</v>
      </c>
      <c r="H27" s="6" t="s">
        <v>218</v>
      </c>
      <c r="I27" s="10"/>
      <c r="J27" s="6"/>
      <c r="K27" s="6"/>
      <c r="L27" s="6"/>
      <c r="M27" s="6"/>
      <c r="N27" s="6"/>
      <c r="O27" s="6"/>
    </row>
    <row r="28" spans="1:15" x14ac:dyDescent="0.25">
      <c r="A28" s="7" t="s">
        <v>732</v>
      </c>
      <c r="B28" s="9" t="s">
        <v>825</v>
      </c>
      <c r="C28" s="13" t="s">
        <v>125</v>
      </c>
      <c r="D28" s="9" t="s">
        <v>240</v>
      </c>
      <c r="E28" s="7" t="s">
        <v>86</v>
      </c>
      <c r="F28" s="9" t="s">
        <v>241</v>
      </c>
      <c r="G28" s="7" t="s">
        <v>5</v>
      </c>
      <c r="H28" s="7" t="s">
        <v>218</v>
      </c>
      <c r="I28" s="41"/>
      <c r="J28" s="1"/>
      <c r="K28" s="1"/>
      <c r="L28" s="1"/>
      <c r="M28" s="1"/>
      <c r="N28" s="1"/>
      <c r="O28" s="1"/>
    </row>
    <row r="29" spans="1:15" x14ac:dyDescent="0.25">
      <c r="A29" s="6" t="s">
        <v>732</v>
      </c>
      <c r="B29" s="8" t="s">
        <v>826</v>
      </c>
      <c r="C29" s="6" t="s">
        <v>144</v>
      </c>
      <c r="D29" s="8" t="s">
        <v>240</v>
      </c>
      <c r="E29" s="6" t="s">
        <v>86</v>
      </c>
      <c r="F29" s="6" t="s">
        <v>241</v>
      </c>
      <c r="G29" s="6" t="s">
        <v>5</v>
      </c>
      <c r="H29" s="6" t="s">
        <v>210</v>
      </c>
      <c r="I29" s="10"/>
      <c r="J29" s="6"/>
      <c r="K29" s="6"/>
      <c r="L29" s="6"/>
      <c r="M29" s="6"/>
      <c r="N29" s="6"/>
      <c r="O29" s="6"/>
    </row>
    <row r="30" spans="1:15" x14ac:dyDescent="0.25">
      <c r="A30" s="7" t="s">
        <v>732</v>
      </c>
      <c r="B30" s="9" t="s">
        <v>827</v>
      </c>
      <c r="C30" s="13" t="s">
        <v>106</v>
      </c>
      <c r="D30" s="9" t="s">
        <v>240</v>
      </c>
      <c r="E30" s="7" t="s">
        <v>86</v>
      </c>
      <c r="F30" s="9" t="s">
        <v>241</v>
      </c>
      <c r="G30" s="7" t="s">
        <v>5</v>
      </c>
      <c r="H30" s="7" t="s">
        <v>218</v>
      </c>
      <c r="I30" s="41"/>
      <c r="J30" s="1"/>
      <c r="K30" s="1"/>
      <c r="L30" s="1"/>
      <c r="M30" s="1"/>
      <c r="N30" s="1"/>
      <c r="O30" s="1"/>
    </row>
    <row r="31" spans="1:15" x14ac:dyDescent="0.25">
      <c r="A31" s="6" t="s">
        <v>732</v>
      </c>
      <c r="B31" s="8" t="s">
        <v>828</v>
      </c>
      <c r="C31" s="6" t="s">
        <v>115</v>
      </c>
      <c r="D31" s="8" t="s">
        <v>208</v>
      </c>
      <c r="E31" s="6" t="s">
        <v>51</v>
      </c>
      <c r="F31" s="6" t="s">
        <v>209</v>
      </c>
      <c r="G31" s="6" t="s">
        <v>5</v>
      </c>
      <c r="H31" s="6" t="s">
        <v>210</v>
      </c>
      <c r="I31" s="10"/>
      <c r="J31" s="6"/>
      <c r="K31" s="6"/>
      <c r="L31" s="6"/>
      <c r="M31" s="6"/>
      <c r="N31" s="6"/>
      <c r="O31" s="6"/>
    </row>
    <row r="32" spans="1:15" x14ac:dyDescent="0.25">
      <c r="A32" s="7" t="s">
        <v>732</v>
      </c>
      <c r="B32" s="9" t="s">
        <v>829</v>
      </c>
      <c r="C32" s="13" t="s">
        <v>135</v>
      </c>
      <c r="D32" s="9" t="s">
        <v>208</v>
      </c>
      <c r="E32" s="7" t="s">
        <v>51</v>
      </c>
      <c r="F32" s="9" t="s">
        <v>209</v>
      </c>
      <c r="G32" s="7" t="s">
        <v>5</v>
      </c>
      <c r="H32" s="7" t="s">
        <v>210</v>
      </c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 t="s">
        <v>732</v>
      </c>
      <c r="B33" s="8" t="s">
        <v>830</v>
      </c>
      <c r="C33" s="6" t="s">
        <v>103</v>
      </c>
      <c r="D33" s="8" t="s">
        <v>208</v>
      </c>
      <c r="E33" s="6" t="s">
        <v>51</v>
      </c>
      <c r="F33" s="6" t="s">
        <v>209</v>
      </c>
      <c r="G33" s="6" t="s">
        <v>5</v>
      </c>
      <c r="H33" s="6" t="s">
        <v>218</v>
      </c>
      <c r="I33" s="10"/>
      <c r="J33" s="6"/>
      <c r="K33" s="6"/>
      <c r="L33" s="6"/>
      <c r="M33" s="6"/>
      <c r="N33" s="6"/>
      <c r="O33" s="6"/>
    </row>
    <row r="34" spans="1:15" x14ac:dyDescent="0.25">
      <c r="A34" s="7" t="s">
        <v>732</v>
      </c>
      <c r="B34" s="9" t="s">
        <v>831</v>
      </c>
      <c r="C34" s="13" t="s">
        <v>119</v>
      </c>
      <c r="D34" s="9" t="s">
        <v>240</v>
      </c>
      <c r="E34" s="7" t="s">
        <v>86</v>
      </c>
      <c r="F34" s="9" t="s">
        <v>241</v>
      </c>
      <c r="G34" s="7" t="s">
        <v>5</v>
      </c>
      <c r="H34" s="7" t="s">
        <v>218</v>
      </c>
      <c r="I34" s="41"/>
      <c r="J34" s="1"/>
      <c r="K34" s="1"/>
      <c r="L34" s="1"/>
      <c r="M34" s="1"/>
      <c r="N34" s="1"/>
      <c r="O34" s="1"/>
    </row>
    <row r="35" spans="1:15" x14ac:dyDescent="0.25">
      <c r="A35" s="6" t="s">
        <v>732</v>
      </c>
      <c r="B35" s="8" t="s">
        <v>832</v>
      </c>
      <c r="C35" s="6" t="s">
        <v>137</v>
      </c>
      <c r="D35" s="8" t="s">
        <v>240</v>
      </c>
      <c r="E35" s="6" t="s">
        <v>86</v>
      </c>
      <c r="F35" s="6" t="s">
        <v>241</v>
      </c>
      <c r="G35" s="6" t="s">
        <v>5</v>
      </c>
      <c r="H35" s="6" t="s">
        <v>210</v>
      </c>
      <c r="I35" s="10"/>
      <c r="J35" s="6"/>
      <c r="K35" s="6"/>
      <c r="L35" s="6"/>
      <c r="M35" s="6"/>
      <c r="N35" s="6"/>
      <c r="O35" s="6"/>
    </row>
    <row r="36" spans="1:15" x14ac:dyDescent="0.25">
      <c r="A36" s="7" t="s">
        <v>732</v>
      </c>
      <c r="B36" s="9" t="s">
        <v>833</v>
      </c>
      <c r="C36" s="13" t="s">
        <v>85</v>
      </c>
      <c r="D36" s="9" t="s">
        <v>240</v>
      </c>
      <c r="E36" s="7" t="s">
        <v>86</v>
      </c>
      <c r="F36" s="9" t="s">
        <v>241</v>
      </c>
      <c r="G36" s="7" t="s">
        <v>5</v>
      </c>
      <c r="H36" s="7" t="s">
        <v>218</v>
      </c>
      <c r="I36" s="41"/>
      <c r="J36" s="1"/>
      <c r="K36" s="1"/>
      <c r="L36" s="1"/>
      <c r="M36" s="1"/>
      <c r="N36" s="1"/>
      <c r="O36" s="1"/>
    </row>
    <row r="37" spans="1:15" x14ac:dyDescent="0.25">
      <c r="A37" s="6" t="s">
        <v>732</v>
      </c>
      <c r="B37" s="8" t="s">
        <v>834</v>
      </c>
      <c r="C37" s="6" t="s">
        <v>122</v>
      </c>
      <c r="D37" s="8" t="s">
        <v>240</v>
      </c>
      <c r="E37" s="6" t="s">
        <v>86</v>
      </c>
      <c r="F37" s="6" t="s">
        <v>241</v>
      </c>
      <c r="G37" s="6" t="s">
        <v>5</v>
      </c>
      <c r="H37" s="6" t="s">
        <v>218</v>
      </c>
      <c r="I37" s="10"/>
      <c r="J37" s="6"/>
      <c r="K37" s="6"/>
      <c r="L37" s="6"/>
      <c r="M37" s="6"/>
      <c r="N37" s="6"/>
      <c r="O37" s="6"/>
    </row>
    <row r="38" spans="1:15" x14ac:dyDescent="0.25">
      <c r="A38" s="7" t="s">
        <v>732</v>
      </c>
      <c r="B38" s="9" t="s">
        <v>835</v>
      </c>
      <c r="C38" s="13" t="s">
        <v>140</v>
      </c>
      <c r="D38" s="9" t="s">
        <v>240</v>
      </c>
      <c r="E38" s="7" t="s">
        <v>86</v>
      </c>
      <c r="F38" s="9" t="s">
        <v>241</v>
      </c>
      <c r="G38" s="7" t="s">
        <v>5</v>
      </c>
      <c r="H38" s="7" t="s">
        <v>210</v>
      </c>
      <c r="I38" s="41"/>
      <c r="J38" s="1"/>
      <c r="K38" s="1"/>
      <c r="L38" s="1"/>
      <c r="M38" s="1"/>
      <c r="N38" s="1"/>
      <c r="O38" s="1"/>
    </row>
    <row r="39" spans="1:15" x14ac:dyDescent="0.25">
      <c r="A39" s="6" t="s">
        <v>732</v>
      </c>
      <c r="B39" s="8" t="s">
        <v>836</v>
      </c>
      <c r="C39" s="6" t="s">
        <v>90</v>
      </c>
      <c r="D39" s="8" t="s">
        <v>240</v>
      </c>
      <c r="E39" s="6" t="s">
        <v>86</v>
      </c>
      <c r="F39" s="6" t="s">
        <v>241</v>
      </c>
      <c r="G39" s="6" t="s">
        <v>5</v>
      </c>
      <c r="H39" s="6" t="s">
        <v>218</v>
      </c>
      <c r="I39" s="10"/>
      <c r="J39" s="6"/>
      <c r="K39" s="6"/>
      <c r="L39" s="6"/>
      <c r="M39" s="6"/>
      <c r="N39" s="6"/>
      <c r="O39" s="6"/>
    </row>
    <row r="40" spans="1:15" x14ac:dyDescent="0.25">
      <c r="A40" s="7" t="s">
        <v>732</v>
      </c>
      <c r="B40" s="9" t="s">
        <v>837</v>
      </c>
      <c r="C40" s="13" t="s">
        <v>93</v>
      </c>
      <c r="D40" s="9" t="s">
        <v>240</v>
      </c>
      <c r="E40" s="7" t="s">
        <v>86</v>
      </c>
      <c r="F40" s="9" t="s">
        <v>241</v>
      </c>
      <c r="G40" s="7" t="s">
        <v>5</v>
      </c>
      <c r="H40" s="7" t="s">
        <v>218</v>
      </c>
      <c r="I40" s="41"/>
      <c r="J40" s="1"/>
      <c r="K40" s="1"/>
      <c r="L40" s="1"/>
      <c r="M40" s="1"/>
      <c r="N40" s="1"/>
      <c r="O40" s="1"/>
    </row>
    <row r="41" spans="1:15" x14ac:dyDescent="0.25">
      <c r="A41" s="6" t="s">
        <v>732</v>
      </c>
      <c r="B41" s="8" t="s">
        <v>838</v>
      </c>
      <c r="C41" s="6" t="s">
        <v>97</v>
      </c>
      <c r="D41" s="8" t="s">
        <v>240</v>
      </c>
      <c r="E41" s="6" t="s">
        <v>86</v>
      </c>
      <c r="F41" s="6" t="s">
        <v>241</v>
      </c>
      <c r="G41" s="6" t="s">
        <v>5</v>
      </c>
      <c r="H41" s="6" t="s">
        <v>210</v>
      </c>
      <c r="I41" s="10"/>
      <c r="J41" s="6"/>
      <c r="K41" s="6"/>
      <c r="L41" s="6"/>
      <c r="M41" s="6"/>
      <c r="N41" s="6"/>
      <c r="O41" s="6"/>
    </row>
    <row r="42" spans="1:15" x14ac:dyDescent="0.25">
      <c r="A42" s="7" t="s">
        <v>732</v>
      </c>
      <c r="B42" s="9" t="s">
        <v>839</v>
      </c>
      <c r="C42" s="13" t="s">
        <v>100</v>
      </c>
      <c r="D42" s="9" t="s">
        <v>240</v>
      </c>
      <c r="E42" s="7" t="s">
        <v>86</v>
      </c>
      <c r="F42" s="9" t="s">
        <v>241</v>
      </c>
      <c r="G42" s="7" t="s">
        <v>5</v>
      </c>
      <c r="H42" s="7" t="s">
        <v>218</v>
      </c>
      <c r="I42" s="41"/>
      <c r="J42" s="1"/>
      <c r="K42" s="1"/>
      <c r="L42" s="1"/>
      <c r="M42" s="1"/>
      <c r="N42" s="1"/>
      <c r="O42" s="1"/>
    </row>
    <row r="43" spans="1:15" x14ac:dyDescent="0.25">
      <c r="A43" s="6" t="s">
        <v>732</v>
      </c>
      <c r="B43" s="8" t="s">
        <v>840</v>
      </c>
      <c r="C43" s="6" t="s">
        <v>156</v>
      </c>
      <c r="D43" s="8" t="s">
        <v>240</v>
      </c>
      <c r="E43" s="6" t="s">
        <v>86</v>
      </c>
      <c r="F43" s="6" t="s">
        <v>241</v>
      </c>
      <c r="G43" s="6" t="s">
        <v>5</v>
      </c>
      <c r="H43" s="6" t="s">
        <v>218</v>
      </c>
      <c r="I43" s="10"/>
      <c r="J43" s="6"/>
      <c r="K43" s="6"/>
      <c r="L43" s="6"/>
      <c r="M43" s="6"/>
      <c r="N43" s="6"/>
      <c r="O43" s="6"/>
    </row>
    <row r="44" spans="1:15" x14ac:dyDescent="0.25">
      <c r="A44" s="7" t="s">
        <v>732</v>
      </c>
      <c r="B44" s="9" t="s">
        <v>841</v>
      </c>
      <c r="C44" s="13" t="s">
        <v>153</v>
      </c>
      <c r="D44" s="9" t="s">
        <v>240</v>
      </c>
      <c r="E44" s="7" t="s">
        <v>86</v>
      </c>
      <c r="F44" s="9" t="s">
        <v>241</v>
      </c>
      <c r="G44" s="7" t="s">
        <v>5</v>
      </c>
      <c r="H44" s="7" t="s">
        <v>218</v>
      </c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8"/>
      <c r="C45" s="6"/>
      <c r="D45" s="8"/>
      <c r="E45" s="6"/>
      <c r="F45" s="6"/>
      <c r="G45" s="6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7"/>
      <c r="B46" s="9"/>
      <c r="C46" s="13"/>
      <c r="D46" s="9"/>
      <c r="E46" s="7"/>
      <c r="F46" s="9"/>
      <c r="G46" s="7"/>
      <c r="H46" s="7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8"/>
      <c r="C47" s="6"/>
      <c r="D47" s="8"/>
      <c r="E47" s="6"/>
      <c r="F47" s="6"/>
      <c r="G47" s="6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7"/>
      <c r="B48" s="9"/>
      <c r="C48" s="13"/>
      <c r="D48" s="9"/>
      <c r="E48" s="7"/>
      <c r="F48" s="9"/>
      <c r="G48" s="7"/>
      <c r="H48" s="7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8"/>
      <c r="C49" s="6"/>
      <c r="D49" s="8"/>
      <c r="E49" s="6"/>
      <c r="F49" s="6"/>
      <c r="G49" s="6"/>
      <c r="H49" s="6"/>
      <c r="I49" s="10"/>
      <c r="J49" s="6"/>
      <c r="K49" s="6"/>
      <c r="L49" s="6"/>
      <c r="M49" s="6"/>
      <c r="N49" s="6"/>
      <c r="O49" s="6"/>
    </row>
    <row r="50" spans="1:15" x14ac:dyDescent="0.25">
      <c r="A50" s="7"/>
      <c r="B50" s="9"/>
      <c r="C50" s="13"/>
      <c r="D50" s="9"/>
      <c r="E50" s="7"/>
      <c r="F50" s="9"/>
      <c r="G50" s="7"/>
      <c r="H50" s="7"/>
      <c r="I50" s="41"/>
      <c r="J50" s="1"/>
      <c r="K50" s="1"/>
      <c r="L50" s="1"/>
      <c r="M50" s="1"/>
      <c r="N50" s="1"/>
      <c r="O50" s="1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4466-35E8-435F-B4EC-9688DCD2E500}">
  <sheetPr codeName="Planilha24">
    <tabColor rgb="FFFFC000"/>
    <pageSetUpPr fitToPage="1"/>
  </sheetPr>
  <dimension ref="A1:V127"/>
  <sheetViews>
    <sheetView showGridLines="0" tabSelected="1" topLeftCell="B1" zoomScale="70" zoomScaleNormal="70" zoomScaleSheetLayoutView="85" workbookViewId="0">
      <selection activeCell="H5" sqref="H5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22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2" s="2" customFormat="1" ht="8.25" customHeight="1" x14ac:dyDescent="0.25">
      <c r="I2" s="20"/>
    </row>
    <row r="3" spans="1:22" s="2" customFormat="1" ht="27.6" customHeight="1" x14ac:dyDescent="0.25">
      <c r="A3" s="34" t="s">
        <v>193</v>
      </c>
      <c r="B3" s="33" t="s">
        <v>842</v>
      </c>
      <c r="C3" s="26"/>
      <c r="D3" s="35" t="s">
        <v>1084</v>
      </c>
      <c r="E3" s="27"/>
      <c r="F3" s="28"/>
      <c r="G3" s="28"/>
      <c r="H3" s="35" t="s">
        <v>196</v>
      </c>
      <c r="I3" s="27"/>
      <c r="J3" s="27"/>
      <c r="K3" s="35" t="s">
        <v>1083</v>
      </c>
      <c r="L3" s="27"/>
      <c r="M3" s="27"/>
      <c r="N3" s="27"/>
      <c r="O3" s="29"/>
    </row>
    <row r="4" spans="1:22" s="2" customFormat="1" x14ac:dyDescent="0.25">
      <c r="C4" s="24"/>
      <c r="I4" s="20"/>
    </row>
    <row r="5" spans="1:22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  <c r="R5" s="3" t="s">
        <v>198</v>
      </c>
    </row>
    <row r="6" spans="1:22" ht="32.25" customHeight="1" x14ac:dyDescent="0.25">
      <c r="A6" s="119" t="s">
        <v>199</v>
      </c>
      <c r="B6" s="119" t="s">
        <v>46</v>
      </c>
      <c r="C6" s="119" t="s">
        <v>42</v>
      </c>
      <c r="D6" s="119" t="s">
        <v>200</v>
      </c>
      <c r="E6" s="119" t="s">
        <v>43</v>
      </c>
      <c r="F6" s="119" t="s">
        <v>201</v>
      </c>
      <c r="G6" s="119" t="s">
        <v>202</v>
      </c>
      <c r="H6" s="119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P6" s="3" t="s">
        <v>204</v>
      </c>
      <c r="Q6" s="3" t="s">
        <v>205</v>
      </c>
      <c r="R6" s="3">
        <v>1</v>
      </c>
      <c r="S6" s="3">
        <v>2</v>
      </c>
      <c r="T6" s="3">
        <v>3</v>
      </c>
      <c r="U6" s="3">
        <v>4</v>
      </c>
      <c r="V6" s="3" t="s">
        <v>206</v>
      </c>
    </row>
    <row r="7" spans="1:22" x14ac:dyDescent="0.25">
      <c r="A7" s="132" t="s">
        <v>49</v>
      </c>
      <c r="B7" s="19" t="s">
        <v>843</v>
      </c>
      <c r="C7" s="133" t="s">
        <v>81</v>
      </c>
      <c r="D7" s="19" t="s">
        <v>208</v>
      </c>
      <c r="E7" s="5" t="s">
        <v>51</v>
      </c>
      <c r="F7" s="19" t="s">
        <v>209</v>
      </c>
      <c r="G7" s="5" t="s">
        <v>5</v>
      </c>
      <c r="H7" s="5" t="s">
        <v>210</v>
      </c>
      <c r="I7" s="152"/>
      <c r="J7" s="135"/>
      <c r="K7" s="135"/>
      <c r="L7" s="135"/>
      <c r="M7" s="135"/>
      <c r="N7" s="135"/>
      <c r="O7" s="135"/>
      <c r="P7" s="3">
        <v>46242</v>
      </c>
      <c r="Q7" s="3" t="s">
        <v>844</v>
      </c>
      <c r="R7" s="3" t="b">
        <v>0</v>
      </c>
      <c r="S7" s="3" t="b">
        <v>0</v>
      </c>
      <c r="T7" s="3" t="b">
        <v>1</v>
      </c>
      <c r="U7" s="3" t="b">
        <v>0</v>
      </c>
      <c r="V7" s="3" t="s">
        <v>845</v>
      </c>
    </row>
    <row r="8" spans="1:22" x14ac:dyDescent="0.25">
      <c r="A8" s="10" t="s">
        <v>49</v>
      </c>
      <c r="B8" s="8" t="s">
        <v>846</v>
      </c>
      <c r="C8" s="6" t="s">
        <v>61</v>
      </c>
      <c r="D8" s="8" t="s">
        <v>208</v>
      </c>
      <c r="E8" s="6" t="s">
        <v>51</v>
      </c>
      <c r="F8" s="6" t="s">
        <v>209</v>
      </c>
      <c r="G8" s="6" t="s">
        <v>5</v>
      </c>
      <c r="H8" s="6" t="s">
        <v>210</v>
      </c>
      <c r="I8" s="153"/>
      <c r="J8" s="6"/>
      <c r="K8" s="6"/>
      <c r="L8" s="6"/>
      <c r="M8" s="6"/>
      <c r="N8" s="6"/>
      <c r="O8" s="6"/>
      <c r="P8" s="3">
        <v>46242</v>
      </c>
      <c r="Q8" s="3" t="s">
        <v>844</v>
      </c>
      <c r="R8" s="3" t="b">
        <v>0</v>
      </c>
      <c r="S8" s="3" t="b">
        <v>0</v>
      </c>
      <c r="T8" s="3" t="b">
        <v>1</v>
      </c>
      <c r="U8" s="3" t="b">
        <v>0</v>
      </c>
      <c r="V8" s="3" t="s">
        <v>845</v>
      </c>
    </row>
    <row r="9" spans="1:22" x14ac:dyDescent="0.25">
      <c r="A9" s="132" t="s">
        <v>49</v>
      </c>
      <c r="B9" s="19" t="s">
        <v>847</v>
      </c>
      <c r="C9" s="133" t="s">
        <v>64</v>
      </c>
      <c r="D9" s="19" t="s">
        <v>208</v>
      </c>
      <c r="E9" s="5" t="s">
        <v>51</v>
      </c>
      <c r="F9" s="19" t="s">
        <v>209</v>
      </c>
      <c r="G9" s="5" t="s">
        <v>5</v>
      </c>
      <c r="H9" s="5" t="s">
        <v>210</v>
      </c>
      <c r="I9" s="152"/>
      <c r="J9" s="135"/>
      <c r="K9" s="135"/>
      <c r="L9" s="135"/>
      <c r="M9" s="135"/>
      <c r="N9" s="135"/>
      <c r="O9" s="135"/>
      <c r="P9" s="3">
        <v>46242</v>
      </c>
      <c r="Q9" s="3" t="s">
        <v>844</v>
      </c>
      <c r="R9" s="3" t="b">
        <v>0</v>
      </c>
      <c r="S9" s="3" t="b">
        <v>0</v>
      </c>
      <c r="T9" s="3" t="b">
        <v>1</v>
      </c>
      <c r="U9" s="3" t="b">
        <v>0</v>
      </c>
      <c r="V9" s="3" t="s">
        <v>845</v>
      </c>
    </row>
    <row r="10" spans="1:22" x14ac:dyDescent="0.25">
      <c r="A10" s="10" t="s">
        <v>49</v>
      </c>
      <c r="B10" s="8" t="s">
        <v>848</v>
      </c>
      <c r="C10" s="6" t="s">
        <v>77</v>
      </c>
      <c r="D10" s="8" t="s">
        <v>215</v>
      </c>
      <c r="E10" s="6" t="s">
        <v>48</v>
      </c>
      <c r="F10" s="6" t="s">
        <v>216</v>
      </c>
      <c r="G10" s="6" t="s">
        <v>6</v>
      </c>
      <c r="H10" s="6" t="s">
        <v>210</v>
      </c>
      <c r="I10" s="153"/>
      <c r="J10" s="6"/>
      <c r="K10" s="6"/>
      <c r="L10" s="6"/>
      <c r="M10" s="6"/>
      <c r="N10" s="6"/>
      <c r="O10" s="6"/>
      <c r="P10" s="3">
        <v>46242</v>
      </c>
      <c r="Q10" s="3" t="s">
        <v>844</v>
      </c>
      <c r="R10" s="3" t="b">
        <v>1</v>
      </c>
      <c r="S10" s="3" t="b">
        <v>0</v>
      </c>
      <c r="T10" s="3" t="b">
        <v>0</v>
      </c>
      <c r="U10" s="3" t="b">
        <v>0</v>
      </c>
      <c r="V10" s="3" t="s">
        <v>845</v>
      </c>
    </row>
    <row r="11" spans="1:22" x14ac:dyDescent="0.25">
      <c r="A11" s="132" t="s">
        <v>49</v>
      </c>
      <c r="B11" s="19" t="s">
        <v>849</v>
      </c>
      <c r="C11" s="133" t="s">
        <v>50</v>
      </c>
      <c r="D11" s="19" t="s">
        <v>208</v>
      </c>
      <c r="E11" s="5" t="s">
        <v>51</v>
      </c>
      <c r="F11" s="19" t="s">
        <v>209</v>
      </c>
      <c r="G11" s="5" t="s">
        <v>5</v>
      </c>
      <c r="H11" s="5" t="s">
        <v>210</v>
      </c>
      <c r="I11" s="152"/>
      <c r="J11" s="135"/>
      <c r="K11" s="135"/>
      <c r="L11" s="135"/>
      <c r="M11" s="135"/>
      <c r="N11" s="135"/>
      <c r="O11" s="135"/>
      <c r="P11" s="3">
        <v>46242</v>
      </c>
      <c r="Q11" s="3" t="s">
        <v>844</v>
      </c>
      <c r="R11" s="3" t="b">
        <v>0</v>
      </c>
      <c r="S11" s="3" t="b">
        <v>0</v>
      </c>
      <c r="T11" s="3" t="b">
        <v>1</v>
      </c>
      <c r="U11" s="3" t="b">
        <v>0</v>
      </c>
      <c r="V11" s="3" t="s">
        <v>845</v>
      </c>
    </row>
    <row r="12" spans="1:22" x14ac:dyDescent="0.25">
      <c r="A12" s="10" t="s">
        <v>49</v>
      </c>
      <c r="B12" s="8" t="s">
        <v>57</v>
      </c>
      <c r="C12" s="6" t="s">
        <v>56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153"/>
      <c r="J12" s="6"/>
      <c r="K12" s="6"/>
      <c r="L12" s="6"/>
      <c r="M12" s="6"/>
      <c r="N12" s="6"/>
      <c r="O12" s="6"/>
      <c r="P12" s="3">
        <v>46242</v>
      </c>
      <c r="Q12" s="3" t="s">
        <v>844</v>
      </c>
      <c r="R12" s="3" t="b">
        <v>0</v>
      </c>
      <c r="S12" s="3" t="b">
        <v>0</v>
      </c>
      <c r="T12" s="3" t="b">
        <v>1</v>
      </c>
      <c r="U12" s="3" t="b">
        <v>0</v>
      </c>
      <c r="V12" s="3" t="s">
        <v>845</v>
      </c>
    </row>
    <row r="13" spans="1:22" x14ac:dyDescent="0.25">
      <c r="A13" s="132" t="s">
        <v>49</v>
      </c>
      <c r="B13" s="19" t="s">
        <v>57</v>
      </c>
      <c r="C13" s="133" t="s">
        <v>53</v>
      </c>
      <c r="D13" s="19" t="s">
        <v>215</v>
      </c>
      <c r="E13" s="5" t="s">
        <v>54</v>
      </c>
      <c r="F13" s="19" t="s">
        <v>219</v>
      </c>
      <c r="G13" s="5" t="s">
        <v>6</v>
      </c>
      <c r="H13" s="5" t="s">
        <v>218</v>
      </c>
      <c r="I13" s="152"/>
      <c r="J13" s="135"/>
      <c r="K13" s="135"/>
      <c r="L13" s="135"/>
      <c r="M13" s="135"/>
      <c r="N13" s="135"/>
      <c r="O13" s="135"/>
      <c r="P13" s="3">
        <v>46242</v>
      </c>
      <c r="Q13" s="3" t="s">
        <v>850</v>
      </c>
      <c r="R13" s="3" t="b">
        <v>0</v>
      </c>
      <c r="S13" s="3" t="b">
        <v>0</v>
      </c>
      <c r="T13" s="3" t="b">
        <v>1</v>
      </c>
      <c r="U13" s="3" t="b">
        <v>0</v>
      </c>
      <c r="V13" s="3" t="s">
        <v>845</v>
      </c>
    </row>
    <row r="14" spans="1:22" x14ac:dyDescent="0.25">
      <c r="A14" s="10" t="s">
        <v>49</v>
      </c>
      <c r="B14" s="8" t="s">
        <v>57</v>
      </c>
      <c r="C14" s="6" t="s">
        <v>58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153"/>
      <c r="J14" s="6"/>
      <c r="K14" s="6"/>
      <c r="L14" s="6"/>
      <c r="M14" s="6"/>
      <c r="N14" s="6"/>
      <c r="O14" s="6"/>
      <c r="P14" s="3">
        <v>46242</v>
      </c>
      <c r="Q14" s="3" t="s">
        <v>850</v>
      </c>
      <c r="R14" s="3" t="b">
        <v>0</v>
      </c>
      <c r="S14" s="3" t="b">
        <v>0</v>
      </c>
      <c r="T14" s="3" t="b">
        <v>1</v>
      </c>
      <c r="U14" s="3" t="b">
        <v>0</v>
      </c>
      <c r="V14" s="3" t="s">
        <v>845</v>
      </c>
    </row>
    <row r="15" spans="1:22" x14ac:dyDescent="0.25">
      <c r="A15" s="132" t="s">
        <v>49</v>
      </c>
      <c r="B15" s="19" t="s">
        <v>57</v>
      </c>
      <c r="C15" s="133" t="s">
        <v>169</v>
      </c>
      <c r="D15" s="19" t="s">
        <v>402</v>
      </c>
      <c r="E15" s="5" t="s">
        <v>48</v>
      </c>
      <c r="F15" s="19" t="s">
        <v>216</v>
      </c>
      <c r="G15" s="5" t="s">
        <v>5</v>
      </c>
      <c r="H15" s="5" t="s">
        <v>218</v>
      </c>
      <c r="I15" s="152"/>
      <c r="J15" s="135"/>
      <c r="K15" s="135"/>
      <c r="L15" s="135"/>
      <c r="M15" s="135"/>
      <c r="N15" s="135"/>
      <c r="O15" s="135"/>
      <c r="P15" s="3">
        <v>46242</v>
      </c>
      <c r="Q15" s="3" t="s">
        <v>850</v>
      </c>
      <c r="R15" s="3" t="b">
        <v>0</v>
      </c>
      <c r="S15" s="3" t="b">
        <v>0</v>
      </c>
      <c r="T15" s="3" t="b">
        <v>1</v>
      </c>
      <c r="U15" s="3" t="b">
        <v>0</v>
      </c>
      <c r="V15" s="3" t="s">
        <v>845</v>
      </c>
    </row>
    <row r="16" spans="1:22" x14ac:dyDescent="0.25">
      <c r="A16" s="10" t="s">
        <v>49</v>
      </c>
      <c r="B16" s="8" t="s">
        <v>851</v>
      </c>
      <c r="C16" s="6" t="s">
        <v>129</v>
      </c>
      <c r="D16" s="8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153"/>
      <c r="J16" s="6"/>
      <c r="K16" s="6"/>
      <c r="L16" s="6"/>
      <c r="M16" s="6"/>
      <c r="N16" s="6"/>
      <c r="O16" s="6"/>
      <c r="P16" s="3">
        <v>46242</v>
      </c>
      <c r="Q16" s="3" t="s">
        <v>844</v>
      </c>
      <c r="R16" s="3" t="b">
        <v>0</v>
      </c>
      <c r="S16" s="3" t="b">
        <v>0</v>
      </c>
      <c r="T16" s="3" t="b">
        <v>1</v>
      </c>
      <c r="U16" s="3" t="b">
        <v>0</v>
      </c>
      <c r="V16" s="3" t="s">
        <v>845</v>
      </c>
    </row>
    <row r="17" spans="1:22" x14ac:dyDescent="0.25">
      <c r="A17" s="132" t="s">
        <v>49</v>
      </c>
      <c r="B17" s="19" t="s">
        <v>852</v>
      </c>
      <c r="C17" s="133" t="s">
        <v>72</v>
      </c>
      <c r="D17" s="19" t="s">
        <v>225</v>
      </c>
      <c r="E17" s="5" t="s">
        <v>51</v>
      </c>
      <c r="F17" s="19" t="s">
        <v>209</v>
      </c>
      <c r="G17" s="5" t="s">
        <v>5</v>
      </c>
      <c r="H17" s="5" t="s">
        <v>210</v>
      </c>
      <c r="I17" s="152"/>
      <c r="J17" s="135"/>
      <c r="K17" s="135"/>
      <c r="L17" s="135"/>
      <c r="M17" s="135"/>
      <c r="N17" s="135"/>
      <c r="O17" s="135"/>
      <c r="P17" s="3">
        <v>46242</v>
      </c>
      <c r="Q17" s="3" t="s">
        <v>844</v>
      </c>
      <c r="R17" s="3" t="b">
        <v>1</v>
      </c>
      <c r="S17" s="3" t="b">
        <v>0</v>
      </c>
      <c r="T17" s="3" t="b">
        <v>0</v>
      </c>
      <c r="U17" s="3" t="b">
        <v>0</v>
      </c>
      <c r="V17" s="3" t="s">
        <v>845</v>
      </c>
    </row>
    <row r="18" spans="1:22" x14ac:dyDescent="0.25">
      <c r="A18" s="10" t="s">
        <v>68</v>
      </c>
      <c r="B18" s="8" t="s">
        <v>853</v>
      </c>
      <c r="C18" s="6" t="s">
        <v>100</v>
      </c>
      <c r="D18" s="8" t="s">
        <v>240</v>
      </c>
      <c r="E18" s="6" t="s">
        <v>86</v>
      </c>
      <c r="F18" s="6" t="s">
        <v>241</v>
      </c>
      <c r="G18" s="6" t="s">
        <v>5</v>
      </c>
      <c r="H18" s="6" t="s">
        <v>218</v>
      </c>
      <c r="I18" s="153"/>
      <c r="J18" s="6"/>
      <c r="K18" s="6"/>
      <c r="L18" s="6"/>
      <c r="M18" s="6"/>
      <c r="N18" s="6"/>
      <c r="O18" s="6"/>
      <c r="P18" s="3">
        <v>46241</v>
      </c>
      <c r="Q18" s="3" t="s">
        <v>850</v>
      </c>
      <c r="R18" s="3" t="b">
        <v>0</v>
      </c>
      <c r="S18" s="3" t="b">
        <v>0</v>
      </c>
      <c r="T18" s="3" t="b">
        <v>0</v>
      </c>
      <c r="U18" s="3" t="b">
        <v>1</v>
      </c>
      <c r="V18" s="3" t="s">
        <v>854</v>
      </c>
    </row>
    <row r="19" spans="1:22" x14ac:dyDescent="0.25">
      <c r="A19" s="132" t="s">
        <v>68</v>
      </c>
      <c r="B19" s="19" t="s">
        <v>57</v>
      </c>
      <c r="C19" s="133" t="s">
        <v>69</v>
      </c>
      <c r="D19" s="19" t="s">
        <v>208</v>
      </c>
      <c r="E19" s="5" t="s">
        <v>51</v>
      </c>
      <c r="F19" s="19" t="s">
        <v>209</v>
      </c>
      <c r="G19" s="5" t="s">
        <v>5</v>
      </c>
      <c r="H19" s="5" t="s">
        <v>210</v>
      </c>
      <c r="I19" s="152"/>
      <c r="J19" s="135"/>
      <c r="K19" s="135"/>
      <c r="L19" s="135"/>
      <c r="M19" s="135"/>
      <c r="N19" s="135"/>
      <c r="O19" s="135"/>
      <c r="P19" s="3">
        <v>46241</v>
      </c>
      <c r="Q19" s="3" t="s">
        <v>844</v>
      </c>
      <c r="R19" s="3" t="b">
        <v>0</v>
      </c>
      <c r="S19" s="3" t="b">
        <v>0</v>
      </c>
      <c r="T19" s="3" t="b">
        <v>0</v>
      </c>
      <c r="U19" s="3" t="b">
        <v>1</v>
      </c>
      <c r="V19" s="3" t="s">
        <v>854</v>
      </c>
    </row>
    <row r="20" spans="1:22" x14ac:dyDescent="0.25">
      <c r="A20" s="10" t="s">
        <v>68</v>
      </c>
      <c r="B20" s="8" t="s">
        <v>57</v>
      </c>
      <c r="C20" s="6" t="s">
        <v>151</v>
      </c>
      <c r="D20" s="8" t="s">
        <v>208</v>
      </c>
      <c r="E20" s="6" t="s">
        <v>51</v>
      </c>
      <c r="F20" s="6" t="s">
        <v>209</v>
      </c>
      <c r="G20" s="6" t="s">
        <v>5</v>
      </c>
      <c r="H20" s="6" t="s">
        <v>210</v>
      </c>
      <c r="I20" s="153"/>
      <c r="J20" s="6"/>
      <c r="K20" s="6"/>
      <c r="L20" s="6"/>
      <c r="M20" s="6"/>
      <c r="N20" s="6"/>
      <c r="O20" s="6"/>
      <c r="P20" s="3">
        <v>46241</v>
      </c>
      <c r="Q20" s="3" t="s">
        <v>844</v>
      </c>
      <c r="R20" s="3" t="b">
        <v>0</v>
      </c>
      <c r="S20" s="3" t="b">
        <v>0</v>
      </c>
      <c r="T20" s="3" t="b">
        <v>1</v>
      </c>
      <c r="U20" s="3" t="b">
        <v>0</v>
      </c>
      <c r="V20" s="3" t="s">
        <v>854</v>
      </c>
    </row>
    <row r="21" spans="1:22" x14ac:dyDescent="0.25">
      <c r="A21" s="132" t="s">
        <v>68</v>
      </c>
      <c r="B21" s="19" t="s">
        <v>57</v>
      </c>
      <c r="C21" s="133" t="s">
        <v>112</v>
      </c>
      <c r="D21" s="19" t="s">
        <v>402</v>
      </c>
      <c r="E21" s="5" t="s">
        <v>48</v>
      </c>
      <c r="F21" s="19" t="s">
        <v>216</v>
      </c>
      <c r="G21" s="5" t="s">
        <v>5</v>
      </c>
      <c r="H21" s="5" t="s">
        <v>210</v>
      </c>
      <c r="I21" s="152"/>
      <c r="J21" s="135"/>
      <c r="K21" s="135"/>
      <c r="L21" s="135"/>
      <c r="M21" s="135"/>
      <c r="N21" s="135"/>
      <c r="O21" s="135"/>
      <c r="P21" s="3">
        <v>46241</v>
      </c>
      <c r="Q21" s="3" t="s">
        <v>844</v>
      </c>
      <c r="R21" s="3" t="b">
        <v>0</v>
      </c>
      <c r="S21" s="3" t="b">
        <v>0</v>
      </c>
      <c r="T21" s="3" t="b">
        <v>0</v>
      </c>
      <c r="U21" s="3" t="b">
        <v>1</v>
      </c>
      <c r="V21" s="3" t="s">
        <v>854</v>
      </c>
    </row>
    <row r="22" spans="1:22" x14ac:dyDescent="0.25">
      <c r="A22" s="10" t="s">
        <v>68</v>
      </c>
      <c r="B22" s="8" t="s">
        <v>57</v>
      </c>
      <c r="C22" s="6" t="s">
        <v>109</v>
      </c>
      <c r="D22" s="8" t="s">
        <v>402</v>
      </c>
      <c r="E22" s="6" t="s">
        <v>48</v>
      </c>
      <c r="F22" s="6" t="s">
        <v>216</v>
      </c>
      <c r="G22" s="6" t="s">
        <v>5</v>
      </c>
      <c r="H22" s="6" t="s">
        <v>218</v>
      </c>
      <c r="I22" s="153"/>
      <c r="J22" s="6"/>
      <c r="K22" s="6"/>
      <c r="L22" s="6"/>
      <c r="M22" s="6"/>
      <c r="N22" s="6"/>
      <c r="O22" s="6"/>
      <c r="P22" s="3">
        <v>46241</v>
      </c>
      <c r="Q22" s="3" t="s">
        <v>850</v>
      </c>
      <c r="R22" s="3" t="b">
        <v>0</v>
      </c>
      <c r="S22" s="3" t="b">
        <v>0</v>
      </c>
      <c r="T22" s="3" t="b">
        <v>0</v>
      </c>
      <c r="U22" s="3" t="b">
        <v>1</v>
      </c>
      <c r="V22" s="3" t="s">
        <v>854</v>
      </c>
    </row>
    <row r="23" spans="1:22" x14ac:dyDescent="0.25">
      <c r="A23" s="132" t="s">
        <v>68</v>
      </c>
      <c r="B23" s="19" t="s">
        <v>57</v>
      </c>
      <c r="C23" s="133" t="s">
        <v>148</v>
      </c>
      <c r="D23" s="19" t="s">
        <v>217</v>
      </c>
      <c r="E23" s="5" t="s">
        <v>48</v>
      </c>
      <c r="F23" s="19" t="s">
        <v>216</v>
      </c>
      <c r="G23" s="5" t="s">
        <v>6</v>
      </c>
      <c r="H23" s="5" t="s">
        <v>218</v>
      </c>
      <c r="I23" s="152"/>
      <c r="J23" s="135"/>
      <c r="K23" s="135"/>
      <c r="L23" s="135"/>
      <c r="M23" s="135"/>
      <c r="N23" s="135"/>
      <c r="O23" s="135"/>
      <c r="P23" s="3">
        <v>46241</v>
      </c>
      <c r="Q23" s="3" t="s">
        <v>850</v>
      </c>
      <c r="R23" s="3" t="b">
        <v>0</v>
      </c>
      <c r="S23" s="3" t="b">
        <v>0</v>
      </c>
      <c r="T23" s="3" t="b">
        <v>0</v>
      </c>
      <c r="U23" s="3" t="b">
        <v>1</v>
      </c>
      <c r="V23" s="3" t="s">
        <v>854</v>
      </c>
    </row>
    <row r="24" spans="1:22" x14ac:dyDescent="0.25">
      <c r="A24" s="10" t="s">
        <v>68</v>
      </c>
      <c r="B24" s="8" t="s">
        <v>855</v>
      </c>
      <c r="C24" s="6" t="s">
        <v>132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153"/>
      <c r="J24" s="6"/>
      <c r="K24" s="6"/>
      <c r="L24" s="6"/>
      <c r="M24" s="6"/>
      <c r="N24" s="6"/>
      <c r="O24" s="6"/>
      <c r="P24" s="3">
        <v>46241</v>
      </c>
      <c r="Q24" s="3" t="s">
        <v>850</v>
      </c>
      <c r="R24" s="3" t="b">
        <v>0</v>
      </c>
      <c r="S24" s="3" t="b">
        <v>0</v>
      </c>
      <c r="T24" s="3" t="b">
        <v>0</v>
      </c>
      <c r="U24" s="3" t="b">
        <v>1</v>
      </c>
      <c r="V24" s="3" t="s">
        <v>854</v>
      </c>
    </row>
    <row r="25" spans="1:22" x14ac:dyDescent="0.25">
      <c r="A25" s="132" t="s">
        <v>68</v>
      </c>
      <c r="B25" s="19" t="s">
        <v>856</v>
      </c>
      <c r="C25" s="133" t="s">
        <v>162</v>
      </c>
      <c r="D25" s="19" t="s">
        <v>240</v>
      </c>
      <c r="E25" s="5" t="s">
        <v>86</v>
      </c>
      <c r="F25" s="19" t="s">
        <v>241</v>
      </c>
      <c r="G25" s="5" t="s">
        <v>5</v>
      </c>
      <c r="H25" s="5" t="s">
        <v>218</v>
      </c>
      <c r="I25" s="152"/>
      <c r="J25" s="135"/>
      <c r="K25" s="135"/>
      <c r="L25" s="135"/>
      <c r="M25" s="135"/>
      <c r="N25" s="135"/>
      <c r="O25" s="135"/>
      <c r="P25" s="3">
        <v>46241</v>
      </c>
      <c r="Q25" s="3" t="s">
        <v>850</v>
      </c>
      <c r="R25" s="3" t="b">
        <v>0</v>
      </c>
      <c r="S25" s="3" t="b">
        <v>0</v>
      </c>
      <c r="T25" s="3" t="b">
        <v>0</v>
      </c>
      <c r="U25" s="3" t="b">
        <v>1</v>
      </c>
      <c r="V25" s="3" t="s">
        <v>854</v>
      </c>
    </row>
    <row r="26" spans="1:22" x14ac:dyDescent="0.25">
      <c r="A26" s="10" t="s">
        <v>68</v>
      </c>
      <c r="B26" s="8" t="s">
        <v>857</v>
      </c>
      <c r="C26" s="6" t="s">
        <v>164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210</v>
      </c>
      <c r="I26" s="153"/>
      <c r="J26" s="6"/>
      <c r="K26" s="6"/>
      <c r="L26" s="6"/>
      <c r="M26" s="6"/>
      <c r="N26" s="6"/>
      <c r="O26" s="6"/>
      <c r="P26" s="3">
        <v>46241</v>
      </c>
      <c r="Q26" s="3" t="s">
        <v>844</v>
      </c>
      <c r="R26" s="3" t="b">
        <v>0</v>
      </c>
      <c r="S26" s="3" t="b">
        <v>0</v>
      </c>
      <c r="T26" s="3" t="b">
        <v>0</v>
      </c>
      <c r="U26" s="3" t="b">
        <v>1</v>
      </c>
      <c r="V26" s="3" t="s">
        <v>854</v>
      </c>
    </row>
    <row r="27" spans="1:22" x14ac:dyDescent="0.25">
      <c r="A27" s="132" t="s">
        <v>68</v>
      </c>
      <c r="B27" s="19" t="s">
        <v>858</v>
      </c>
      <c r="C27" s="133" t="s">
        <v>167</v>
      </c>
      <c r="D27" s="19" t="s">
        <v>240</v>
      </c>
      <c r="E27" s="5" t="s">
        <v>86</v>
      </c>
      <c r="F27" s="19" t="s">
        <v>241</v>
      </c>
      <c r="G27" s="5" t="s">
        <v>5</v>
      </c>
      <c r="H27" s="5" t="s">
        <v>218</v>
      </c>
      <c r="I27" s="152"/>
      <c r="J27" s="135"/>
      <c r="K27" s="135"/>
      <c r="L27" s="135"/>
      <c r="M27" s="135"/>
      <c r="N27" s="135"/>
      <c r="O27" s="135"/>
      <c r="P27" s="3">
        <v>46241</v>
      </c>
      <c r="Q27" s="3" t="s">
        <v>850</v>
      </c>
      <c r="R27" s="3" t="b">
        <v>0</v>
      </c>
      <c r="S27" s="3" t="b">
        <v>0</v>
      </c>
      <c r="T27" s="3" t="b">
        <v>1</v>
      </c>
      <c r="U27" s="3" t="b">
        <v>0</v>
      </c>
      <c r="V27" s="3" t="s">
        <v>854</v>
      </c>
    </row>
    <row r="28" spans="1:22" x14ac:dyDescent="0.25">
      <c r="A28" s="10" t="s">
        <v>732</v>
      </c>
      <c r="B28" s="8" t="s">
        <v>859</v>
      </c>
      <c r="C28" s="6" t="s">
        <v>125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218</v>
      </c>
      <c r="I28" s="153"/>
      <c r="J28" s="6"/>
      <c r="K28" s="6"/>
      <c r="L28" s="6"/>
      <c r="M28" s="6"/>
      <c r="N28" s="6"/>
      <c r="O28" s="6"/>
      <c r="P28" s="3">
        <v>46241</v>
      </c>
      <c r="Q28" s="3" t="s">
        <v>850</v>
      </c>
      <c r="R28" s="3" t="b">
        <v>0</v>
      </c>
      <c r="S28" s="3" t="b">
        <v>0</v>
      </c>
      <c r="T28" s="3" t="b">
        <v>0</v>
      </c>
      <c r="U28" s="3" t="b">
        <v>1</v>
      </c>
      <c r="V28" s="3" t="s">
        <v>854</v>
      </c>
    </row>
    <row r="29" spans="1:22" x14ac:dyDescent="0.25">
      <c r="A29" s="132" t="s">
        <v>732</v>
      </c>
      <c r="B29" s="19" t="s">
        <v>860</v>
      </c>
      <c r="C29" s="133" t="s">
        <v>144</v>
      </c>
      <c r="D29" s="19" t="s">
        <v>240</v>
      </c>
      <c r="E29" s="5" t="s">
        <v>86</v>
      </c>
      <c r="F29" s="19" t="s">
        <v>241</v>
      </c>
      <c r="G29" s="5" t="s">
        <v>5</v>
      </c>
      <c r="H29" s="5" t="s">
        <v>210</v>
      </c>
      <c r="I29" s="152"/>
      <c r="J29" s="135"/>
      <c r="K29" s="135"/>
      <c r="L29" s="135"/>
      <c r="M29" s="135"/>
      <c r="N29" s="135"/>
      <c r="O29" s="135"/>
      <c r="P29" s="3">
        <v>46241</v>
      </c>
      <c r="Q29" s="3" t="s">
        <v>844</v>
      </c>
      <c r="R29" s="3" t="b">
        <v>0</v>
      </c>
      <c r="S29" s="3" t="b">
        <v>0</v>
      </c>
      <c r="T29" s="3" t="b">
        <v>0</v>
      </c>
      <c r="U29" s="3" t="b">
        <v>1</v>
      </c>
      <c r="V29" s="3" t="s">
        <v>854</v>
      </c>
    </row>
    <row r="30" spans="1:22" x14ac:dyDescent="0.25">
      <c r="A30" s="10" t="s">
        <v>732</v>
      </c>
      <c r="B30" s="8" t="s">
        <v>861</v>
      </c>
      <c r="C30" s="6" t="s">
        <v>106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153"/>
      <c r="J30" s="6"/>
      <c r="K30" s="6"/>
      <c r="L30" s="6"/>
      <c r="M30" s="6"/>
      <c r="N30" s="6"/>
      <c r="O30" s="6"/>
      <c r="P30" s="3">
        <v>46241</v>
      </c>
      <c r="Q30" s="3" t="s">
        <v>850</v>
      </c>
      <c r="R30" s="3" t="b">
        <v>0</v>
      </c>
      <c r="S30" s="3" t="b">
        <v>0</v>
      </c>
      <c r="T30" s="3" t="b">
        <v>0</v>
      </c>
      <c r="U30" s="3" t="b">
        <v>1</v>
      </c>
      <c r="V30" s="3" t="s">
        <v>854</v>
      </c>
    </row>
    <row r="31" spans="1:22" x14ac:dyDescent="0.25">
      <c r="A31" s="132" t="s">
        <v>732</v>
      </c>
      <c r="B31" s="19" t="s">
        <v>862</v>
      </c>
      <c r="C31" s="133" t="s">
        <v>115</v>
      </c>
      <c r="D31" s="19" t="s">
        <v>208</v>
      </c>
      <c r="E31" s="5" t="s">
        <v>51</v>
      </c>
      <c r="F31" s="19" t="s">
        <v>209</v>
      </c>
      <c r="G31" s="5" t="s">
        <v>5</v>
      </c>
      <c r="H31" s="5" t="s">
        <v>210</v>
      </c>
      <c r="I31" s="152"/>
      <c r="J31" s="135"/>
      <c r="K31" s="135"/>
      <c r="L31" s="135"/>
      <c r="M31" s="135"/>
      <c r="N31" s="135"/>
      <c r="O31" s="135"/>
      <c r="P31" s="3">
        <v>46241</v>
      </c>
      <c r="Q31" s="3" t="s">
        <v>844</v>
      </c>
      <c r="R31" s="3" t="b">
        <v>0</v>
      </c>
      <c r="S31" s="3" t="b">
        <v>0</v>
      </c>
      <c r="T31" s="3" t="b">
        <v>0</v>
      </c>
      <c r="U31" s="3" t="b">
        <v>1</v>
      </c>
      <c r="V31" s="3" t="s">
        <v>854</v>
      </c>
    </row>
    <row r="32" spans="1:22" x14ac:dyDescent="0.25">
      <c r="A32" s="10" t="s">
        <v>732</v>
      </c>
      <c r="B32" s="8" t="s">
        <v>863</v>
      </c>
      <c r="C32" s="6" t="s">
        <v>135</v>
      </c>
      <c r="D32" s="8" t="s">
        <v>208</v>
      </c>
      <c r="E32" s="6" t="s">
        <v>51</v>
      </c>
      <c r="F32" s="6" t="s">
        <v>209</v>
      </c>
      <c r="G32" s="6" t="s">
        <v>5</v>
      </c>
      <c r="H32" s="6" t="s">
        <v>210</v>
      </c>
      <c r="I32" s="153"/>
      <c r="J32" s="6"/>
      <c r="K32" s="6"/>
      <c r="L32" s="6"/>
      <c r="M32" s="6"/>
      <c r="N32" s="6"/>
      <c r="O32" s="6"/>
      <c r="P32" s="3">
        <v>46241</v>
      </c>
      <c r="Q32" s="3" t="s">
        <v>844</v>
      </c>
      <c r="R32" s="3" t="b">
        <v>0</v>
      </c>
      <c r="S32" s="3" t="b">
        <v>0</v>
      </c>
      <c r="T32" s="3" t="b">
        <v>1</v>
      </c>
      <c r="U32" s="3" t="b">
        <v>0</v>
      </c>
      <c r="V32" s="3" t="s">
        <v>854</v>
      </c>
    </row>
    <row r="33" spans="1:22" ht="18" customHeight="1" x14ac:dyDescent="0.25">
      <c r="A33" s="132" t="s">
        <v>732</v>
      </c>
      <c r="B33" s="19" t="s">
        <v>864</v>
      </c>
      <c r="C33" s="133" t="s">
        <v>103</v>
      </c>
      <c r="D33" s="19" t="s">
        <v>208</v>
      </c>
      <c r="E33" s="5" t="s">
        <v>51</v>
      </c>
      <c r="F33" s="19" t="s">
        <v>209</v>
      </c>
      <c r="G33" s="5" t="s">
        <v>5</v>
      </c>
      <c r="H33" s="5" t="s">
        <v>218</v>
      </c>
      <c r="I33" s="152"/>
      <c r="J33" s="135"/>
      <c r="K33" s="135"/>
      <c r="L33" s="135"/>
      <c r="M33" s="135"/>
      <c r="N33" s="135"/>
      <c r="O33" s="135"/>
      <c r="P33" s="3">
        <v>46241</v>
      </c>
      <c r="Q33" s="3" t="s">
        <v>850</v>
      </c>
      <c r="R33" s="3" t="b">
        <v>0</v>
      </c>
      <c r="S33" s="3" t="b">
        <v>0</v>
      </c>
      <c r="T33" s="3" t="b">
        <v>0</v>
      </c>
      <c r="U33" s="3" t="b">
        <v>1</v>
      </c>
      <c r="V33" s="3" t="s">
        <v>854</v>
      </c>
    </row>
    <row r="34" spans="1:22" x14ac:dyDescent="0.25">
      <c r="A34" s="10" t="s">
        <v>732</v>
      </c>
      <c r="B34" s="8" t="s">
        <v>865</v>
      </c>
      <c r="C34" s="6" t="s">
        <v>119</v>
      </c>
      <c r="D34" s="8" t="s">
        <v>240</v>
      </c>
      <c r="E34" s="6" t="s">
        <v>86</v>
      </c>
      <c r="F34" s="6" t="s">
        <v>241</v>
      </c>
      <c r="G34" s="6" t="s">
        <v>5</v>
      </c>
      <c r="H34" s="6" t="s">
        <v>218</v>
      </c>
      <c r="I34" s="153"/>
      <c r="J34" s="6"/>
      <c r="K34" s="6"/>
      <c r="L34" s="6"/>
      <c r="M34" s="6"/>
      <c r="N34" s="6"/>
      <c r="O34" s="6"/>
      <c r="P34" s="3">
        <v>46241</v>
      </c>
      <c r="Q34" s="3" t="s">
        <v>850</v>
      </c>
      <c r="R34" s="3" t="b">
        <v>0</v>
      </c>
      <c r="S34" s="3" t="b">
        <v>0</v>
      </c>
      <c r="T34" s="3" t="b">
        <v>0</v>
      </c>
      <c r="U34" s="3" t="b">
        <v>1</v>
      </c>
      <c r="V34" s="3" t="s">
        <v>854</v>
      </c>
    </row>
    <row r="35" spans="1:22" x14ac:dyDescent="0.25">
      <c r="A35" s="132" t="s">
        <v>732</v>
      </c>
      <c r="B35" s="19" t="s">
        <v>866</v>
      </c>
      <c r="C35" s="133" t="s">
        <v>137</v>
      </c>
      <c r="D35" s="19" t="s">
        <v>240</v>
      </c>
      <c r="E35" s="5" t="s">
        <v>86</v>
      </c>
      <c r="F35" s="19" t="s">
        <v>241</v>
      </c>
      <c r="G35" s="5" t="s">
        <v>5</v>
      </c>
      <c r="H35" s="5" t="s">
        <v>210</v>
      </c>
      <c r="I35" s="152"/>
      <c r="J35" s="135"/>
      <c r="K35" s="135"/>
      <c r="L35" s="135"/>
      <c r="M35" s="135"/>
      <c r="N35" s="135"/>
      <c r="O35" s="135"/>
      <c r="P35" s="3">
        <v>46242</v>
      </c>
      <c r="Q35" s="3" t="s">
        <v>844</v>
      </c>
      <c r="R35" s="3" t="b">
        <v>0</v>
      </c>
      <c r="S35" s="3" t="b">
        <v>0</v>
      </c>
      <c r="T35" s="3" t="b">
        <v>0</v>
      </c>
      <c r="U35" s="3" t="b">
        <v>1</v>
      </c>
      <c r="V35" s="3" t="s">
        <v>854</v>
      </c>
    </row>
    <row r="36" spans="1:22" x14ac:dyDescent="0.25">
      <c r="A36" s="10" t="s">
        <v>732</v>
      </c>
      <c r="B36" s="8" t="s">
        <v>867</v>
      </c>
      <c r="C36" s="6" t="s">
        <v>85</v>
      </c>
      <c r="D36" s="8" t="s">
        <v>240</v>
      </c>
      <c r="E36" s="6" t="s">
        <v>86</v>
      </c>
      <c r="F36" s="6" t="s">
        <v>241</v>
      </c>
      <c r="G36" s="6" t="s">
        <v>5</v>
      </c>
      <c r="H36" s="6" t="s">
        <v>218</v>
      </c>
      <c r="I36" s="153"/>
      <c r="J36" s="6"/>
      <c r="K36" s="6"/>
      <c r="L36" s="6"/>
      <c r="M36" s="6"/>
      <c r="N36" s="6"/>
      <c r="O36" s="6"/>
      <c r="P36" s="3">
        <v>46242</v>
      </c>
      <c r="Q36" s="3" t="s">
        <v>850</v>
      </c>
      <c r="R36" s="3" t="b">
        <v>0</v>
      </c>
      <c r="S36" s="3" t="b">
        <v>0</v>
      </c>
      <c r="T36" s="3" t="b">
        <v>0</v>
      </c>
      <c r="U36" s="3" t="b">
        <v>1</v>
      </c>
      <c r="V36" s="3" t="s">
        <v>854</v>
      </c>
    </row>
    <row r="37" spans="1:22" x14ac:dyDescent="0.25">
      <c r="A37" s="132" t="s">
        <v>732</v>
      </c>
      <c r="B37" s="19" t="s">
        <v>868</v>
      </c>
      <c r="C37" s="133" t="s">
        <v>122</v>
      </c>
      <c r="D37" s="19" t="s">
        <v>240</v>
      </c>
      <c r="E37" s="5" t="s">
        <v>86</v>
      </c>
      <c r="F37" s="19" t="s">
        <v>241</v>
      </c>
      <c r="G37" s="5" t="s">
        <v>5</v>
      </c>
      <c r="H37" s="5" t="s">
        <v>218</v>
      </c>
      <c r="I37" s="152"/>
      <c r="J37" s="135"/>
      <c r="K37" s="135"/>
      <c r="L37" s="135"/>
      <c r="M37" s="135"/>
      <c r="N37" s="135"/>
      <c r="O37" s="135"/>
      <c r="P37" s="3">
        <v>46242</v>
      </c>
      <c r="Q37" s="3" t="s">
        <v>850</v>
      </c>
      <c r="R37" s="3" t="b">
        <v>0</v>
      </c>
      <c r="S37" s="3" t="b">
        <v>0</v>
      </c>
      <c r="T37" s="3" t="b">
        <v>1</v>
      </c>
      <c r="U37" s="3" t="b">
        <v>0</v>
      </c>
      <c r="V37" s="3" t="s">
        <v>854</v>
      </c>
    </row>
    <row r="38" spans="1:22" x14ac:dyDescent="0.25">
      <c r="A38" s="10" t="s">
        <v>732</v>
      </c>
      <c r="B38" s="8" t="s">
        <v>869</v>
      </c>
      <c r="C38" s="6" t="s">
        <v>140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210</v>
      </c>
      <c r="I38" s="153"/>
      <c r="J38" s="6"/>
      <c r="K38" s="6"/>
      <c r="L38" s="6"/>
      <c r="M38" s="6"/>
      <c r="N38" s="6"/>
      <c r="O38" s="6"/>
      <c r="P38" s="3">
        <v>46242</v>
      </c>
      <c r="Q38" s="3" t="s">
        <v>844</v>
      </c>
      <c r="R38" s="3" t="b">
        <v>0</v>
      </c>
      <c r="S38" s="3" t="b">
        <v>0</v>
      </c>
      <c r="T38" s="3" t="b">
        <v>1</v>
      </c>
      <c r="U38" s="3" t="b">
        <v>0</v>
      </c>
      <c r="V38" s="3" t="s">
        <v>854</v>
      </c>
    </row>
    <row r="39" spans="1:22" x14ac:dyDescent="0.25">
      <c r="A39" s="132" t="s">
        <v>732</v>
      </c>
      <c r="B39" s="19" t="s">
        <v>870</v>
      </c>
      <c r="C39" s="133" t="s">
        <v>90</v>
      </c>
      <c r="D39" s="19" t="s">
        <v>240</v>
      </c>
      <c r="E39" s="5" t="s">
        <v>86</v>
      </c>
      <c r="F39" s="19" t="s">
        <v>241</v>
      </c>
      <c r="G39" s="5" t="s">
        <v>5</v>
      </c>
      <c r="H39" s="5" t="s">
        <v>218</v>
      </c>
      <c r="I39" s="152"/>
      <c r="J39" s="135"/>
      <c r="K39" s="135"/>
      <c r="L39" s="135"/>
      <c r="M39" s="135"/>
      <c r="N39" s="135"/>
      <c r="O39" s="135"/>
      <c r="P39" s="3">
        <v>46242</v>
      </c>
      <c r="Q39" s="3" t="s">
        <v>850</v>
      </c>
      <c r="R39" s="3" t="b">
        <v>0</v>
      </c>
      <c r="S39" s="3" t="b">
        <v>0</v>
      </c>
      <c r="T39" s="3" t="b">
        <v>0</v>
      </c>
      <c r="U39" s="3" t="b">
        <v>1</v>
      </c>
      <c r="V39" s="3" t="s">
        <v>854</v>
      </c>
    </row>
    <row r="40" spans="1:22" x14ac:dyDescent="0.25">
      <c r="A40" s="10" t="s">
        <v>732</v>
      </c>
      <c r="B40" s="8" t="s">
        <v>871</v>
      </c>
      <c r="C40" s="6" t="s">
        <v>93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153"/>
      <c r="J40" s="6"/>
      <c r="K40" s="6"/>
      <c r="L40" s="6"/>
      <c r="M40" s="6"/>
      <c r="N40" s="6"/>
      <c r="O40" s="6"/>
      <c r="P40" s="3">
        <v>46242</v>
      </c>
      <c r="Q40" s="3" t="s">
        <v>850</v>
      </c>
      <c r="R40" s="3" t="b">
        <v>0</v>
      </c>
      <c r="S40" s="3" t="b">
        <v>0</v>
      </c>
      <c r="T40" s="3" t="b">
        <v>0</v>
      </c>
      <c r="U40" s="3" t="b">
        <v>1</v>
      </c>
      <c r="V40" s="3" t="s">
        <v>854</v>
      </c>
    </row>
    <row r="41" spans="1:22" x14ac:dyDescent="0.25">
      <c r="A41" s="132" t="s">
        <v>732</v>
      </c>
      <c r="B41" s="19" t="s">
        <v>872</v>
      </c>
      <c r="C41" s="133" t="s">
        <v>97</v>
      </c>
      <c r="D41" s="19" t="s">
        <v>240</v>
      </c>
      <c r="E41" s="5" t="s">
        <v>86</v>
      </c>
      <c r="F41" s="19" t="s">
        <v>241</v>
      </c>
      <c r="G41" s="5" t="s">
        <v>5</v>
      </c>
      <c r="H41" s="5" t="s">
        <v>210</v>
      </c>
      <c r="I41" s="152"/>
      <c r="J41" s="135"/>
      <c r="K41" s="135"/>
      <c r="L41" s="135"/>
      <c r="M41" s="135"/>
      <c r="N41" s="135"/>
      <c r="O41" s="135"/>
      <c r="P41" s="3">
        <v>46242</v>
      </c>
      <c r="Q41" s="3" t="s">
        <v>844</v>
      </c>
      <c r="R41" s="3" t="b">
        <v>0</v>
      </c>
      <c r="S41" s="3" t="b">
        <v>0</v>
      </c>
      <c r="T41" s="3" t="b">
        <v>0</v>
      </c>
      <c r="U41" s="3" t="b">
        <v>1</v>
      </c>
      <c r="V41" s="3" t="s">
        <v>854</v>
      </c>
    </row>
    <row r="42" spans="1:22" x14ac:dyDescent="0.25">
      <c r="A42" s="10" t="s">
        <v>732</v>
      </c>
      <c r="B42" s="8" t="s">
        <v>873</v>
      </c>
      <c r="C42" s="6" t="s">
        <v>159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210</v>
      </c>
      <c r="I42" s="153"/>
      <c r="J42" s="6"/>
      <c r="K42" s="6"/>
      <c r="L42" s="6"/>
      <c r="M42" s="6"/>
      <c r="N42" s="6"/>
      <c r="O42" s="6"/>
      <c r="P42" s="3">
        <v>46242</v>
      </c>
      <c r="Q42" s="3" t="s">
        <v>844</v>
      </c>
      <c r="R42" s="3" t="b">
        <v>0</v>
      </c>
      <c r="S42" s="3" t="b">
        <v>0</v>
      </c>
      <c r="T42" s="3" t="b">
        <v>0</v>
      </c>
      <c r="U42" s="3" t="b">
        <v>1</v>
      </c>
      <c r="V42" s="3" t="s">
        <v>854</v>
      </c>
    </row>
    <row r="43" spans="1:22" x14ac:dyDescent="0.25">
      <c r="A43" s="132" t="s">
        <v>732</v>
      </c>
      <c r="B43" s="19" t="s">
        <v>874</v>
      </c>
      <c r="C43" s="133" t="s">
        <v>156</v>
      </c>
      <c r="D43" s="19" t="s">
        <v>240</v>
      </c>
      <c r="E43" s="5" t="s">
        <v>86</v>
      </c>
      <c r="F43" s="19" t="s">
        <v>241</v>
      </c>
      <c r="G43" s="5" t="s">
        <v>5</v>
      </c>
      <c r="H43" s="5" t="s">
        <v>218</v>
      </c>
      <c r="I43" s="152"/>
      <c r="J43" s="135"/>
      <c r="K43" s="135"/>
      <c r="L43" s="135"/>
      <c r="M43" s="135"/>
      <c r="N43" s="135"/>
      <c r="O43" s="135"/>
      <c r="P43" s="3">
        <v>46242</v>
      </c>
      <c r="Q43" s="3" t="s">
        <v>850</v>
      </c>
      <c r="R43" s="3" t="b">
        <v>0</v>
      </c>
      <c r="S43" s="3" t="b">
        <v>0</v>
      </c>
      <c r="T43" s="3" t="b">
        <v>0</v>
      </c>
      <c r="U43" s="3" t="b">
        <v>1</v>
      </c>
      <c r="V43" s="3" t="s">
        <v>854</v>
      </c>
    </row>
    <row r="44" spans="1:22" x14ac:dyDescent="0.25">
      <c r="A44" s="10" t="s">
        <v>732</v>
      </c>
      <c r="B44" s="8" t="s">
        <v>875</v>
      </c>
      <c r="C44" s="6" t="s">
        <v>153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153"/>
      <c r="J44" s="6"/>
      <c r="K44" s="6"/>
      <c r="L44" s="6"/>
      <c r="M44" s="6"/>
      <c r="N44" s="6"/>
      <c r="O44" s="6"/>
      <c r="P44" s="3">
        <v>46242</v>
      </c>
      <c r="Q44" s="3" t="s">
        <v>850</v>
      </c>
      <c r="R44" s="3" t="b">
        <v>0</v>
      </c>
      <c r="S44" s="3" t="b">
        <v>0</v>
      </c>
      <c r="T44" s="3" t="b">
        <v>1</v>
      </c>
      <c r="U44" s="3" t="b">
        <v>0</v>
      </c>
      <c r="V44" s="3" t="s">
        <v>854</v>
      </c>
    </row>
    <row r="45" spans="1:22" x14ac:dyDescent="0.25">
      <c r="A45" s="132"/>
      <c r="B45" s="19"/>
      <c r="C45" s="133"/>
      <c r="D45" s="19"/>
      <c r="E45" s="5"/>
      <c r="F45" s="19"/>
      <c r="G45" s="5"/>
      <c r="H45" s="5"/>
      <c r="I45" s="152"/>
      <c r="J45" s="135"/>
      <c r="K45" s="135"/>
      <c r="L45" s="135"/>
      <c r="M45" s="135"/>
      <c r="N45" s="135"/>
      <c r="O45" s="135"/>
    </row>
    <row r="46" spans="1:22" x14ac:dyDescent="0.25">
      <c r="A46" s="10"/>
      <c r="B46" s="8"/>
      <c r="C46" s="6"/>
      <c r="D46" s="8"/>
      <c r="E46" s="6"/>
      <c r="F46" s="6"/>
      <c r="G46" s="6"/>
      <c r="H46" s="6"/>
      <c r="I46" s="153"/>
      <c r="J46" s="6"/>
      <c r="K46" s="6"/>
      <c r="L46" s="6"/>
      <c r="M46" s="6"/>
      <c r="N46" s="6"/>
      <c r="O46" s="6"/>
    </row>
    <row r="47" spans="1:22" x14ac:dyDescent="0.25">
      <c r="A47" s="132"/>
      <c r="B47" s="19"/>
      <c r="C47" s="133"/>
      <c r="D47" s="19"/>
      <c r="E47" s="5"/>
      <c r="F47" s="19"/>
      <c r="G47" s="5"/>
      <c r="H47" s="5"/>
      <c r="I47" s="134"/>
      <c r="J47" s="135"/>
      <c r="K47" s="135"/>
      <c r="L47" s="135"/>
      <c r="M47" s="135"/>
      <c r="N47" s="135"/>
      <c r="O47" s="135"/>
    </row>
    <row r="48" spans="1:22" x14ac:dyDescent="0.25">
      <c r="A48" s="10"/>
      <c r="B48" s="8"/>
      <c r="C48" s="6"/>
      <c r="D48" s="8"/>
      <c r="E48" s="6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32"/>
      <c r="B49" s="19"/>
      <c r="C49" s="133"/>
      <c r="D49" s="19"/>
      <c r="E49" s="5"/>
      <c r="F49" s="19"/>
      <c r="G49" s="5"/>
      <c r="H49" s="5"/>
      <c r="I49" s="134"/>
      <c r="J49" s="135"/>
      <c r="K49" s="135"/>
      <c r="L49" s="135"/>
      <c r="M49" s="135"/>
      <c r="N49" s="135"/>
      <c r="O49" s="135"/>
    </row>
    <row r="50" spans="1:15" x14ac:dyDescent="0.25">
      <c r="A50" s="10"/>
      <c r="B50" s="8"/>
      <c r="C50" s="6"/>
      <c r="D50" s="8"/>
      <c r="E50" s="6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dataValidations count="1">
    <dataValidation type="list" allowBlank="1" showInputMessage="1" showErrorMessage="1" sqref="J7:J44" xr:uid="{03C155D3-430A-4B99-9776-48BFFB02CC21}">
      <formula1>"Sim,Não"</formula1>
    </dataValidation>
  </dataValidations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65B-A9A8-40E2-B595-820FF490D69A}">
  <sheetPr codeName="Planilha25">
    <tabColor rgb="FFFFC000"/>
    <pageSetUpPr fitToPage="1"/>
  </sheetPr>
  <dimension ref="A1:O127"/>
  <sheetViews>
    <sheetView showGridLines="0" zoomScale="70" zoomScaleNormal="70" zoomScaleSheetLayoutView="80" workbookViewId="0">
      <selection activeCell="L14" sqref="L14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12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876</v>
      </c>
      <c r="C3" s="26"/>
      <c r="D3" s="35" t="s">
        <v>877</v>
      </c>
      <c r="E3" s="27"/>
      <c r="F3" s="28"/>
      <c r="G3" s="28"/>
      <c r="H3" s="35" t="s">
        <v>196</v>
      </c>
      <c r="I3" s="27"/>
      <c r="J3" s="27"/>
      <c r="K3" s="35" t="s">
        <v>878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 t="s">
        <v>49</v>
      </c>
      <c r="B7" s="9" t="s">
        <v>879</v>
      </c>
      <c r="C7" s="13" t="s">
        <v>81</v>
      </c>
      <c r="D7" s="9" t="s">
        <v>225</v>
      </c>
      <c r="E7" s="7" t="s">
        <v>51</v>
      </c>
      <c r="F7" s="7" t="s">
        <v>209</v>
      </c>
      <c r="G7" s="7" t="s">
        <v>5</v>
      </c>
      <c r="H7" s="7" t="s">
        <v>210</v>
      </c>
      <c r="I7" s="137">
        <v>46203</v>
      </c>
      <c r="J7" s="1" t="s">
        <v>266</v>
      </c>
      <c r="K7" s="1"/>
      <c r="L7" s="1"/>
      <c r="M7" s="1"/>
      <c r="N7" s="1" t="s">
        <v>267</v>
      </c>
      <c r="O7" s="1" t="s">
        <v>367</v>
      </c>
    </row>
    <row r="8" spans="1:15" x14ac:dyDescent="0.25">
      <c r="A8" s="6" t="s">
        <v>49</v>
      </c>
      <c r="B8" s="8" t="s">
        <v>880</v>
      </c>
      <c r="C8" s="6" t="s">
        <v>61</v>
      </c>
      <c r="D8" s="8" t="s">
        <v>225</v>
      </c>
      <c r="E8" s="6" t="s">
        <v>51</v>
      </c>
      <c r="F8" s="6" t="s">
        <v>209</v>
      </c>
      <c r="G8" s="6" t="s">
        <v>5</v>
      </c>
      <c r="H8" s="6" t="s">
        <v>210</v>
      </c>
      <c r="I8" s="136">
        <v>46203</v>
      </c>
      <c r="J8" s="6" t="s">
        <v>266</v>
      </c>
      <c r="K8" s="6"/>
      <c r="L8" s="6"/>
      <c r="M8" s="6" t="s">
        <v>267</v>
      </c>
      <c r="N8" s="6"/>
      <c r="O8" s="6" t="s">
        <v>367</v>
      </c>
    </row>
    <row r="9" spans="1:15" x14ac:dyDescent="0.25">
      <c r="A9" s="7" t="s">
        <v>49</v>
      </c>
      <c r="B9" s="9" t="s">
        <v>881</v>
      </c>
      <c r="C9" s="13" t="s">
        <v>64</v>
      </c>
      <c r="D9" s="9" t="s">
        <v>225</v>
      </c>
      <c r="E9" s="7" t="s">
        <v>51</v>
      </c>
      <c r="F9" s="7" t="s">
        <v>209</v>
      </c>
      <c r="G9" s="7" t="s">
        <v>5</v>
      </c>
      <c r="H9" s="7" t="s">
        <v>210</v>
      </c>
      <c r="I9" s="137">
        <v>46203</v>
      </c>
      <c r="J9" s="1"/>
      <c r="K9" s="1"/>
      <c r="L9" s="1"/>
      <c r="M9" s="1"/>
      <c r="N9" s="1"/>
      <c r="O9" s="1"/>
    </row>
    <row r="10" spans="1:15" x14ac:dyDescent="0.25">
      <c r="A10" s="6" t="s">
        <v>49</v>
      </c>
      <c r="B10" s="8" t="s">
        <v>882</v>
      </c>
      <c r="C10" s="6" t="s">
        <v>77</v>
      </c>
      <c r="D10" s="8" t="s">
        <v>215</v>
      </c>
      <c r="E10" s="6" t="s">
        <v>48</v>
      </c>
      <c r="F10" s="6" t="s">
        <v>216</v>
      </c>
      <c r="G10" s="6" t="s">
        <v>6</v>
      </c>
      <c r="H10" s="6" t="s">
        <v>210</v>
      </c>
      <c r="I10" s="136">
        <v>46203</v>
      </c>
      <c r="J10" s="6" t="s">
        <v>266</v>
      </c>
      <c r="K10" s="6"/>
      <c r="L10" s="6"/>
      <c r="M10" s="6"/>
      <c r="N10" s="6" t="s">
        <v>267</v>
      </c>
      <c r="O10" s="6" t="s">
        <v>367</v>
      </c>
    </row>
    <row r="11" spans="1:15" x14ac:dyDescent="0.25">
      <c r="A11" s="7" t="s">
        <v>49</v>
      </c>
      <c r="B11" s="9" t="s">
        <v>883</v>
      </c>
      <c r="C11" s="13" t="s">
        <v>50</v>
      </c>
      <c r="D11" s="9" t="s">
        <v>225</v>
      </c>
      <c r="E11" s="7" t="s">
        <v>51</v>
      </c>
      <c r="F11" s="7" t="s">
        <v>209</v>
      </c>
      <c r="G11" s="7" t="s">
        <v>5</v>
      </c>
      <c r="H11" s="7" t="s">
        <v>210</v>
      </c>
      <c r="I11" s="137">
        <v>46203</v>
      </c>
      <c r="J11" s="1" t="s">
        <v>266</v>
      </c>
      <c r="K11" s="1"/>
      <c r="L11" s="1"/>
      <c r="M11" s="1"/>
      <c r="N11" s="1" t="s">
        <v>267</v>
      </c>
      <c r="O11" s="1" t="s">
        <v>367</v>
      </c>
    </row>
    <row r="12" spans="1:15" x14ac:dyDescent="0.25">
      <c r="A12" s="6" t="s">
        <v>49</v>
      </c>
      <c r="B12" s="8" t="s">
        <v>57</v>
      </c>
      <c r="C12" s="6" t="s">
        <v>53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136">
        <v>46203</v>
      </c>
      <c r="J12" s="6" t="s">
        <v>266</v>
      </c>
      <c r="K12" s="6"/>
      <c r="L12" s="6"/>
      <c r="M12" s="6"/>
      <c r="N12" s="6" t="s">
        <v>267</v>
      </c>
      <c r="O12" s="6" t="s">
        <v>367</v>
      </c>
    </row>
    <row r="13" spans="1:15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1"/>
      <c r="J13" s="1"/>
      <c r="K13" s="1"/>
      <c r="L13" s="1"/>
      <c r="M13" s="1"/>
      <c r="N13" s="1"/>
      <c r="O13" s="1"/>
    </row>
    <row r="14" spans="1:15" x14ac:dyDescent="0.25">
      <c r="A14" s="6" t="s">
        <v>49</v>
      </c>
      <c r="B14" s="8" t="s">
        <v>57</v>
      </c>
      <c r="C14" s="6" t="s">
        <v>56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10"/>
      <c r="J14" s="6"/>
      <c r="K14" s="6"/>
      <c r="L14" s="6"/>
      <c r="M14" s="6"/>
      <c r="N14" s="6"/>
      <c r="O14" s="6"/>
    </row>
    <row r="15" spans="1:15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1"/>
      <c r="J15" s="1"/>
      <c r="K15" s="1"/>
      <c r="L15" s="1"/>
      <c r="M15" s="1"/>
      <c r="N15" s="1"/>
      <c r="O15" s="1"/>
    </row>
    <row r="16" spans="1:15" x14ac:dyDescent="0.25">
      <c r="A16" s="6" t="s">
        <v>49</v>
      </c>
      <c r="B16" s="8" t="s">
        <v>884</v>
      </c>
      <c r="C16" s="6" t="s">
        <v>129</v>
      </c>
      <c r="D16" s="8" t="s">
        <v>208</v>
      </c>
      <c r="E16" s="6" t="s">
        <v>51</v>
      </c>
      <c r="F16" s="6" t="s">
        <v>209</v>
      </c>
      <c r="G16" s="6" t="s">
        <v>5</v>
      </c>
      <c r="H16" s="6" t="s">
        <v>210</v>
      </c>
      <c r="I16" s="136">
        <v>46203</v>
      </c>
      <c r="J16" s="6" t="s">
        <v>266</v>
      </c>
      <c r="K16" s="6"/>
      <c r="L16" s="6"/>
      <c r="M16" s="6"/>
      <c r="N16" s="6" t="s">
        <v>267</v>
      </c>
      <c r="O16" s="6" t="s">
        <v>367</v>
      </c>
    </row>
    <row r="17" spans="1:15" x14ac:dyDescent="0.25">
      <c r="A17" s="7" t="s">
        <v>49</v>
      </c>
      <c r="B17" s="9" t="s">
        <v>885</v>
      </c>
      <c r="C17" s="13" t="s">
        <v>72</v>
      </c>
      <c r="D17" s="9" t="s">
        <v>225</v>
      </c>
      <c r="E17" s="7" t="s">
        <v>51</v>
      </c>
      <c r="F17" s="7" t="s">
        <v>209</v>
      </c>
      <c r="G17" s="7" t="s">
        <v>5</v>
      </c>
      <c r="H17" s="7" t="s">
        <v>210</v>
      </c>
      <c r="I17" s="137">
        <v>46203</v>
      </c>
      <c r="J17" s="1" t="s">
        <v>266</v>
      </c>
      <c r="K17" s="1"/>
      <c r="L17" s="1"/>
      <c r="M17" s="1"/>
      <c r="N17" s="1" t="s">
        <v>267</v>
      </c>
      <c r="O17" s="1" t="s">
        <v>367</v>
      </c>
    </row>
    <row r="18" spans="1:15" x14ac:dyDescent="0.25">
      <c r="A18" s="6" t="s">
        <v>68</v>
      </c>
      <c r="B18" s="8" t="s">
        <v>57</v>
      </c>
      <c r="C18" s="6" t="s">
        <v>69</v>
      </c>
      <c r="D18" s="8" t="s">
        <v>208</v>
      </c>
      <c r="E18" s="6" t="s">
        <v>51</v>
      </c>
      <c r="F18" s="6" t="s">
        <v>209</v>
      </c>
      <c r="G18" s="6" t="s">
        <v>5</v>
      </c>
      <c r="H18" s="6" t="s">
        <v>210</v>
      </c>
      <c r="I18" s="136">
        <v>46203</v>
      </c>
      <c r="J18" s="6" t="s">
        <v>266</v>
      </c>
      <c r="K18" s="6"/>
      <c r="L18" s="6"/>
      <c r="M18" s="6"/>
      <c r="N18" s="6" t="s">
        <v>267</v>
      </c>
      <c r="O18" s="6" t="s">
        <v>367</v>
      </c>
    </row>
    <row r="19" spans="1:15" x14ac:dyDescent="0.25">
      <c r="A19" s="7" t="s">
        <v>68</v>
      </c>
      <c r="B19" s="9" t="s">
        <v>57</v>
      </c>
      <c r="C19" s="13" t="s">
        <v>151</v>
      </c>
      <c r="D19" s="9" t="s">
        <v>208</v>
      </c>
      <c r="E19" s="7" t="s">
        <v>51</v>
      </c>
      <c r="F19" s="7" t="s">
        <v>209</v>
      </c>
      <c r="G19" s="7" t="s">
        <v>5</v>
      </c>
      <c r="H19" s="7" t="s">
        <v>210</v>
      </c>
      <c r="I19" s="137">
        <v>46203</v>
      </c>
      <c r="J19" s="1" t="s">
        <v>266</v>
      </c>
      <c r="K19" s="1"/>
      <c r="L19" s="1"/>
      <c r="M19" s="1"/>
      <c r="N19" s="1" t="s">
        <v>267</v>
      </c>
      <c r="O19" s="1" t="s">
        <v>367</v>
      </c>
    </row>
    <row r="20" spans="1:15" x14ac:dyDescent="0.25">
      <c r="A20" s="6" t="s">
        <v>68</v>
      </c>
      <c r="B20" s="8" t="s">
        <v>57</v>
      </c>
      <c r="C20" s="6" t="s">
        <v>112</v>
      </c>
      <c r="D20" s="8" t="s">
        <v>402</v>
      </c>
      <c r="E20" s="6" t="s">
        <v>48</v>
      </c>
      <c r="F20" s="6" t="s">
        <v>216</v>
      </c>
      <c r="G20" s="6" t="s">
        <v>5</v>
      </c>
      <c r="H20" s="6" t="s">
        <v>210</v>
      </c>
      <c r="I20" s="10"/>
      <c r="J20" s="6"/>
      <c r="K20" s="6"/>
      <c r="L20" s="6"/>
      <c r="M20" s="6"/>
      <c r="N20" s="6"/>
      <c r="O20" s="6"/>
    </row>
    <row r="21" spans="1:15" x14ac:dyDescent="0.25">
      <c r="A21" s="7" t="s">
        <v>68</v>
      </c>
      <c r="B21" s="9" t="s">
        <v>57</v>
      </c>
      <c r="C21" s="13" t="s">
        <v>109</v>
      </c>
      <c r="D21" s="9" t="s">
        <v>402</v>
      </c>
      <c r="E21" s="7" t="s">
        <v>48</v>
      </c>
      <c r="F21" s="7" t="s">
        <v>216</v>
      </c>
      <c r="G21" s="7" t="s">
        <v>5</v>
      </c>
      <c r="H21" s="7" t="s">
        <v>218</v>
      </c>
      <c r="I21" s="137">
        <v>46203</v>
      </c>
      <c r="J21" s="1" t="s">
        <v>266</v>
      </c>
      <c r="K21" s="1"/>
      <c r="L21" s="1"/>
      <c r="M21" s="1"/>
      <c r="N21" s="1" t="s">
        <v>267</v>
      </c>
      <c r="O21" s="1" t="s">
        <v>367</v>
      </c>
    </row>
    <row r="22" spans="1:15" x14ac:dyDescent="0.25">
      <c r="A22" s="6" t="s">
        <v>68</v>
      </c>
      <c r="B22" s="8" t="s">
        <v>57</v>
      </c>
      <c r="C22" s="6" t="s">
        <v>148</v>
      </c>
      <c r="D22" s="8" t="s">
        <v>217</v>
      </c>
      <c r="E22" s="6" t="s">
        <v>48</v>
      </c>
      <c r="F22" s="6" t="s">
        <v>216</v>
      </c>
      <c r="G22" s="6" t="s">
        <v>6</v>
      </c>
      <c r="H22" s="6" t="s">
        <v>218</v>
      </c>
      <c r="I22" s="10"/>
      <c r="J22" s="6"/>
      <c r="K22" s="6"/>
      <c r="L22" s="6"/>
      <c r="M22" s="6"/>
      <c r="N22" s="6"/>
      <c r="O22" s="6"/>
    </row>
    <row r="23" spans="1:15" x14ac:dyDescent="0.25">
      <c r="A23" s="7" t="s">
        <v>68</v>
      </c>
      <c r="B23" s="9" t="s">
        <v>133</v>
      </c>
      <c r="C23" s="13" t="s">
        <v>159</v>
      </c>
      <c r="D23" s="9" t="s">
        <v>240</v>
      </c>
      <c r="E23" s="7" t="s">
        <v>86</v>
      </c>
      <c r="F23" s="7" t="s">
        <v>241</v>
      </c>
      <c r="G23" s="7" t="s">
        <v>5</v>
      </c>
      <c r="H23" s="7" t="s">
        <v>210</v>
      </c>
      <c r="I23" s="41"/>
      <c r="J23" s="1"/>
      <c r="K23" s="1"/>
      <c r="L23" s="1"/>
      <c r="M23" s="1"/>
      <c r="N23" s="1"/>
      <c r="O23" s="1"/>
    </row>
    <row r="24" spans="1:15" x14ac:dyDescent="0.25">
      <c r="A24" s="6" t="s">
        <v>68</v>
      </c>
      <c r="B24" s="8" t="s">
        <v>886</v>
      </c>
      <c r="C24" s="6" t="s">
        <v>132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10"/>
      <c r="J24" s="6"/>
      <c r="K24" s="6"/>
      <c r="L24" s="6"/>
      <c r="M24" s="6"/>
      <c r="N24" s="6"/>
      <c r="O24" s="6"/>
    </row>
    <row r="25" spans="1:15" x14ac:dyDescent="0.25">
      <c r="A25" s="7" t="s">
        <v>68</v>
      </c>
      <c r="B25" s="9" t="s">
        <v>887</v>
      </c>
      <c r="C25" s="13" t="s">
        <v>162</v>
      </c>
      <c r="D25" s="9" t="s">
        <v>240</v>
      </c>
      <c r="E25" s="7" t="s">
        <v>86</v>
      </c>
      <c r="F25" s="7" t="s">
        <v>241</v>
      </c>
      <c r="G25" s="7" t="s">
        <v>5</v>
      </c>
      <c r="H25" s="7" t="s">
        <v>218</v>
      </c>
      <c r="I25" s="41"/>
      <c r="J25" s="1"/>
      <c r="K25" s="1"/>
      <c r="L25" s="1"/>
      <c r="M25" s="1"/>
      <c r="N25" s="1"/>
      <c r="O25" s="1"/>
    </row>
    <row r="26" spans="1:15" x14ac:dyDescent="0.25">
      <c r="A26" s="6" t="s">
        <v>68</v>
      </c>
      <c r="B26" s="8" t="s">
        <v>888</v>
      </c>
      <c r="C26" s="6" t="s">
        <v>164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210</v>
      </c>
      <c r="I26" s="136">
        <v>46203</v>
      </c>
      <c r="J26" s="6" t="s">
        <v>266</v>
      </c>
      <c r="K26" s="6"/>
      <c r="L26" s="6"/>
      <c r="M26" s="6"/>
      <c r="N26" s="6" t="s">
        <v>267</v>
      </c>
      <c r="O26" s="6" t="s">
        <v>367</v>
      </c>
    </row>
    <row r="27" spans="1:15" x14ac:dyDescent="0.25">
      <c r="A27" s="7" t="s">
        <v>68</v>
      </c>
      <c r="B27" s="9" t="s">
        <v>889</v>
      </c>
      <c r="C27" s="13" t="s">
        <v>167</v>
      </c>
      <c r="D27" s="9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1"/>
      <c r="J27" s="1"/>
      <c r="K27" s="1"/>
      <c r="L27" s="1"/>
      <c r="M27" s="1"/>
      <c r="N27" s="1"/>
      <c r="O27" s="1"/>
    </row>
    <row r="28" spans="1:15" x14ac:dyDescent="0.25">
      <c r="A28" s="6" t="s">
        <v>732</v>
      </c>
      <c r="B28" s="8" t="s">
        <v>890</v>
      </c>
      <c r="C28" s="6" t="s">
        <v>125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218</v>
      </c>
      <c r="I28" s="10"/>
      <c r="J28" s="6"/>
      <c r="K28" s="6"/>
      <c r="L28" s="6"/>
      <c r="M28" s="6"/>
      <c r="N28" s="6"/>
      <c r="O28" s="6"/>
    </row>
    <row r="29" spans="1:15" x14ac:dyDescent="0.25">
      <c r="A29" s="7" t="s">
        <v>732</v>
      </c>
      <c r="B29" s="9" t="s">
        <v>891</v>
      </c>
      <c r="C29" s="13" t="s">
        <v>144</v>
      </c>
      <c r="D29" s="9" t="s">
        <v>240</v>
      </c>
      <c r="E29" s="7" t="s">
        <v>86</v>
      </c>
      <c r="F29" s="7" t="s">
        <v>241</v>
      </c>
      <c r="G29" s="7" t="s">
        <v>5</v>
      </c>
      <c r="H29" s="7" t="s">
        <v>210</v>
      </c>
      <c r="I29" s="137">
        <v>46203</v>
      </c>
      <c r="J29" s="1" t="s">
        <v>266</v>
      </c>
      <c r="K29" s="1"/>
      <c r="L29" s="1"/>
      <c r="M29" s="1"/>
      <c r="N29" s="1" t="s">
        <v>267</v>
      </c>
      <c r="O29" s="1" t="s">
        <v>367</v>
      </c>
    </row>
    <row r="30" spans="1:15" x14ac:dyDescent="0.25">
      <c r="A30" s="6" t="s">
        <v>732</v>
      </c>
      <c r="B30" s="8" t="s">
        <v>892</v>
      </c>
      <c r="C30" s="6" t="s">
        <v>106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10"/>
      <c r="J30" s="6"/>
      <c r="K30" s="6"/>
      <c r="L30" s="6"/>
      <c r="M30" s="6"/>
      <c r="N30" s="6"/>
      <c r="O30" s="6"/>
    </row>
    <row r="31" spans="1:15" x14ac:dyDescent="0.25">
      <c r="A31" s="7" t="s">
        <v>732</v>
      </c>
      <c r="B31" s="9" t="s">
        <v>893</v>
      </c>
      <c r="C31" s="13" t="s">
        <v>115</v>
      </c>
      <c r="D31" s="9" t="s">
        <v>225</v>
      </c>
      <c r="E31" s="7" t="s">
        <v>51</v>
      </c>
      <c r="F31" s="7" t="s">
        <v>209</v>
      </c>
      <c r="G31" s="7" t="s">
        <v>5</v>
      </c>
      <c r="H31" s="7" t="s">
        <v>210</v>
      </c>
      <c r="I31" s="41"/>
      <c r="J31" s="1"/>
      <c r="K31" s="1"/>
      <c r="L31" s="1"/>
      <c r="M31" s="1"/>
      <c r="N31" s="1"/>
      <c r="O31" s="1"/>
    </row>
    <row r="32" spans="1:15" x14ac:dyDescent="0.25">
      <c r="A32" s="6" t="s">
        <v>732</v>
      </c>
      <c r="B32" s="8" t="s">
        <v>894</v>
      </c>
      <c r="C32" s="6" t="s">
        <v>135</v>
      </c>
      <c r="D32" s="8" t="s">
        <v>225</v>
      </c>
      <c r="E32" s="6" t="s">
        <v>51</v>
      </c>
      <c r="F32" s="6" t="s">
        <v>209</v>
      </c>
      <c r="G32" s="6" t="s">
        <v>5</v>
      </c>
      <c r="H32" s="6" t="s">
        <v>210</v>
      </c>
      <c r="I32" s="136">
        <v>46203</v>
      </c>
      <c r="J32" s="6" t="s">
        <v>266</v>
      </c>
      <c r="K32" s="6"/>
      <c r="L32" s="6"/>
      <c r="M32" s="6"/>
      <c r="N32" s="6" t="s">
        <v>267</v>
      </c>
      <c r="O32" s="6" t="s">
        <v>367</v>
      </c>
    </row>
    <row r="33" spans="1:15" ht="18" customHeight="1" x14ac:dyDescent="0.25">
      <c r="A33" s="7" t="s">
        <v>732</v>
      </c>
      <c r="B33" s="9" t="s">
        <v>895</v>
      </c>
      <c r="C33" s="13" t="s">
        <v>103</v>
      </c>
      <c r="D33" s="9" t="s">
        <v>225</v>
      </c>
      <c r="E33" s="7" t="s">
        <v>51</v>
      </c>
      <c r="F33" s="7" t="s">
        <v>209</v>
      </c>
      <c r="G33" s="7" t="s">
        <v>5</v>
      </c>
      <c r="H33" s="7" t="s">
        <v>218</v>
      </c>
      <c r="I33" s="41"/>
      <c r="J33" s="1"/>
      <c r="K33" s="1"/>
      <c r="L33" s="1"/>
      <c r="M33" s="1"/>
      <c r="N33" s="1"/>
      <c r="O33" s="1"/>
    </row>
    <row r="34" spans="1:15" x14ac:dyDescent="0.25">
      <c r="A34" s="6" t="s">
        <v>732</v>
      </c>
      <c r="B34" s="8" t="s">
        <v>896</v>
      </c>
      <c r="C34" s="6" t="s">
        <v>119</v>
      </c>
      <c r="D34" s="8" t="s">
        <v>240</v>
      </c>
      <c r="E34" s="6" t="s">
        <v>86</v>
      </c>
      <c r="F34" s="6" t="s">
        <v>241</v>
      </c>
      <c r="G34" s="6" t="s">
        <v>5</v>
      </c>
      <c r="H34" s="6" t="s">
        <v>218</v>
      </c>
      <c r="I34" s="10"/>
      <c r="J34" s="6"/>
      <c r="K34" s="6"/>
      <c r="L34" s="6"/>
      <c r="M34" s="6"/>
      <c r="N34" s="6"/>
      <c r="O34" s="6"/>
    </row>
    <row r="35" spans="1:15" x14ac:dyDescent="0.25">
      <c r="A35" s="7" t="s">
        <v>732</v>
      </c>
      <c r="B35" s="9" t="s">
        <v>897</v>
      </c>
      <c r="C35" s="13" t="s">
        <v>137</v>
      </c>
      <c r="D35" s="9" t="s">
        <v>240</v>
      </c>
      <c r="E35" s="7" t="s">
        <v>86</v>
      </c>
      <c r="F35" s="7" t="s">
        <v>241</v>
      </c>
      <c r="G35" s="7" t="s">
        <v>5</v>
      </c>
      <c r="H35" s="7" t="s">
        <v>210</v>
      </c>
      <c r="I35" s="137">
        <v>46203</v>
      </c>
      <c r="J35" s="1" t="s">
        <v>266</v>
      </c>
      <c r="K35" s="1"/>
      <c r="L35" s="1"/>
      <c r="M35" s="1"/>
      <c r="N35" s="1" t="s">
        <v>267</v>
      </c>
      <c r="O35" s="1" t="s">
        <v>367</v>
      </c>
    </row>
    <row r="36" spans="1:15" x14ac:dyDescent="0.25">
      <c r="A36" s="6" t="s">
        <v>732</v>
      </c>
      <c r="B36" s="8" t="s">
        <v>898</v>
      </c>
      <c r="C36" s="6" t="s">
        <v>85</v>
      </c>
      <c r="D36" s="8" t="s">
        <v>240</v>
      </c>
      <c r="E36" s="6" t="s">
        <v>86</v>
      </c>
      <c r="F36" s="6" t="s">
        <v>241</v>
      </c>
      <c r="G36" s="6" t="s">
        <v>5</v>
      </c>
      <c r="H36" s="6" t="s">
        <v>218</v>
      </c>
      <c r="I36" s="10"/>
      <c r="J36" s="6"/>
      <c r="K36" s="6"/>
      <c r="L36" s="6"/>
      <c r="M36" s="6"/>
      <c r="N36" s="6"/>
      <c r="O36" s="6"/>
    </row>
    <row r="37" spans="1:15" x14ac:dyDescent="0.25">
      <c r="A37" s="7" t="s">
        <v>732</v>
      </c>
      <c r="B37" s="9" t="s">
        <v>899</v>
      </c>
      <c r="C37" s="13" t="s">
        <v>122</v>
      </c>
      <c r="D37" s="9" t="s">
        <v>240</v>
      </c>
      <c r="E37" s="7" t="s">
        <v>86</v>
      </c>
      <c r="F37" s="7" t="s">
        <v>241</v>
      </c>
      <c r="G37" s="7" t="s">
        <v>5</v>
      </c>
      <c r="H37" s="7" t="s">
        <v>218</v>
      </c>
      <c r="I37" s="41"/>
      <c r="J37" s="1"/>
      <c r="K37" s="1"/>
      <c r="L37" s="1"/>
      <c r="M37" s="1"/>
      <c r="N37" s="1"/>
      <c r="O37" s="1"/>
    </row>
    <row r="38" spans="1:15" x14ac:dyDescent="0.25">
      <c r="A38" s="6" t="s">
        <v>732</v>
      </c>
      <c r="B38" s="8" t="s">
        <v>900</v>
      </c>
      <c r="C38" s="6" t="s">
        <v>140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210</v>
      </c>
      <c r="I38" s="136">
        <v>46203</v>
      </c>
      <c r="J38" s="6" t="s">
        <v>266</v>
      </c>
      <c r="K38" s="6"/>
      <c r="L38" s="6"/>
      <c r="M38" s="6"/>
      <c r="N38" s="6" t="s">
        <v>267</v>
      </c>
      <c r="O38" s="6" t="s">
        <v>367</v>
      </c>
    </row>
    <row r="39" spans="1:15" x14ac:dyDescent="0.25">
      <c r="A39" s="7" t="s">
        <v>732</v>
      </c>
      <c r="B39" s="9" t="s">
        <v>901</v>
      </c>
      <c r="C39" s="13" t="s">
        <v>90</v>
      </c>
      <c r="D39" s="9" t="s">
        <v>240</v>
      </c>
      <c r="E39" s="7" t="s">
        <v>86</v>
      </c>
      <c r="F39" s="7" t="s">
        <v>241</v>
      </c>
      <c r="G39" s="7" t="s">
        <v>5</v>
      </c>
      <c r="H39" s="7" t="s">
        <v>218</v>
      </c>
      <c r="I39" s="41"/>
      <c r="J39" s="1"/>
      <c r="K39" s="1"/>
      <c r="L39" s="1"/>
      <c r="M39" s="1"/>
      <c r="N39" s="1"/>
      <c r="O39" s="1"/>
    </row>
    <row r="40" spans="1:15" ht="13.5" customHeight="1" x14ac:dyDescent="0.25">
      <c r="A40" s="6" t="s">
        <v>732</v>
      </c>
      <c r="B40" s="8" t="s">
        <v>902</v>
      </c>
      <c r="C40" s="6" t="s">
        <v>93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10"/>
      <c r="J40" s="6"/>
      <c r="K40" s="6"/>
      <c r="L40" s="6"/>
      <c r="M40" s="6"/>
      <c r="N40" s="6"/>
      <c r="O40" s="6"/>
    </row>
    <row r="41" spans="1:15" x14ac:dyDescent="0.25">
      <c r="A41" s="7" t="s">
        <v>732</v>
      </c>
      <c r="B41" s="9" t="s">
        <v>903</v>
      </c>
      <c r="C41" s="13" t="s">
        <v>97</v>
      </c>
      <c r="D41" s="9" t="s">
        <v>240</v>
      </c>
      <c r="E41" s="7" t="s">
        <v>86</v>
      </c>
      <c r="F41" s="7" t="s">
        <v>241</v>
      </c>
      <c r="G41" s="7" t="s">
        <v>5</v>
      </c>
      <c r="H41" s="7" t="s">
        <v>210</v>
      </c>
      <c r="I41" s="137">
        <v>46203</v>
      </c>
      <c r="J41" s="1" t="s">
        <v>266</v>
      </c>
      <c r="K41" s="1"/>
      <c r="L41" s="1"/>
      <c r="M41" s="1"/>
      <c r="N41" s="1" t="s">
        <v>267</v>
      </c>
      <c r="O41" s="1" t="s">
        <v>367</v>
      </c>
    </row>
    <row r="42" spans="1:15" x14ac:dyDescent="0.25">
      <c r="A42" s="6" t="s">
        <v>732</v>
      </c>
      <c r="B42" s="8" t="s">
        <v>904</v>
      </c>
      <c r="C42" s="6" t="s">
        <v>100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218</v>
      </c>
      <c r="I42" s="10"/>
      <c r="J42" s="6"/>
      <c r="K42" s="6"/>
      <c r="L42" s="6"/>
      <c r="M42" s="6"/>
      <c r="N42" s="6"/>
      <c r="O42" s="6"/>
    </row>
    <row r="43" spans="1:15" x14ac:dyDescent="0.25">
      <c r="A43" s="7" t="s">
        <v>732</v>
      </c>
      <c r="B43" s="9" t="s">
        <v>905</v>
      </c>
      <c r="C43" s="13" t="s">
        <v>156</v>
      </c>
      <c r="D43" s="9" t="s">
        <v>240</v>
      </c>
      <c r="E43" s="7" t="s">
        <v>86</v>
      </c>
      <c r="F43" s="7" t="s">
        <v>241</v>
      </c>
      <c r="G43" s="7" t="s">
        <v>5</v>
      </c>
      <c r="H43" s="7" t="s">
        <v>218</v>
      </c>
      <c r="I43" s="41"/>
      <c r="J43" s="1"/>
      <c r="K43" s="1"/>
      <c r="L43" s="1"/>
      <c r="M43" s="1"/>
      <c r="N43" s="1"/>
      <c r="O43" s="1"/>
    </row>
    <row r="44" spans="1:15" x14ac:dyDescent="0.25">
      <c r="A44" s="6" t="s">
        <v>732</v>
      </c>
      <c r="B44" s="8" t="s">
        <v>906</v>
      </c>
      <c r="C44" s="6" t="s">
        <v>153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10"/>
      <c r="J44" s="6"/>
      <c r="K44" s="6"/>
      <c r="L44" s="6"/>
      <c r="M44" s="6"/>
      <c r="N44" s="6"/>
      <c r="O44" s="6"/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8"/>
      <c r="C46" s="6"/>
      <c r="D46" s="8"/>
      <c r="E46" s="6"/>
      <c r="F46" s="6"/>
      <c r="G46" s="6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8"/>
      <c r="C48" s="6"/>
      <c r="D48" s="8"/>
      <c r="E48" s="6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6"/>
      <c r="B50" s="8"/>
      <c r="C50" s="6"/>
      <c r="D50" s="8"/>
      <c r="E50" s="6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6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44" xr:uid="{29409446-0286-4617-8ECE-ACCA81EF7D93}">
    <sortState xmlns:xlrd2="http://schemas.microsoft.com/office/spreadsheetml/2017/richdata2" ref="A7:O44">
      <sortCondition ref="A6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58" fitToHeight="0" orientation="landscape" horizontalDpi="4294967293" verticalDpi="4294967293" r:id="rId1"/>
  <rowBreaks count="1" manualBreakCount="1">
    <brk id="56" max="14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BAF1-16A2-42C8-AA8F-71A0C7A63DA3}">
  <sheetPr codeName="Planilha26">
    <tabColor rgb="FFFFC000"/>
    <pageSetUpPr fitToPage="1"/>
  </sheetPr>
  <dimension ref="A1:W127"/>
  <sheetViews>
    <sheetView showGridLines="0" topLeftCell="A4" zoomScale="70" zoomScaleNormal="70" workbookViewId="0">
      <selection activeCell="O29" sqref="O2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23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3" s="2" customFormat="1" ht="8.25" customHeight="1" x14ac:dyDescent="0.25">
      <c r="I2" s="20"/>
    </row>
    <row r="3" spans="1:23" s="2" customFormat="1" ht="27.6" customHeight="1" x14ac:dyDescent="0.25">
      <c r="A3" s="34" t="s">
        <v>193</v>
      </c>
      <c r="B3" s="33" t="s">
        <v>907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 t="s">
        <v>1080</v>
      </c>
      <c r="N3" s="27"/>
      <c r="O3" s="29"/>
    </row>
    <row r="4" spans="1:23" s="2" customFormat="1" x14ac:dyDescent="0.25">
      <c r="C4" s="24"/>
      <c r="I4" s="20"/>
    </row>
    <row r="5" spans="1:23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23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  <c r="Q6" s="118" t="s">
        <v>204</v>
      </c>
      <c r="R6" s="118" t="s">
        <v>205</v>
      </c>
      <c r="S6" s="118">
        <v>1</v>
      </c>
      <c r="T6" s="118">
        <v>2</v>
      </c>
      <c r="U6" s="118">
        <v>3</v>
      </c>
      <c r="V6" s="118">
        <v>4</v>
      </c>
      <c r="W6" s="119" t="s">
        <v>206</v>
      </c>
    </row>
    <row r="7" spans="1:23" x14ac:dyDescent="0.25">
      <c r="A7" s="16" t="s">
        <v>174</v>
      </c>
      <c r="B7" s="17" t="s">
        <v>908</v>
      </c>
      <c r="C7" s="16" t="s">
        <v>50</v>
      </c>
      <c r="D7" s="17" t="s">
        <v>225</v>
      </c>
      <c r="E7" s="16" t="s">
        <v>51</v>
      </c>
      <c r="F7" s="16" t="s">
        <v>209</v>
      </c>
      <c r="G7" s="16" t="s">
        <v>5</v>
      </c>
      <c r="H7" s="16" t="s">
        <v>210</v>
      </c>
      <c r="I7" s="138"/>
      <c r="J7" s="16"/>
      <c r="K7" s="16"/>
      <c r="L7" s="16"/>
      <c r="M7" s="16"/>
      <c r="N7" s="16"/>
      <c r="O7" s="16"/>
      <c r="Q7" s="138">
        <v>46213</v>
      </c>
      <c r="R7" s="16" t="s">
        <v>266</v>
      </c>
      <c r="S7" s="16"/>
      <c r="T7" s="16"/>
      <c r="U7" s="16"/>
      <c r="V7" s="16" t="s">
        <v>267</v>
      </c>
      <c r="W7" s="16"/>
    </row>
    <row r="8" spans="1:23" x14ac:dyDescent="0.25">
      <c r="A8" s="6" t="s">
        <v>174</v>
      </c>
      <c r="B8" s="8" t="s">
        <v>909</v>
      </c>
      <c r="C8" s="6" t="s">
        <v>81</v>
      </c>
      <c r="D8" s="8" t="s">
        <v>225</v>
      </c>
      <c r="E8" s="6" t="s">
        <v>51</v>
      </c>
      <c r="F8" s="6" t="s">
        <v>209</v>
      </c>
      <c r="G8" s="6" t="s">
        <v>5</v>
      </c>
      <c r="H8" s="6" t="s">
        <v>210</v>
      </c>
      <c r="I8" s="45"/>
      <c r="J8" s="6"/>
      <c r="K8" s="6"/>
      <c r="L8" s="6"/>
      <c r="M8" s="6"/>
      <c r="N8" s="6"/>
      <c r="O8" s="6"/>
      <c r="Q8" s="45">
        <v>46213</v>
      </c>
      <c r="R8" s="6" t="s">
        <v>266</v>
      </c>
      <c r="S8" s="6"/>
      <c r="T8" s="6"/>
      <c r="U8" s="6"/>
      <c r="V8" s="6" t="s">
        <v>267</v>
      </c>
      <c r="W8" s="6"/>
    </row>
    <row r="9" spans="1:23" x14ac:dyDescent="0.25">
      <c r="A9" s="16" t="s">
        <v>174</v>
      </c>
      <c r="B9" s="17" t="s">
        <v>910</v>
      </c>
      <c r="C9" s="16" t="s">
        <v>61</v>
      </c>
      <c r="D9" s="17" t="s">
        <v>225</v>
      </c>
      <c r="E9" s="16" t="s">
        <v>51</v>
      </c>
      <c r="F9" s="16" t="s">
        <v>209</v>
      </c>
      <c r="G9" s="16" t="s">
        <v>5</v>
      </c>
      <c r="H9" s="16" t="s">
        <v>210</v>
      </c>
      <c r="I9" s="138"/>
      <c r="J9" s="16"/>
      <c r="K9" s="16"/>
      <c r="L9" s="16"/>
      <c r="M9" s="16"/>
      <c r="N9" s="16"/>
      <c r="O9" s="16"/>
      <c r="Q9" s="138">
        <v>46213</v>
      </c>
      <c r="R9" s="16" t="s">
        <v>266</v>
      </c>
      <c r="S9" s="16"/>
      <c r="T9" s="16"/>
      <c r="U9" s="16"/>
      <c r="V9" s="16" t="s">
        <v>267</v>
      </c>
      <c r="W9" s="16"/>
    </row>
    <row r="10" spans="1:23" x14ac:dyDescent="0.25">
      <c r="A10" s="6" t="s">
        <v>174</v>
      </c>
      <c r="B10" s="8" t="s">
        <v>911</v>
      </c>
      <c r="C10" s="6" t="s">
        <v>64</v>
      </c>
      <c r="D10" s="8" t="s">
        <v>225</v>
      </c>
      <c r="E10" s="6" t="s">
        <v>51</v>
      </c>
      <c r="F10" s="6" t="s">
        <v>209</v>
      </c>
      <c r="G10" s="6" t="s">
        <v>5</v>
      </c>
      <c r="H10" s="6" t="s">
        <v>210</v>
      </c>
      <c r="I10" s="45"/>
      <c r="J10" s="6"/>
      <c r="K10" s="6"/>
      <c r="L10" s="6"/>
      <c r="M10" s="6"/>
      <c r="N10" s="6"/>
      <c r="O10" s="6"/>
      <c r="Q10" s="45">
        <v>46213</v>
      </c>
      <c r="R10" s="6" t="s">
        <v>266</v>
      </c>
      <c r="S10" s="6"/>
      <c r="T10" s="6"/>
      <c r="U10" s="6"/>
      <c r="V10" s="6" t="s">
        <v>267</v>
      </c>
      <c r="W10" s="6"/>
    </row>
    <row r="11" spans="1:23" x14ac:dyDescent="0.25">
      <c r="A11" s="16" t="s">
        <v>174</v>
      </c>
      <c r="B11" s="17" t="s">
        <v>912</v>
      </c>
      <c r="C11" s="16" t="s">
        <v>77</v>
      </c>
      <c r="D11" s="17" t="s">
        <v>215</v>
      </c>
      <c r="E11" s="16" t="s">
        <v>48</v>
      </c>
      <c r="F11" s="16" t="s">
        <v>216</v>
      </c>
      <c r="G11" s="16" t="s">
        <v>6</v>
      </c>
      <c r="H11" s="16" t="s">
        <v>210</v>
      </c>
      <c r="I11" s="138"/>
      <c r="J11" s="16"/>
      <c r="K11" s="16"/>
      <c r="L11" s="16"/>
      <c r="M11" s="16"/>
      <c r="N11" s="16"/>
      <c r="O11" s="16"/>
      <c r="Q11" s="138">
        <v>46213</v>
      </c>
      <c r="R11" s="16" t="s">
        <v>266</v>
      </c>
      <c r="S11" s="16"/>
      <c r="T11" s="16" t="s">
        <v>267</v>
      </c>
      <c r="U11" s="16"/>
      <c r="V11" s="16"/>
      <c r="W11" s="16"/>
    </row>
    <row r="12" spans="1:23" x14ac:dyDescent="0.25">
      <c r="A12" s="6" t="s">
        <v>174</v>
      </c>
      <c r="B12" s="8" t="s">
        <v>57</v>
      </c>
      <c r="C12" s="6" t="s">
        <v>53</v>
      </c>
      <c r="D12" s="8" t="s">
        <v>215</v>
      </c>
      <c r="E12" s="6" t="s">
        <v>54</v>
      </c>
      <c r="F12" s="6" t="s">
        <v>219</v>
      </c>
      <c r="G12" s="6" t="s">
        <v>6</v>
      </c>
      <c r="H12" s="6" t="s">
        <v>210</v>
      </c>
      <c r="I12" s="45"/>
      <c r="J12" s="6"/>
      <c r="K12" s="6"/>
      <c r="L12" s="6"/>
      <c r="M12" s="6"/>
      <c r="N12" s="6"/>
      <c r="O12" s="6"/>
      <c r="Q12" s="45">
        <v>46213</v>
      </c>
      <c r="R12" s="6" t="s">
        <v>266</v>
      </c>
      <c r="S12" s="6"/>
      <c r="T12" s="6"/>
      <c r="U12" s="6" t="s">
        <v>267</v>
      </c>
      <c r="V12" s="6"/>
      <c r="W12" s="6"/>
    </row>
    <row r="13" spans="1:23" x14ac:dyDescent="0.25">
      <c r="A13" s="16" t="s">
        <v>174</v>
      </c>
      <c r="B13" s="17" t="s">
        <v>57</v>
      </c>
      <c r="C13" s="16" t="s">
        <v>58</v>
      </c>
      <c r="D13" s="17" t="s">
        <v>215</v>
      </c>
      <c r="E13" s="16" t="s">
        <v>54</v>
      </c>
      <c r="F13" s="16" t="s">
        <v>219</v>
      </c>
      <c r="G13" s="16" t="s">
        <v>6</v>
      </c>
      <c r="H13" s="16" t="s">
        <v>218</v>
      </c>
      <c r="I13" s="138"/>
      <c r="J13" s="16"/>
      <c r="K13" s="16"/>
      <c r="L13" s="16"/>
      <c r="M13" s="16"/>
      <c r="N13" s="16"/>
      <c r="O13" s="16"/>
      <c r="Q13" s="138">
        <v>46213</v>
      </c>
      <c r="R13" s="16" t="s">
        <v>273</v>
      </c>
      <c r="S13" s="16"/>
      <c r="T13" s="16"/>
      <c r="U13" s="16" t="s">
        <v>267</v>
      </c>
      <c r="V13" s="16"/>
      <c r="W13" s="16"/>
    </row>
    <row r="14" spans="1:23" x14ac:dyDescent="0.25">
      <c r="A14" s="6" t="s">
        <v>174</v>
      </c>
      <c r="B14" s="8" t="s">
        <v>57</v>
      </c>
      <c r="C14" s="6" t="s">
        <v>56</v>
      </c>
      <c r="D14" s="8" t="s">
        <v>215</v>
      </c>
      <c r="E14" s="6" t="s">
        <v>54</v>
      </c>
      <c r="F14" s="6" t="s">
        <v>219</v>
      </c>
      <c r="G14" s="6" t="s">
        <v>6</v>
      </c>
      <c r="H14" s="6" t="s">
        <v>218</v>
      </c>
      <c r="I14" s="45"/>
      <c r="J14" s="6"/>
      <c r="K14" s="6"/>
      <c r="L14" s="6"/>
      <c r="M14" s="6"/>
      <c r="N14" s="6"/>
      <c r="O14" s="6"/>
      <c r="Q14" s="45">
        <v>46213</v>
      </c>
      <c r="R14" s="6" t="s">
        <v>273</v>
      </c>
      <c r="S14" s="6"/>
      <c r="T14" s="6"/>
      <c r="U14" s="6" t="s">
        <v>267</v>
      </c>
      <c r="V14" s="6"/>
      <c r="W14" s="6"/>
    </row>
    <row r="15" spans="1:23" x14ac:dyDescent="0.25">
      <c r="A15" s="16" t="s">
        <v>174</v>
      </c>
      <c r="B15" s="17" t="s">
        <v>913</v>
      </c>
      <c r="C15" s="16" t="s">
        <v>129</v>
      </c>
      <c r="D15" s="17" t="s">
        <v>208</v>
      </c>
      <c r="E15" s="16" t="s">
        <v>51</v>
      </c>
      <c r="F15" s="16" t="s">
        <v>209</v>
      </c>
      <c r="G15" s="16" t="s">
        <v>5</v>
      </c>
      <c r="H15" s="16" t="s">
        <v>210</v>
      </c>
      <c r="I15" s="138"/>
      <c r="J15" s="16"/>
      <c r="K15" s="16"/>
      <c r="L15" s="16"/>
      <c r="M15" s="16"/>
      <c r="N15" s="16"/>
      <c r="O15" s="16"/>
      <c r="Q15" s="138">
        <v>46213</v>
      </c>
      <c r="R15" s="16" t="s">
        <v>266</v>
      </c>
      <c r="S15" s="16"/>
      <c r="T15" s="16"/>
      <c r="U15" s="16" t="s">
        <v>267</v>
      </c>
      <c r="V15" s="16"/>
      <c r="W15" s="16"/>
    </row>
    <row r="16" spans="1:23" x14ac:dyDescent="0.25">
      <c r="A16" s="6" t="s">
        <v>174</v>
      </c>
      <c r="B16" s="8" t="s">
        <v>914</v>
      </c>
      <c r="C16" s="6" t="s">
        <v>72</v>
      </c>
      <c r="D16" s="8" t="s">
        <v>225</v>
      </c>
      <c r="E16" s="6" t="s">
        <v>51</v>
      </c>
      <c r="F16" s="6" t="s">
        <v>209</v>
      </c>
      <c r="G16" s="6" t="s">
        <v>5</v>
      </c>
      <c r="H16" s="6" t="s">
        <v>210</v>
      </c>
      <c r="I16" s="45"/>
      <c r="J16" s="6"/>
      <c r="K16" s="6"/>
      <c r="L16" s="6"/>
      <c r="M16" s="6"/>
      <c r="N16" s="6"/>
      <c r="O16" s="6"/>
      <c r="Q16" s="45">
        <v>46213</v>
      </c>
      <c r="R16" s="6" t="s">
        <v>266</v>
      </c>
      <c r="S16" s="6"/>
      <c r="T16" s="6" t="s">
        <v>267</v>
      </c>
      <c r="U16" s="6"/>
      <c r="V16" s="6"/>
      <c r="W16" s="6"/>
    </row>
    <row r="17" spans="1:23" x14ac:dyDescent="0.25">
      <c r="A17" s="16" t="s">
        <v>49</v>
      </c>
      <c r="B17" s="17" t="s">
        <v>57</v>
      </c>
      <c r="C17" s="16" t="s">
        <v>169</v>
      </c>
      <c r="D17" s="17" t="s">
        <v>402</v>
      </c>
      <c r="E17" s="16" t="s">
        <v>48</v>
      </c>
      <c r="F17" s="16" t="s">
        <v>216</v>
      </c>
      <c r="G17" s="16" t="s">
        <v>5</v>
      </c>
      <c r="H17" s="16" t="s">
        <v>218</v>
      </c>
      <c r="I17" s="138"/>
      <c r="J17" s="16"/>
      <c r="K17" s="16"/>
      <c r="L17" s="16"/>
      <c r="M17" s="16"/>
      <c r="N17" s="16"/>
      <c r="O17" s="16"/>
      <c r="Q17" s="138">
        <v>46213</v>
      </c>
      <c r="R17" s="16" t="s">
        <v>273</v>
      </c>
      <c r="S17" s="16"/>
      <c r="T17" s="16"/>
      <c r="U17" s="16" t="s">
        <v>267</v>
      </c>
      <c r="V17" s="16"/>
      <c r="W17" s="16"/>
    </row>
    <row r="18" spans="1:23" x14ac:dyDescent="0.25">
      <c r="A18" s="6" t="s">
        <v>68</v>
      </c>
      <c r="B18" s="8" t="s">
        <v>57</v>
      </c>
      <c r="C18" s="6" t="s">
        <v>69</v>
      </c>
      <c r="D18" s="8" t="s">
        <v>208</v>
      </c>
      <c r="E18" s="6" t="s">
        <v>51</v>
      </c>
      <c r="F18" s="6" t="s">
        <v>209</v>
      </c>
      <c r="G18" s="6" t="s">
        <v>5</v>
      </c>
      <c r="H18" s="6" t="s">
        <v>210</v>
      </c>
      <c r="I18" s="45"/>
      <c r="J18" s="6"/>
      <c r="K18" s="6"/>
      <c r="L18" s="6"/>
      <c r="M18" s="6"/>
      <c r="N18" s="6"/>
      <c r="O18" s="6"/>
      <c r="Q18" s="45">
        <v>46213</v>
      </c>
      <c r="R18" s="6" t="s">
        <v>266</v>
      </c>
      <c r="S18" s="6"/>
      <c r="T18" s="6"/>
      <c r="U18" s="6"/>
      <c r="V18" s="6" t="s">
        <v>267</v>
      </c>
      <c r="W18" s="6"/>
    </row>
    <row r="19" spans="1:23" x14ac:dyDescent="0.25">
      <c r="A19" s="16" t="s">
        <v>68</v>
      </c>
      <c r="B19" s="17" t="s">
        <v>57</v>
      </c>
      <c r="C19" s="16" t="s">
        <v>151</v>
      </c>
      <c r="D19" s="17" t="s">
        <v>208</v>
      </c>
      <c r="E19" s="16" t="s">
        <v>51</v>
      </c>
      <c r="F19" s="16" t="s">
        <v>209</v>
      </c>
      <c r="G19" s="16" t="s">
        <v>5</v>
      </c>
      <c r="H19" s="16" t="s">
        <v>210</v>
      </c>
      <c r="I19" s="138"/>
      <c r="J19" s="16"/>
      <c r="K19" s="16"/>
      <c r="L19" s="16"/>
      <c r="M19" s="16"/>
      <c r="N19" s="16"/>
      <c r="O19" s="16"/>
      <c r="Q19" s="138">
        <v>46213</v>
      </c>
      <c r="R19" s="16" t="s">
        <v>266</v>
      </c>
      <c r="S19" s="16"/>
      <c r="T19" s="16"/>
      <c r="U19" s="16"/>
      <c r="V19" s="16" t="s">
        <v>267</v>
      </c>
      <c r="W19" s="16"/>
    </row>
    <row r="20" spans="1:23" x14ac:dyDescent="0.25">
      <c r="A20" s="6" t="s">
        <v>68</v>
      </c>
      <c r="B20" s="8" t="s">
        <v>57</v>
      </c>
      <c r="C20" s="6" t="s">
        <v>112</v>
      </c>
      <c r="D20" s="8" t="s">
        <v>402</v>
      </c>
      <c r="E20" s="6" t="s">
        <v>48</v>
      </c>
      <c r="F20" s="6" t="s">
        <v>216</v>
      </c>
      <c r="G20" s="6" t="s">
        <v>5</v>
      </c>
      <c r="H20" s="6" t="s">
        <v>210</v>
      </c>
      <c r="I20" s="45"/>
      <c r="J20" s="6"/>
      <c r="K20" s="6"/>
      <c r="L20" s="6"/>
      <c r="M20" s="6"/>
      <c r="N20" s="6"/>
      <c r="O20" s="6"/>
      <c r="Q20" s="45">
        <v>46213</v>
      </c>
      <c r="R20" s="6" t="s">
        <v>266</v>
      </c>
      <c r="S20" s="6"/>
      <c r="T20" s="6"/>
      <c r="U20" s="6" t="s">
        <v>267</v>
      </c>
      <c r="V20" s="6"/>
      <c r="W20" s="6"/>
    </row>
    <row r="21" spans="1:23" x14ac:dyDescent="0.25">
      <c r="A21" s="16" t="s">
        <v>68</v>
      </c>
      <c r="B21" s="17" t="s">
        <v>57</v>
      </c>
      <c r="C21" s="16" t="s">
        <v>109</v>
      </c>
      <c r="D21" s="17" t="s">
        <v>402</v>
      </c>
      <c r="E21" s="16" t="s">
        <v>48</v>
      </c>
      <c r="F21" s="16" t="s">
        <v>216</v>
      </c>
      <c r="G21" s="16" t="s">
        <v>5</v>
      </c>
      <c r="H21" s="16" t="s">
        <v>218</v>
      </c>
      <c r="I21" s="138"/>
      <c r="J21" s="16"/>
      <c r="K21" s="16"/>
      <c r="L21" s="16"/>
      <c r="M21" s="16"/>
      <c r="N21" s="16"/>
      <c r="O21" s="16"/>
      <c r="Q21" s="138">
        <v>46213</v>
      </c>
      <c r="R21" s="16" t="s">
        <v>273</v>
      </c>
      <c r="S21" s="16"/>
      <c r="T21" s="16"/>
      <c r="U21" s="16" t="s">
        <v>267</v>
      </c>
      <c r="V21" s="16"/>
      <c r="W21" s="16"/>
    </row>
    <row r="22" spans="1:23" x14ac:dyDescent="0.25">
      <c r="A22" s="6" t="s">
        <v>68</v>
      </c>
      <c r="B22" s="8" t="s">
        <v>57</v>
      </c>
      <c r="C22" s="6" t="s">
        <v>148</v>
      </c>
      <c r="D22" s="8" t="s">
        <v>217</v>
      </c>
      <c r="E22" s="6" t="s">
        <v>48</v>
      </c>
      <c r="F22" s="6" t="s">
        <v>216</v>
      </c>
      <c r="G22" s="6" t="s">
        <v>6</v>
      </c>
      <c r="H22" s="6" t="s">
        <v>218</v>
      </c>
      <c r="I22" s="45"/>
      <c r="J22" s="6"/>
      <c r="K22" s="6"/>
      <c r="L22" s="6"/>
      <c r="M22" s="6"/>
      <c r="N22" s="6"/>
      <c r="O22" s="6"/>
      <c r="Q22" s="45">
        <v>46213</v>
      </c>
      <c r="R22" s="6" t="s">
        <v>273</v>
      </c>
      <c r="S22" s="6"/>
      <c r="T22" s="6"/>
      <c r="U22" s="6" t="s">
        <v>267</v>
      </c>
      <c r="V22" s="6"/>
      <c r="W22" s="6"/>
    </row>
    <row r="23" spans="1:23" x14ac:dyDescent="0.25">
      <c r="A23" s="16" t="s">
        <v>68</v>
      </c>
      <c r="B23" s="17" t="s">
        <v>915</v>
      </c>
      <c r="C23" s="16" t="s">
        <v>159</v>
      </c>
      <c r="D23" s="17" t="s">
        <v>240</v>
      </c>
      <c r="E23" s="16" t="s">
        <v>86</v>
      </c>
      <c r="F23" s="16" t="s">
        <v>241</v>
      </c>
      <c r="G23" s="16" t="s">
        <v>5</v>
      </c>
      <c r="H23" s="16" t="s">
        <v>210</v>
      </c>
      <c r="I23" s="138"/>
      <c r="J23" s="16"/>
      <c r="K23" s="16"/>
      <c r="L23" s="16"/>
      <c r="M23" s="16"/>
      <c r="N23" s="16"/>
      <c r="O23" s="16"/>
      <c r="Q23" s="138">
        <v>46213</v>
      </c>
      <c r="R23" s="16" t="s">
        <v>266</v>
      </c>
      <c r="S23" s="16"/>
      <c r="T23" s="16" t="s">
        <v>267</v>
      </c>
      <c r="U23" s="16"/>
      <c r="V23" s="16"/>
      <c r="W23" s="16" t="s">
        <v>309</v>
      </c>
    </row>
    <row r="24" spans="1:23" x14ac:dyDescent="0.25">
      <c r="A24" s="6" t="s">
        <v>68</v>
      </c>
      <c r="B24" s="8" t="s">
        <v>916</v>
      </c>
      <c r="C24" s="6" t="s">
        <v>132</v>
      </c>
      <c r="D24" s="8" t="s">
        <v>240</v>
      </c>
      <c r="E24" s="6" t="s">
        <v>86</v>
      </c>
      <c r="F24" s="6" t="s">
        <v>241</v>
      </c>
      <c r="G24" s="6" t="s">
        <v>5</v>
      </c>
      <c r="H24" s="6" t="s">
        <v>218</v>
      </c>
      <c r="I24" s="45"/>
      <c r="J24" s="6"/>
      <c r="K24" s="6"/>
      <c r="L24" s="6"/>
      <c r="M24" s="6"/>
      <c r="N24" s="6"/>
      <c r="O24" s="6"/>
      <c r="Q24" s="45">
        <v>46213</v>
      </c>
      <c r="R24" s="6" t="s">
        <v>273</v>
      </c>
      <c r="S24" s="6"/>
      <c r="T24" s="6"/>
      <c r="U24" s="6"/>
      <c r="V24" s="6" t="s">
        <v>267</v>
      </c>
      <c r="W24" s="6" t="s">
        <v>309</v>
      </c>
    </row>
    <row r="25" spans="1:23" x14ac:dyDescent="0.25">
      <c r="A25" s="16" t="s">
        <v>68</v>
      </c>
      <c r="B25" s="17" t="s">
        <v>917</v>
      </c>
      <c r="C25" s="16" t="s">
        <v>162</v>
      </c>
      <c r="D25" s="17" t="s">
        <v>240</v>
      </c>
      <c r="E25" s="16" t="s">
        <v>86</v>
      </c>
      <c r="F25" s="16" t="s">
        <v>241</v>
      </c>
      <c r="G25" s="16" t="s">
        <v>5</v>
      </c>
      <c r="H25" s="16" t="s">
        <v>218</v>
      </c>
      <c r="I25" s="138"/>
      <c r="J25" s="16"/>
      <c r="K25" s="16"/>
      <c r="L25" s="16"/>
      <c r="M25" s="16"/>
      <c r="N25" s="16"/>
      <c r="O25" s="16"/>
      <c r="Q25" s="138">
        <v>46213</v>
      </c>
      <c r="R25" s="16" t="s">
        <v>273</v>
      </c>
      <c r="S25" s="16"/>
      <c r="T25" s="16"/>
      <c r="U25" s="16"/>
      <c r="V25" s="16" t="s">
        <v>267</v>
      </c>
      <c r="W25" s="16" t="s">
        <v>309</v>
      </c>
    </row>
    <row r="26" spans="1:23" x14ac:dyDescent="0.25">
      <c r="A26" s="6" t="s">
        <v>68</v>
      </c>
      <c r="B26" s="8" t="s">
        <v>918</v>
      </c>
      <c r="C26" s="6" t="s">
        <v>164</v>
      </c>
      <c r="D26" s="8" t="s">
        <v>240</v>
      </c>
      <c r="E26" s="6" t="s">
        <v>86</v>
      </c>
      <c r="F26" s="6" t="s">
        <v>241</v>
      </c>
      <c r="G26" s="6" t="s">
        <v>5</v>
      </c>
      <c r="H26" s="6" t="s">
        <v>210</v>
      </c>
      <c r="I26" s="45"/>
      <c r="J26" s="6"/>
      <c r="K26" s="6"/>
      <c r="L26" s="6"/>
      <c r="M26" s="6"/>
      <c r="N26" s="6"/>
      <c r="O26" s="6"/>
      <c r="Q26" s="45">
        <v>46213</v>
      </c>
      <c r="R26" s="6" t="s">
        <v>266</v>
      </c>
      <c r="S26" s="6"/>
      <c r="T26" s="6"/>
      <c r="U26" s="6"/>
      <c r="V26" s="6" t="s">
        <v>267</v>
      </c>
      <c r="W26" s="6" t="s">
        <v>309</v>
      </c>
    </row>
    <row r="27" spans="1:23" x14ac:dyDescent="0.25">
      <c r="A27" s="16" t="s">
        <v>68</v>
      </c>
      <c r="B27" s="17" t="s">
        <v>919</v>
      </c>
      <c r="C27" s="16" t="s">
        <v>167</v>
      </c>
      <c r="D27" s="17" t="s">
        <v>240</v>
      </c>
      <c r="E27" s="16" t="s">
        <v>86</v>
      </c>
      <c r="F27" s="16" t="s">
        <v>241</v>
      </c>
      <c r="G27" s="16" t="s">
        <v>5</v>
      </c>
      <c r="H27" s="16" t="s">
        <v>218</v>
      </c>
      <c r="I27" s="138"/>
      <c r="J27" s="16"/>
      <c r="K27" s="16"/>
      <c r="L27" s="16"/>
      <c r="M27" s="16"/>
      <c r="N27" s="16"/>
      <c r="O27" s="16"/>
      <c r="Q27" s="138">
        <v>46213</v>
      </c>
      <c r="R27" s="16" t="s">
        <v>273</v>
      </c>
      <c r="S27" s="16"/>
      <c r="T27" s="16"/>
      <c r="U27" s="16"/>
      <c r="V27" s="16" t="s">
        <v>267</v>
      </c>
      <c r="W27" s="16" t="s">
        <v>309</v>
      </c>
    </row>
    <row r="28" spans="1:23" x14ac:dyDescent="0.25">
      <c r="A28" s="6" t="s">
        <v>732</v>
      </c>
      <c r="B28" s="8" t="s">
        <v>920</v>
      </c>
      <c r="C28" s="6" t="s">
        <v>100</v>
      </c>
      <c r="D28" s="8" t="s">
        <v>240</v>
      </c>
      <c r="E28" s="6" t="s">
        <v>86</v>
      </c>
      <c r="F28" s="6" t="s">
        <v>241</v>
      </c>
      <c r="G28" s="6" t="s">
        <v>5</v>
      </c>
      <c r="H28" s="6" t="s">
        <v>218</v>
      </c>
      <c r="I28" s="45"/>
      <c r="J28" s="6"/>
      <c r="K28" s="6"/>
      <c r="L28" s="6"/>
      <c r="M28" s="6"/>
      <c r="N28" s="6"/>
      <c r="O28" s="6"/>
      <c r="Q28" s="45">
        <v>46213</v>
      </c>
      <c r="R28" s="6" t="s">
        <v>273</v>
      </c>
      <c r="S28" s="6"/>
      <c r="T28" s="6"/>
      <c r="U28" s="6"/>
      <c r="V28" s="6" t="s">
        <v>267</v>
      </c>
      <c r="W28" s="6" t="s">
        <v>309</v>
      </c>
    </row>
    <row r="29" spans="1:23" x14ac:dyDescent="0.25">
      <c r="A29" s="16" t="s">
        <v>732</v>
      </c>
      <c r="B29" s="17" t="s">
        <v>921</v>
      </c>
      <c r="C29" s="16" t="s">
        <v>125</v>
      </c>
      <c r="D29" s="17" t="s">
        <v>240</v>
      </c>
      <c r="E29" s="16" t="s">
        <v>86</v>
      </c>
      <c r="F29" s="16" t="s">
        <v>241</v>
      </c>
      <c r="G29" s="16" t="s">
        <v>5</v>
      </c>
      <c r="H29" s="16" t="s">
        <v>218</v>
      </c>
      <c r="I29" s="138"/>
      <c r="J29" s="16"/>
      <c r="K29" s="16"/>
      <c r="L29" s="16"/>
      <c r="M29" s="16"/>
      <c r="N29" s="16"/>
      <c r="O29" s="16"/>
      <c r="Q29" s="138">
        <v>46213</v>
      </c>
      <c r="R29" s="16" t="s">
        <v>273</v>
      </c>
      <c r="S29" s="16"/>
      <c r="T29" s="16"/>
      <c r="U29" s="16" t="s">
        <v>267</v>
      </c>
      <c r="V29" s="16"/>
      <c r="W29" s="16" t="s">
        <v>309</v>
      </c>
    </row>
    <row r="30" spans="1:23" x14ac:dyDescent="0.25">
      <c r="A30" s="6" t="s">
        <v>732</v>
      </c>
      <c r="B30" s="8" t="s">
        <v>922</v>
      </c>
      <c r="C30" s="6" t="s">
        <v>144</v>
      </c>
      <c r="D30" s="8" t="s">
        <v>240</v>
      </c>
      <c r="E30" s="6" t="s">
        <v>86</v>
      </c>
      <c r="F30" s="6" t="s">
        <v>241</v>
      </c>
      <c r="G30" s="6" t="s">
        <v>5</v>
      </c>
      <c r="H30" s="6" t="s">
        <v>218</v>
      </c>
      <c r="I30" s="45"/>
      <c r="J30" s="6"/>
      <c r="K30" s="6"/>
      <c r="L30" s="6"/>
      <c r="M30" s="6"/>
      <c r="N30" s="6"/>
      <c r="O30" s="6"/>
      <c r="Q30" s="45">
        <v>46213</v>
      </c>
      <c r="R30" s="6" t="s">
        <v>273</v>
      </c>
      <c r="S30" s="6"/>
      <c r="T30" s="6"/>
      <c r="U30" s="6"/>
      <c r="V30" s="6" t="s">
        <v>267</v>
      </c>
      <c r="W30" s="6" t="s">
        <v>309</v>
      </c>
    </row>
    <row r="31" spans="1:23" x14ac:dyDescent="0.25">
      <c r="A31" s="16" t="s">
        <v>732</v>
      </c>
      <c r="B31" s="17" t="s">
        <v>923</v>
      </c>
      <c r="C31" s="16" t="s">
        <v>106</v>
      </c>
      <c r="D31" s="17" t="s">
        <v>240</v>
      </c>
      <c r="E31" s="16" t="s">
        <v>86</v>
      </c>
      <c r="F31" s="16" t="s">
        <v>241</v>
      </c>
      <c r="G31" s="16" t="s">
        <v>5</v>
      </c>
      <c r="H31" s="16" t="s">
        <v>218</v>
      </c>
      <c r="I31" s="138"/>
      <c r="J31" s="16"/>
      <c r="K31" s="16"/>
      <c r="L31" s="16"/>
      <c r="M31" s="16"/>
      <c r="N31" s="16"/>
      <c r="O31" s="16"/>
      <c r="Q31" s="138">
        <v>46213</v>
      </c>
      <c r="R31" s="16" t="s">
        <v>273</v>
      </c>
      <c r="S31" s="16"/>
      <c r="T31" s="16"/>
      <c r="U31" s="16"/>
      <c r="V31" s="16" t="s">
        <v>267</v>
      </c>
      <c r="W31" s="16" t="s">
        <v>309</v>
      </c>
    </row>
    <row r="32" spans="1:23" x14ac:dyDescent="0.25">
      <c r="A32" s="6" t="s">
        <v>732</v>
      </c>
      <c r="B32" s="8" t="s">
        <v>924</v>
      </c>
      <c r="C32" s="6" t="s">
        <v>115</v>
      </c>
      <c r="D32" s="8" t="s">
        <v>225</v>
      </c>
      <c r="E32" s="6" t="s">
        <v>51</v>
      </c>
      <c r="F32" s="6" t="s">
        <v>209</v>
      </c>
      <c r="G32" s="6" t="s">
        <v>5</v>
      </c>
      <c r="H32" s="6" t="s">
        <v>210</v>
      </c>
      <c r="I32" s="45"/>
      <c r="J32" s="6"/>
      <c r="K32" s="6"/>
      <c r="L32" s="6"/>
      <c r="M32" s="6"/>
      <c r="N32" s="6"/>
      <c r="O32" s="6"/>
      <c r="Q32" s="45">
        <v>46213</v>
      </c>
      <c r="R32" s="6" t="s">
        <v>266</v>
      </c>
      <c r="S32" s="6"/>
      <c r="T32" s="6"/>
      <c r="U32" s="6"/>
      <c r="V32" s="6" t="s">
        <v>267</v>
      </c>
      <c r="W32" s="6" t="s">
        <v>309</v>
      </c>
    </row>
    <row r="33" spans="1:23" ht="18" customHeight="1" x14ac:dyDescent="0.25">
      <c r="A33" s="16" t="s">
        <v>732</v>
      </c>
      <c r="B33" s="17" t="s">
        <v>925</v>
      </c>
      <c r="C33" s="16" t="s">
        <v>135</v>
      </c>
      <c r="D33" s="17" t="s">
        <v>225</v>
      </c>
      <c r="E33" s="16" t="s">
        <v>51</v>
      </c>
      <c r="F33" s="16" t="s">
        <v>209</v>
      </c>
      <c r="G33" s="16" t="s">
        <v>5</v>
      </c>
      <c r="H33" s="16" t="s">
        <v>210</v>
      </c>
      <c r="I33" s="138"/>
      <c r="J33" s="16"/>
      <c r="K33" s="16"/>
      <c r="L33" s="16"/>
      <c r="M33" s="16"/>
      <c r="N33" s="16"/>
      <c r="O33" s="16"/>
      <c r="Q33" s="138">
        <v>46213</v>
      </c>
      <c r="R33" s="16" t="s">
        <v>266</v>
      </c>
      <c r="S33" s="16"/>
      <c r="T33" s="16"/>
      <c r="U33" s="16"/>
      <c r="V33" s="16" t="s">
        <v>267</v>
      </c>
      <c r="W33" s="16" t="s">
        <v>309</v>
      </c>
    </row>
    <row r="34" spans="1:23" x14ac:dyDescent="0.25">
      <c r="A34" s="6" t="s">
        <v>732</v>
      </c>
      <c r="B34" s="8" t="s">
        <v>926</v>
      </c>
      <c r="C34" s="6" t="s">
        <v>103</v>
      </c>
      <c r="D34" s="8" t="s">
        <v>225</v>
      </c>
      <c r="E34" s="6" t="s">
        <v>51</v>
      </c>
      <c r="F34" s="6" t="s">
        <v>209</v>
      </c>
      <c r="G34" s="6" t="s">
        <v>5</v>
      </c>
      <c r="H34" s="6" t="s">
        <v>218</v>
      </c>
      <c r="I34" s="45"/>
      <c r="J34" s="6"/>
      <c r="K34" s="6"/>
      <c r="L34" s="6"/>
      <c r="M34" s="6"/>
      <c r="N34" s="6"/>
      <c r="O34" s="6"/>
      <c r="Q34" s="45">
        <v>46213</v>
      </c>
      <c r="R34" s="6" t="s">
        <v>273</v>
      </c>
      <c r="S34" s="6"/>
      <c r="T34" s="6"/>
      <c r="U34" s="6"/>
      <c r="V34" s="6" t="s">
        <v>267</v>
      </c>
      <c r="W34" s="6" t="s">
        <v>309</v>
      </c>
    </row>
    <row r="35" spans="1:23" x14ac:dyDescent="0.25">
      <c r="A35" s="16" t="s">
        <v>732</v>
      </c>
      <c r="B35" s="17" t="s">
        <v>927</v>
      </c>
      <c r="C35" s="16" t="s">
        <v>119</v>
      </c>
      <c r="D35" s="17" t="s">
        <v>240</v>
      </c>
      <c r="E35" s="16" t="s">
        <v>86</v>
      </c>
      <c r="F35" s="16" t="s">
        <v>241</v>
      </c>
      <c r="G35" s="16" t="s">
        <v>5</v>
      </c>
      <c r="H35" s="16" t="s">
        <v>218</v>
      </c>
      <c r="I35" s="138"/>
      <c r="J35" s="16"/>
      <c r="K35" s="16"/>
      <c r="L35" s="16"/>
      <c r="M35" s="16"/>
      <c r="N35" s="16"/>
      <c r="O35" s="16"/>
      <c r="Q35" s="138">
        <v>46213</v>
      </c>
      <c r="R35" s="16" t="s">
        <v>273</v>
      </c>
      <c r="S35" s="16"/>
      <c r="T35" s="16"/>
      <c r="U35" s="16"/>
      <c r="V35" s="16" t="s">
        <v>267</v>
      </c>
      <c r="W35" s="16" t="s">
        <v>309</v>
      </c>
    </row>
    <row r="36" spans="1:23" x14ac:dyDescent="0.25">
      <c r="A36" s="6" t="s">
        <v>732</v>
      </c>
      <c r="B36" s="8" t="s">
        <v>928</v>
      </c>
      <c r="C36" s="6" t="s">
        <v>137</v>
      </c>
      <c r="D36" s="8" t="s">
        <v>240</v>
      </c>
      <c r="E36" s="6" t="s">
        <v>86</v>
      </c>
      <c r="F36" s="6" t="s">
        <v>241</v>
      </c>
      <c r="G36" s="6" t="s">
        <v>5</v>
      </c>
      <c r="H36" s="6" t="s">
        <v>210</v>
      </c>
      <c r="I36" s="45"/>
      <c r="J36" s="6"/>
      <c r="K36" s="6"/>
      <c r="L36" s="6"/>
      <c r="M36" s="6"/>
      <c r="N36" s="6"/>
      <c r="O36" s="6"/>
      <c r="Q36" s="45">
        <v>46214</v>
      </c>
      <c r="R36" s="6" t="s">
        <v>266</v>
      </c>
      <c r="S36" s="6"/>
      <c r="T36" s="6"/>
      <c r="U36" s="6"/>
      <c r="V36" s="6" t="s">
        <v>267</v>
      </c>
      <c r="W36" s="6" t="s">
        <v>309</v>
      </c>
    </row>
    <row r="37" spans="1:23" x14ac:dyDescent="0.25">
      <c r="A37" s="16" t="s">
        <v>732</v>
      </c>
      <c r="B37" s="17" t="s">
        <v>929</v>
      </c>
      <c r="C37" s="16" t="s">
        <v>85</v>
      </c>
      <c r="D37" s="17" t="s">
        <v>240</v>
      </c>
      <c r="E37" s="16" t="s">
        <v>86</v>
      </c>
      <c r="F37" s="16" t="s">
        <v>241</v>
      </c>
      <c r="G37" s="16" t="s">
        <v>5</v>
      </c>
      <c r="H37" s="16" t="s">
        <v>218</v>
      </c>
      <c r="I37" s="138"/>
      <c r="J37" s="16"/>
      <c r="K37" s="16"/>
      <c r="L37" s="16"/>
      <c r="M37" s="16"/>
      <c r="N37" s="16"/>
      <c r="O37" s="16"/>
      <c r="Q37" s="138">
        <v>46214</v>
      </c>
      <c r="R37" s="16" t="s">
        <v>273</v>
      </c>
      <c r="S37" s="16"/>
      <c r="T37" s="16"/>
      <c r="U37" s="16"/>
      <c r="V37" s="16" t="s">
        <v>267</v>
      </c>
      <c r="W37" s="16" t="s">
        <v>309</v>
      </c>
    </row>
    <row r="38" spans="1:23" x14ac:dyDescent="0.25">
      <c r="A38" s="6" t="s">
        <v>732</v>
      </c>
      <c r="B38" s="8" t="s">
        <v>930</v>
      </c>
      <c r="C38" s="6" t="s">
        <v>122</v>
      </c>
      <c r="D38" s="8" t="s">
        <v>240</v>
      </c>
      <c r="E38" s="6" t="s">
        <v>86</v>
      </c>
      <c r="F38" s="6" t="s">
        <v>241</v>
      </c>
      <c r="G38" s="6" t="s">
        <v>5</v>
      </c>
      <c r="H38" s="6" t="s">
        <v>218</v>
      </c>
      <c r="I38" s="45"/>
      <c r="J38" s="6"/>
      <c r="K38" s="6"/>
      <c r="L38" s="6"/>
      <c r="M38" s="6"/>
      <c r="N38" s="6"/>
      <c r="O38" s="6"/>
      <c r="Q38" s="45">
        <v>46214</v>
      </c>
      <c r="R38" s="6" t="s">
        <v>273</v>
      </c>
      <c r="S38" s="6"/>
      <c r="T38" s="6"/>
      <c r="U38" s="6"/>
      <c r="V38" s="6" t="s">
        <v>267</v>
      </c>
      <c r="W38" s="6" t="s">
        <v>309</v>
      </c>
    </row>
    <row r="39" spans="1:23" x14ac:dyDescent="0.25">
      <c r="A39" s="16" t="s">
        <v>732</v>
      </c>
      <c r="B39" s="17" t="s">
        <v>931</v>
      </c>
      <c r="C39" s="16" t="s">
        <v>140</v>
      </c>
      <c r="D39" s="17" t="s">
        <v>240</v>
      </c>
      <c r="E39" s="16" t="s">
        <v>86</v>
      </c>
      <c r="F39" s="16" t="s">
        <v>241</v>
      </c>
      <c r="G39" s="16" t="s">
        <v>5</v>
      </c>
      <c r="H39" s="16" t="s">
        <v>210</v>
      </c>
      <c r="I39" s="138"/>
      <c r="J39" s="16"/>
      <c r="K39" s="16"/>
      <c r="L39" s="16"/>
      <c r="M39" s="16"/>
      <c r="N39" s="16"/>
      <c r="O39" s="16"/>
      <c r="Q39" s="138">
        <v>46214</v>
      </c>
      <c r="R39" s="16" t="s">
        <v>266</v>
      </c>
      <c r="S39" s="16"/>
      <c r="T39" s="16"/>
      <c r="U39" s="16"/>
      <c r="V39" s="16" t="s">
        <v>267</v>
      </c>
      <c r="W39" s="16" t="s">
        <v>309</v>
      </c>
    </row>
    <row r="40" spans="1:23" x14ac:dyDescent="0.25">
      <c r="A40" s="6" t="s">
        <v>732</v>
      </c>
      <c r="B40" s="8" t="s">
        <v>932</v>
      </c>
      <c r="C40" s="6" t="s">
        <v>90</v>
      </c>
      <c r="D40" s="8" t="s">
        <v>240</v>
      </c>
      <c r="E40" s="6" t="s">
        <v>86</v>
      </c>
      <c r="F40" s="6" t="s">
        <v>241</v>
      </c>
      <c r="G40" s="6" t="s">
        <v>5</v>
      </c>
      <c r="H40" s="6" t="s">
        <v>218</v>
      </c>
      <c r="I40" s="45"/>
      <c r="J40" s="6"/>
      <c r="K40" s="6"/>
      <c r="L40" s="6"/>
      <c r="M40" s="6"/>
      <c r="N40" s="6"/>
      <c r="O40" s="6"/>
      <c r="Q40" s="45">
        <v>46214</v>
      </c>
      <c r="R40" s="6" t="s">
        <v>273</v>
      </c>
      <c r="S40" s="6"/>
      <c r="T40" s="6"/>
      <c r="U40" s="6" t="s">
        <v>267</v>
      </c>
      <c r="V40" s="6"/>
      <c r="W40" s="6" t="s">
        <v>309</v>
      </c>
    </row>
    <row r="41" spans="1:23" x14ac:dyDescent="0.25">
      <c r="A41" s="16" t="s">
        <v>732</v>
      </c>
      <c r="B41" s="17" t="s">
        <v>933</v>
      </c>
      <c r="C41" s="16" t="s">
        <v>93</v>
      </c>
      <c r="D41" s="17" t="s">
        <v>240</v>
      </c>
      <c r="E41" s="16" t="s">
        <v>86</v>
      </c>
      <c r="F41" s="16" t="s">
        <v>241</v>
      </c>
      <c r="G41" s="16" t="s">
        <v>5</v>
      </c>
      <c r="H41" s="16" t="s">
        <v>218</v>
      </c>
      <c r="I41" s="138"/>
      <c r="J41" s="16"/>
      <c r="K41" s="16"/>
      <c r="L41" s="16"/>
      <c r="M41" s="16"/>
      <c r="N41" s="16"/>
      <c r="O41" s="16"/>
      <c r="Q41" s="138">
        <v>46214</v>
      </c>
      <c r="R41" s="16" t="s">
        <v>273</v>
      </c>
      <c r="S41" s="16"/>
      <c r="T41" s="16"/>
      <c r="U41" s="16" t="s">
        <v>267</v>
      </c>
      <c r="V41" s="16"/>
      <c r="W41" s="16" t="s">
        <v>309</v>
      </c>
    </row>
    <row r="42" spans="1:23" x14ac:dyDescent="0.25">
      <c r="A42" s="6" t="s">
        <v>732</v>
      </c>
      <c r="B42" s="8" t="s">
        <v>934</v>
      </c>
      <c r="C42" s="6" t="s">
        <v>97</v>
      </c>
      <c r="D42" s="8" t="s">
        <v>240</v>
      </c>
      <c r="E42" s="6" t="s">
        <v>86</v>
      </c>
      <c r="F42" s="6" t="s">
        <v>241</v>
      </c>
      <c r="G42" s="6" t="s">
        <v>5</v>
      </c>
      <c r="H42" s="6" t="s">
        <v>210</v>
      </c>
      <c r="I42" s="45"/>
      <c r="J42" s="6"/>
      <c r="K42" s="6"/>
      <c r="L42" s="6"/>
      <c r="M42" s="6"/>
      <c r="N42" s="6"/>
      <c r="O42" s="6"/>
      <c r="Q42" s="45">
        <v>46214</v>
      </c>
      <c r="R42" s="6" t="s">
        <v>266</v>
      </c>
      <c r="S42" s="6"/>
      <c r="T42" s="6"/>
      <c r="U42" s="6"/>
      <c r="V42" s="6" t="s">
        <v>267</v>
      </c>
      <c r="W42" s="6" t="s">
        <v>309</v>
      </c>
    </row>
    <row r="43" spans="1:23" x14ac:dyDescent="0.25">
      <c r="A43" s="16" t="s">
        <v>732</v>
      </c>
      <c r="B43" s="17" t="s">
        <v>935</v>
      </c>
      <c r="C43" s="16" t="s">
        <v>156</v>
      </c>
      <c r="D43" s="17" t="s">
        <v>240</v>
      </c>
      <c r="E43" s="16" t="s">
        <v>86</v>
      </c>
      <c r="F43" s="16" t="s">
        <v>241</v>
      </c>
      <c r="G43" s="16" t="s">
        <v>5</v>
      </c>
      <c r="H43" s="16" t="s">
        <v>218</v>
      </c>
      <c r="I43" s="138"/>
      <c r="J43" s="16"/>
      <c r="K43" s="16"/>
      <c r="L43" s="16"/>
      <c r="M43" s="16"/>
      <c r="N43" s="16"/>
      <c r="O43" s="16"/>
      <c r="Q43" s="138">
        <v>46214</v>
      </c>
      <c r="R43" s="16" t="s">
        <v>273</v>
      </c>
      <c r="S43" s="16"/>
      <c r="T43" s="16"/>
      <c r="U43" s="16"/>
      <c r="V43" s="16" t="s">
        <v>267</v>
      </c>
      <c r="W43" s="16" t="s">
        <v>309</v>
      </c>
    </row>
    <row r="44" spans="1:23" x14ac:dyDescent="0.25">
      <c r="A44" s="6" t="s">
        <v>732</v>
      </c>
      <c r="B44" s="8" t="s">
        <v>936</v>
      </c>
      <c r="C44" s="6" t="s">
        <v>153</v>
      </c>
      <c r="D44" s="8" t="s">
        <v>240</v>
      </c>
      <c r="E44" s="6" t="s">
        <v>86</v>
      </c>
      <c r="F44" s="6" t="s">
        <v>241</v>
      </c>
      <c r="G44" s="6" t="s">
        <v>5</v>
      </c>
      <c r="H44" s="6" t="s">
        <v>218</v>
      </c>
      <c r="I44" s="45"/>
      <c r="J44" s="6"/>
      <c r="K44" s="6"/>
      <c r="L44" s="6"/>
      <c r="M44" s="6"/>
      <c r="N44" s="6"/>
      <c r="O44" s="6"/>
      <c r="Q44" s="45">
        <v>46214</v>
      </c>
      <c r="R44" s="6" t="s">
        <v>273</v>
      </c>
      <c r="S44" s="6"/>
      <c r="T44" s="6"/>
      <c r="U44" s="6"/>
      <c r="V44" s="6" t="s">
        <v>267</v>
      </c>
      <c r="W44" s="6" t="s">
        <v>309</v>
      </c>
    </row>
    <row r="45" spans="1:23" x14ac:dyDescent="0.25">
      <c r="A45" s="16"/>
      <c r="B45" s="17"/>
      <c r="C45" s="16"/>
      <c r="D45" s="17"/>
      <c r="E45" s="16"/>
      <c r="F45" s="16"/>
      <c r="G45" s="16"/>
      <c r="H45" s="16"/>
      <c r="I45" s="15"/>
      <c r="J45" s="16"/>
      <c r="K45" s="16"/>
      <c r="L45" s="16"/>
      <c r="M45" s="16"/>
      <c r="N45" s="16"/>
      <c r="O45" s="16"/>
    </row>
    <row r="46" spans="1:23" x14ac:dyDescent="0.25">
      <c r="A46" s="6"/>
      <c r="B46" s="8"/>
      <c r="C46" s="6"/>
      <c r="D46" s="8"/>
      <c r="E46" s="6"/>
      <c r="F46" s="6"/>
      <c r="G46" s="6"/>
      <c r="H46" s="6"/>
      <c r="I46" s="10"/>
      <c r="J46" s="6"/>
      <c r="K46" s="6"/>
      <c r="L46" s="6"/>
      <c r="M46" s="6"/>
      <c r="N46" s="6"/>
      <c r="O46" s="6"/>
    </row>
    <row r="47" spans="1:23" x14ac:dyDescent="0.25">
      <c r="A47" s="16"/>
      <c r="B47" s="17"/>
      <c r="C47" s="16"/>
      <c r="D47" s="17"/>
      <c r="E47" s="16"/>
      <c r="F47" s="16"/>
      <c r="G47" s="16"/>
      <c r="H47" s="16"/>
      <c r="I47" s="15"/>
      <c r="J47" s="16"/>
      <c r="K47" s="16"/>
      <c r="L47" s="16"/>
      <c r="M47" s="16"/>
      <c r="N47" s="16"/>
      <c r="O47" s="16"/>
    </row>
    <row r="48" spans="1:23" x14ac:dyDescent="0.25">
      <c r="A48" s="6"/>
      <c r="B48" s="8"/>
      <c r="C48" s="6"/>
      <c r="D48" s="8"/>
      <c r="E48" s="6"/>
      <c r="F48" s="6"/>
      <c r="G48" s="6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6"/>
      <c r="B49" s="17"/>
      <c r="C49" s="16"/>
      <c r="D49" s="17"/>
      <c r="E49" s="16"/>
      <c r="F49" s="16"/>
      <c r="G49" s="16"/>
      <c r="H49" s="16"/>
      <c r="I49" s="15"/>
      <c r="J49" s="16"/>
      <c r="K49" s="16"/>
      <c r="L49" s="16"/>
      <c r="M49" s="16"/>
      <c r="N49" s="16"/>
      <c r="O49" s="16"/>
    </row>
    <row r="50" spans="1:15" x14ac:dyDescent="0.25">
      <c r="A50" s="6"/>
      <c r="B50" s="8"/>
      <c r="C50" s="6"/>
      <c r="D50" s="8"/>
      <c r="E50" s="6"/>
      <c r="F50" s="6"/>
      <c r="G50" s="6"/>
      <c r="H50" s="6"/>
      <c r="I50" s="10"/>
      <c r="J50" s="6"/>
      <c r="K50" s="6"/>
      <c r="L50" s="6"/>
      <c r="M50" s="6"/>
      <c r="N50" s="6"/>
      <c r="O50" s="6"/>
    </row>
    <row r="51" spans="1:15" ht="30.6" customHeight="1" x14ac:dyDescent="0.25">
      <c r="A51" s="166" t="s">
        <v>251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</row>
    <row r="52" spans="1:15" ht="15" customHeight="1" x14ac:dyDescent="0.25">
      <c r="A52" s="167" t="s">
        <v>252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9"/>
    </row>
    <row r="53" spans="1:15" ht="15" customHeight="1" x14ac:dyDescent="0.25">
      <c r="A53" s="170" t="s">
        <v>253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254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255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3" t="s">
        <v>256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5"/>
    </row>
    <row r="57" spans="1:15" ht="30.6" customHeight="1" x14ac:dyDescent="0.25">
      <c r="A57" s="166" t="s">
        <v>257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49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9" x14ac:dyDescent="0.25">
      <c r="H113" s="4"/>
      <c r="I113" s="3"/>
    </row>
    <row r="114" spans="1:9" ht="18.75" x14ac:dyDescent="0.25">
      <c r="A114" s="159" t="s">
        <v>258</v>
      </c>
      <c r="B114" s="160"/>
      <c r="C114" s="161"/>
      <c r="H114" s="4"/>
      <c r="I114" s="3"/>
    </row>
    <row r="115" spans="1:9" x14ac:dyDescent="0.25">
      <c r="A115" s="36" t="s">
        <v>43</v>
      </c>
      <c r="B115" s="37" t="s">
        <v>259</v>
      </c>
      <c r="C115" s="36" t="s">
        <v>260</v>
      </c>
      <c r="H115" s="4"/>
      <c r="I115" s="3"/>
    </row>
    <row r="116" spans="1:9" x14ac:dyDescent="0.25">
      <c r="A116" s="38" t="s">
        <v>48</v>
      </c>
      <c r="B116" s="7" t="s">
        <v>216</v>
      </c>
      <c r="C116" s="38">
        <f>COUNTIFS($E$7:$E$48,A116)</f>
        <v>5</v>
      </c>
      <c r="H116" s="4"/>
      <c r="I116" s="3"/>
    </row>
    <row r="117" spans="1:9" x14ac:dyDescent="0.25">
      <c r="A117" s="38" t="s">
        <v>54</v>
      </c>
      <c r="B117" s="7" t="s">
        <v>219</v>
      </c>
      <c r="C117" s="38">
        <f t="shared" ref="C117:C119" si="0">COUNTIFS($E$7:$E$48,A117)</f>
        <v>3</v>
      </c>
      <c r="H117" s="4"/>
      <c r="I117" s="3"/>
    </row>
    <row r="118" spans="1:9" x14ac:dyDescent="0.25">
      <c r="A118" s="38" t="s">
        <v>86</v>
      </c>
      <c r="B118" s="7" t="s">
        <v>241</v>
      </c>
      <c r="C118" s="38">
        <f t="shared" si="0"/>
        <v>19</v>
      </c>
      <c r="H118" s="4"/>
      <c r="I118" s="3"/>
    </row>
    <row r="119" spans="1:9" x14ac:dyDescent="0.25">
      <c r="A119" s="38" t="s">
        <v>51</v>
      </c>
      <c r="B119" s="7" t="s">
        <v>209</v>
      </c>
      <c r="C119" s="38">
        <f t="shared" si="0"/>
        <v>11</v>
      </c>
      <c r="H119" s="4"/>
      <c r="I119" s="3"/>
    </row>
    <row r="120" spans="1:9" x14ac:dyDescent="0.25">
      <c r="H120" s="4"/>
      <c r="I120" s="3"/>
    </row>
    <row r="121" spans="1:9" ht="18.75" x14ac:dyDescent="0.25">
      <c r="A121" s="159" t="s">
        <v>261</v>
      </c>
      <c r="B121" s="160"/>
      <c r="C121" s="161"/>
      <c r="H121" s="4"/>
      <c r="I121" s="3"/>
    </row>
    <row r="122" spans="1:9" x14ac:dyDescent="0.25">
      <c r="A122" s="36" t="s">
        <v>43</v>
      </c>
      <c r="B122" s="37" t="s">
        <v>259</v>
      </c>
      <c r="C122" s="36" t="s">
        <v>260</v>
      </c>
      <c r="H122" s="4"/>
      <c r="I122" s="3"/>
    </row>
    <row r="123" spans="1:9" x14ac:dyDescent="0.25">
      <c r="A123" s="39" t="s">
        <v>48</v>
      </c>
      <c r="B123" s="1" t="s">
        <v>216</v>
      </c>
      <c r="C123" s="38">
        <f>COUNTIFS($E$7:$E$48,A123,$H$7:$H$48,"Trocar")</f>
        <v>2</v>
      </c>
      <c r="H123" s="4"/>
      <c r="I123" s="3"/>
    </row>
    <row r="124" spans="1:9" x14ac:dyDescent="0.25">
      <c r="A124" s="39" t="s">
        <v>54</v>
      </c>
      <c r="B124" s="1" t="s">
        <v>219</v>
      </c>
      <c r="C124" s="38">
        <f t="shared" ref="C124:C126" si="1">COUNTIFS($E$7:$E$48,A124,$H$7:$H$48,"Trocar")</f>
        <v>1</v>
      </c>
      <c r="H124" s="4"/>
      <c r="I124" s="3"/>
    </row>
    <row r="125" spans="1:9" x14ac:dyDescent="0.25">
      <c r="A125" s="39" t="s">
        <v>86</v>
      </c>
      <c r="B125" s="1" t="s">
        <v>241</v>
      </c>
      <c r="C125" s="38">
        <f t="shared" si="1"/>
        <v>5</v>
      </c>
      <c r="H125" s="4"/>
      <c r="I125" s="3"/>
    </row>
    <row r="126" spans="1:9" x14ac:dyDescent="0.25">
      <c r="A126" s="39" t="s">
        <v>51</v>
      </c>
      <c r="B126" s="1" t="s">
        <v>209</v>
      </c>
      <c r="C126" s="38">
        <f t="shared" si="1"/>
        <v>10</v>
      </c>
      <c r="H126" s="4"/>
      <c r="I126" s="3"/>
    </row>
    <row r="127" spans="1:9" x14ac:dyDescent="0.25">
      <c r="H127" s="4"/>
      <c r="I127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0:I60"/>
    <mergeCell ref="A1:O1"/>
    <mergeCell ref="K5:N5"/>
    <mergeCell ref="A51:O51"/>
    <mergeCell ref="A52:O52"/>
    <mergeCell ref="A53:O53"/>
    <mergeCell ref="A54:O54"/>
    <mergeCell ref="A55:O55"/>
    <mergeCell ref="A56:O56"/>
    <mergeCell ref="A57:O57"/>
    <mergeCell ref="B58:I58"/>
    <mergeCell ref="B59:I59"/>
    <mergeCell ref="B61:I61"/>
    <mergeCell ref="B62:I62"/>
    <mergeCell ref="B63:I63"/>
    <mergeCell ref="A114:C114"/>
    <mergeCell ref="A121:C121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6" max="14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71B5-5F4E-4C97-8FE7-14C810E35E6E}">
  <sheetPr codeName="Planilha27">
    <tabColor rgb="FFFFC000"/>
    <pageSetUpPr fitToPage="1"/>
  </sheetPr>
  <dimension ref="A1:O128"/>
  <sheetViews>
    <sheetView showGridLines="0" zoomScale="70" zoomScaleNormal="70" zoomScaleSheetLayoutView="70" workbookViewId="0">
      <selection activeCell="E6" sqref="E6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937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 t="s">
        <v>49</v>
      </c>
      <c r="B7" s="9" t="s">
        <v>938</v>
      </c>
      <c r="C7" s="13" t="s">
        <v>77</v>
      </c>
      <c r="D7" s="9" t="s">
        <v>215</v>
      </c>
      <c r="E7" s="7" t="s">
        <v>48</v>
      </c>
      <c r="F7" s="7" t="s">
        <v>216</v>
      </c>
      <c r="G7" s="7" t="s">
        <v>5</v>
      </c>
      <c r="H7" s="7" t="s">
        <v>210</v>
      </c>
      <c r="I7" s="41"/>
      <c r="J7" s="1"/>
      <c r="K7" s="1"/>
      <c r="L7" s="1"/>
      <c r="M7" s="1"/>
      <c r="N7" s="1"/>
      <c r="O7" s="1"/>
    </row>
    <row r="8" spans="1:15" x14ac:dyDescent="0.25">
      <c r="A8" s="14" t="s">
        <v>49</v>
      </c>
      <c r="B8" s="18" t="s">
        <v>939</v>
      </c>
      <c r="C8" s="14" t="s">
        <v>81</v>
      </c>
      <c r="D8" s="18" t="s">
        <v>225</v>
      </c>
      <c r="E8" s="14" t="s">
        <v>51</v>
      </c>
      <c r="F8" s="14" t="s">
        <v>209</v>
      </c>
      <c r="G8" s="14" t="s">
        <v>5</v>
      </c>
      <c r="H8" s="14" t="s">
        <v>210</v>
      </c>
      <c r="I8" s="43"/>
      <c r="J8" s="44"/>
      <c r="K8" s="44"/>
      <c r="L8" s="44"/>
      <c r="M8" s="44"/>
      <c r="N8" s="44"/>
      <c r="O8" s="44"/>
    </row>
    <row r="9" spans="1:15" x14ac:dyDescent="0.25">
      <c r="A9" s="7" t="s">
        <v>49</v>
      </c>
      <c r="B9" s="9" t="s">
        <v>940</v>
      </c>
      <c r="C9" s="13" t="s">
        <v>61</v>
      </c>
      <c r="D9" s="9" t="s">
        <v>225</v>
      </c>
      <c r="E9" s="7" t="s">
        <v>51</v>
      </c>
      <c r="F9" s="7" t="s">
        <v>209</v>
      </c>
      <c r="G9" s="7" t="s">
        <v>5</v>
      </c>
      <c r="H9" s="7" t="s">
        <v>210</v>
      </c>
      <c r="I9" s="41"/>
      <c r="J9" s="1"/>
      <c r="K9" s="1"/>
      <c r="L9" s="1"/>
      <c r="M9" s="1"/>
      <c r="N9" s="1"/>
      <c r="O9" s="1"/>
    </row>
    <row r="10" spans="1:15" x14ac:dyDescent="0.25">
      <c r="A10" s="14" t="s">
        <v>49</v>
      </c>
      <c r="B10" s="18" t="s">
        <v>941</v>
      </c>
      <c r="C10" s="14" t="s">
        <v>64</v>
      </c>
      <c r="D10" s="18" t="s">
        <v>225</v>
      </c>
      <c r="E10" s="14" t="s">
        <v>51</v>
      </c>
      <c r="F10" s="14" t="s">
        <v>209</v>
      </c>
      <c r="G10" s="14" t="s">
        <v>5</v>
      </c>
      <c r="H10" s="14" t="s">
        <v>210</v>
      </c>
      <c r="I10" s="43"/>
      <c r="J10" s="44"/>
      <c r="K10" s="44"/>
      <c r="L10" s="44"/>
      <c r="M10" s="44"/>
      <c r="N10" s="44"/>
      <c r="O10" s="44"/>
    </row>
    <row r="11" spans="1:15" x14ac:dyDescent="0.25">
      <c r="A11" s="7" t="s">
        <v>49</v>
      </c>
      <c r="B11" s="9" t="s">
        <v>942</v>
      </c>
      <c r="C11" s="13" t="s">
        <v>50</v>
      </c>
      <c r="D11" s="9" t="s">
        <v>225</v>
      </c>
      <c r="E11" s="7" t="s">
        <v>51</v>
      </c>
      <c r="F11" s="7" t="s">
        <v>209</v>
      </c>
      <c r="G11" s="7" t="s">
        <v>6</v>
      </c>
      <c r="H11" s="7" t="s">
        <v>210</v>
      </c>
      <c r="I11" s="41"/>
      <c r="J11" s="1"/>
      <c r="K11" s="1"/>
      <c r="L11" s="1"/>
      <c r="M11" s="1"/>
      <c r="N11" s="1"/>
      <c r="O11" s="1"/>
    </row>
    <row r="12" spans="1:15" x14ac:dyDescent="0.25">
      <c r="A12" s="14" t="s">
        <v>49</v>
      </c>
      <c r="B12" s="18" t="s">
        <v>57</v>
      </c>
      <c r="C12" s="14" t="s">
        <v>53</v>
      </c>
      <c r="D12" s="18" t="s">
        <v>215</v>
      </c>
      <c r="E12" s="14" t="s">
        <v>54</v>
      </c>
      <c r="F12" s="14" t="s">
        <v>219</v>
      </c>
      <c r="G12" s="14" t="s">
        <v>6</v>
      </c>
      <c r="H12" s="14" t="s">
        <v>210</v>
      </c>
      <c r="I12" s="43"/>
      <c r="J12" s="44"/>
      <c r="K12" s="44"/>
      <c r="L12" s="44"/>
      <c r="M12" s="44"/>
      <c r="N12" s="44"/>
      <c r="O12" s="44"/>
    </row>
    <row r="13" spans="1:15" x14ac:dyDescent="0.25">
      <c r="A13" s="7" t="s">
        <v>49</v>
      </c>
      <c r="B13" s="9" t="s">
        <v>57</v>
      </c>
      <c r="C13" s="13" t="s">
        <v>58</v>
      </c>
      <c r="D13" s="9" t="s">
        <v>215</v>
      </c>
      <c r="E13" s="7" t="s">
        <v>54</v>
      </c>
      <c r="F13" s="7" t="s">
        <v>219</v>
      </c>
      <c r="G13" s="7" t="s">
        <v>6</v>
      </c>
      <c r="H13" s="7" t="s">
        <v>218</v>
      </c>
      <c r="I13" s="41"/>
      <c r="J13" s="1"/>
      <c r="K13" s="1"/>
      <c r="L13" s="1"/>
      <c r="M13" s="1"/>
      <c r="N13" s="1"/>
      <c r="O13" s="1"/>
    </row>
    <row r="14" spans="1:15" x14ac:dyDescent="0.25">
      <c r="A14" s="14" t="s">
        <v>49</v>
      </c>
      <c r="B14" s="18" t="s">
        <v>57</v>
      </c>
      <c r="C14" s="14" t="s">
        <v>56</v>
      </c>
      <c r="D14" s="18" t="s">
        <v>215</v>
      </c>
      <c r="E14" s="14" t="s">
        <v>54</v>
      </c>
      <c r="F14" s="14" t="s">
        <v>219</v>
      </c>
      <c r="G14" s="14" t="s">
        <v>6</v>
      </c>
      <c r="H14" s="14" t="s">
        <v>218</v>
      </c>
      <c r="I14" s="43"/>
      <c r="J14" s="44"/>
      <c r="K14" s="44"/>
      <c r="L14" s="44"/>
      <c r="M14" s="44"/>
      <c r="N14" s="44"/>
      <c r="O14" s="44"/>
    </row>
    <row r="15" spans="1:15" x14ac:dyDescent="0.25">
      <c r="A15" s="7" t="s">
        <v>49</v>
      </c>
      <c r="B15" s="9" t="s">
        <v>57</v>
      </c>
      <c r="C15" s="13" t="s">
        <v>169</v>
      </c>
      <c r="D15" s="9" t="s">
        <v>402</v>
      </c>
      <c r="E15" s="7" t="s">
        <v>48</v>
      </c>
      <c r="F15" s="7" t="s">
        <v>216</v>
      </c>
      <c r="G15" s="7" t="s">
        <v>5</v>
      </c>
      <c r="H15" s="7" t="s">
        <v>218</v>
      </c>
      <c r="I15" s="41"/>
      <c r="J15" s="1"/>
      <c r="K15" s="1"/>
      <c r="L15" s="1"/>
      <c r="M15" s="1"/>
      <c r="N15" s="1"/>
      <c r="O15" s="1"/>
    </row>
    <row r="16" spans="1:15" x14ac:dyDescent="0.25">
      <c r="A16" s="14" t="s">
        <v>49</v>
      </c>
      <c r="B16" s="18" t="s">
        <v>943</v>
      </c>
      <c r="C16" s="14" t="s">
        <v>129</v>
      </c>
      <c r="D16" s="18" t="s">
        <v>208</v>
      </c>
      <c r="E16" s="14" t="s">
        <v>51</v>
      </c>
      <c r="F16" s="14" t="s">
        <v>209</v>
      </c>
      <c r="G16" s="14" t="s">
        <v>5</v>
      </c>
      <c r="H16" s="14" t="s">
        <v>210</v>
      </c>
      <c r="I16" s="43"/>
      <c r="J16" s="44"/>
      <c r="K16" s="44"/>
      <c r="L16" s="44"/>
      <c r="M16" s="44"/>
      <c r="N16" s="44"/>
      <c r="O16" s="44"/>
    </row>
    <row r="17" spans="1:15" x14ac:dyDescent="0.25">
      <c r="A17" s="7" t="s">
        <v>49</v>
      </c>
      <c r="B17" s="9" t="s">
        <v>944</v>
      </c>
      <c r="C17" s="13" t="s">
        <v>72</v>
      </c>
      <c r="D17" s="9" t="s">
        <v>225</v>
      </c>
      <c r="E17" s="7" t="s">
        <v>51</v>
      </c>
      <c r="F17" s="7" t="s">
        <v>209</v>
      </c>
      <c r="G17" s="7" t="s">
        <v>5</v>
      </c>
      <c r="H17" s="7" t="s">
        <v>210</v>
      </c>
      <c r="I17" s="41"/>
      <c r="J17" s="1"/>
      <c r="K17" s="1"/>
      <c r="L17" s="1"/>
      <c r="M17" s="1"/>
      <c r="N17" s="1"/>
      <c r="O17" s="1"/>
    </row>
    <row r="18" spans="1:15" x14ac:dyDescent="0.25">
      <c r="A18" s="14" t="s">
        <v>68</v>
      </c>
      <c r="B18" s="18" t="s">
        <v>57</v>
      </c>
      <c r="C18" s="14" t="s">
        <v>69</v>
      </c>
      <c r="D18" s="18" t="s">
        <v>208</v>
      </c>
      <c r="E18" s="14" t="s">
        <v>51</v>
      </c>
      <c r="F18" s="14" t="s">
        <v>209</v>
      </c>
      <c r="G18" s="14" t="s">
        <v>5</v>
      </c>
      <c r="H18" s="14" t="s">
        <v>210</v>
      </c>
      <c r="I18" s="43"/>
      <c r="J18" s="44"/>
      <c r="K18" s="44"/>
      <c r="L18" s="44"/>
      <c r="M18" s="44"/>
      <c r="N18" s="44"/>
      <c r="O18" s="44"/>
    </row>
    <row r="19" spans="1:15" x14ac:dyDescent="0.25">
      <c r="A19" s="7" t="s">
        <v>68</v>
      </c>
      <c r="B19" s="9" t="s">
        <v>57</v>
      </c>
      <c r="C19" s="13" t="s">
        <v>151</v>
      </c>
      <c r="D19" s="9" t="s">
        <v>208</v>
      </c>
      <c r="E19" s="7" t="s">
        <v>51</v>
      </c>
      <c r="F19" s="7" t="s">
        <v>209</v>
      </c>
      <c r="G19" s="7" t="s">
        <v>5</v>
      </c>
      <c r="H19" s="7" t="s">
        <v>210</v>
      </c>
      <c r="I19" s="41"/>
      <c r="J19" s="1"/>
      <c r="K19" s="1"/>
      <c r="L19" s="1"/>
      <c r="M19" s="1"/>
      <c r="N19" s="1"/>
      <c r="O19" s="1"/>
    </row>
    <row r="20" spans="1:15" x14ac:dyDescent="0.25">
      <c r="A20" s="14" t="s">
        <v>68</v>
      </c>
      <c r="B20" s="18" t="s">
        <v>57</v>
      </c>
      <c r="C20" s="14" t="s">
        <v>112</v>
      </c>
      <c r="D20" s="18" t="s">
        <v>402</v>
      </c>
      <c r="E20" s="14" t="s">
        <v>48</v>
      </c>
      <c r="F20" s="14" t="s">
        <v>216</v>
      </c>
      <c r="G20" s="14" t="s">
        <v>5</v>
      </c>
      <c r="H20" s="14" t="s">
        <v>210</v>
      </c>
      <c r="I20" s="43"/>
      <c r="J20" s="44"/>
      <c r="K20" s="44"/>
      <c r="L20" s="44"/>
      <c r="M20" s="44"/>
      <c r="N20" s="44"/>
      <c r="O20" s="44"/>
    </row>
    <row r="21" spans="1:15" x14ac:dyDescent="0.25">
      <c r="A21" s="7" t="s">
        <v>68</v>
      </c>
      <c r="B21" s="9" t="s">
        <v>57</v>
      </c>
      <c r="C21" s="13" t="s">
        <v>109</v>
      </c>
      <c r="D21" s="9" t="s">
        <v>402</v>
      </c>
      <c r="E21" s="7" t="s">
        <v>48</v>
      </c>
      <c r="F21" s="7" t="s">
        <v>216</v>
      </c>
      <c r="G21" s="7" t="s">
        <v>5</v>
      </c>
      <c r="H21" s="7" t="s">
        <v>218</v>
      </c>
      <c r="I21" s="41"/>
      <c r="J21" s="1"/>
      <c r="K21" s="1"/>
      <c r="L21" s="1"/>
      <c r="M21" s="1"/>
      <c r="N21" s="1"/>
      <c r="O21" s="1"/>
    </row>
    <row r="22" spans="1:15" x14ac:dyDescent="0.25">
      <c r="A22" s="14" t="s">
        <v>68</v>
      </c>
      <c r="B22" s="18" t="s">
        <v>57</v>
      </c>
      <c r="C22" s="14" t="s">
        <v>148</v>
      </c>
      <c r="D22" s="18" t="s">
        <v>217</v>
      </c>
      <c r="E22" s="14" t="s">
        <v>48</v>
      </c>
      <c r="F22" s="14" t="s">
        <v>216</v>
      </c>
      <c r="G22" s="14" t="s">
        <v>6</v>
      </c>
      <c r="H22" s="14" t="s">
        <v>218</v>
      </c>
      <c r="I22" s="43"/>
      <c r="J22" s="44"/>
      <c r="K22" s="44"/>
      <c r="L22" s="44"/>
      <c r="M22" s="44"/>
      <c r="N22" s="44"/>
      <c r="O22" s="44"/>
    </row>
    <row r="23" spans="1:15" x14ac:dyDescent="0.25">
      <c r="A23" s="7" t="s">
        <v>68</v>
      </c>
      <c r="B23" s="9" t="s">
        <v>945</v>
      </c>
      <c r="C23" s="13" t="s">
        <v>132</v>
      </c>
      <c r="D23" s="9" t="s">
        <v>240</v>
      </c>
      <c r="E23" s="7" t="s">
        <v>86</v>
      </c>
      <c r="F23" s="7" t="s">
        <v>241</v>
      </c>
      <c r="G23" s="7" t="s">
        <v>5</v>
      </c>
      <c r="H23" s="7" t="s">
        <v>218</v>
      </c>
      <c r="I23" s="41"/>
      <c r="J23" s="1"/>
      <c r="K23" s="1"/>
      <c r="L23" s="1"/>
      <c r="M23" s="1"/>
      <c r="N23" s="1"/>
      <c r="O23" s="1"/>
    </row>
    <row r="24" spans="1:15" x14ac:dyDescent="0.25">
      <c r="A24" s="14" t="s">
        <v>68</v>
      </c>
      <c r="B24" s="18" t="s">
        <v>946</v>
      </c>
      <c r="C24" s="14" t="s">
        <v>162</v>
      </c>
      <c r="D24" s="18" t="s">
        <v>240</v>
      </c>
      <c r="E24" s="14" t="s">
        <v>86</v>
      </c>
      <c r="F24" s="14" t="s">
        <v>241</v>
      </c>
      <c r="G24" s="14" t="s">
        <v>5</v>
      </c>
      <c r="H24" s="14" t="s">
        <v>218</v>
      </c>
      <c r="I24" s="43"/>
      <c r="J24" s="44"/>
      <c r="K24" s="44"/>
      <c r="L24" s="44"/>
      <c r="M24" s="44"/>
      <c r="N24" s="44"/>
      <c r="O24" s="44"/>
    </row>
    <row r="25" spans="1:15" x14ac:dyDescent="0.25">
      <c r="A25" s="7" t="s">
        <v>68</v>
      </c>
      <c r="B25" s="9" t="s">
        <v>947</v>
      </c>
      <c r="C25" s="13" t="s">
        <v>164</v>
      </c>
      <c r="D25" s="9" t="s">
        <v>240</v>
      </c>
      <c r="E25" s="7" t="s">
        <v>86</v>
      </c>
      <c r="F25" s="7" t="s">
        <v>241</v>
      </c>
      <c r="G25" s="7" t="s">
        <v>5</v>
      </c>
      <c r="H25" s="7" t="s">
        <v>210</v>
      </c>
      <c r="I25" s="41"/>
      <c r="J25" s="1"/>
      <c r="K25" s="1"/>
      <c r="L25" s="1"/>
      <c r="M25" s="1"/>
      <c r="N25" s="1"/>
      <c r="O25" s="1"/>
    </row>
    <row r="26" spans="1:15" x14ac:dyDescent="0.25">
      <c r="A26" s="14" t="s">
        <v>68</v>
      </c>
      <c r="B26" s="18" t="s">
        <v>948</v>
      </c>
      <c r="C26" s="14" t="s">
        <v>167</v>
      </c>
      <c r="D26" s="18" t="s">
        <v>240</v>
      </c>
      <c r="E26" s="14" t="s">
        <v>86</v>
      </c>
      <c r="F26" s="14" t="s">
        <v>241</v>
      </c>
      <c r="G26" s="14" t="s">
        <v>5</v>
      </c>
      <c r="H26" s="14" t="s">
        <v>218</v>
      </c>
      <c r="I26" s="43"/>
      <c r="J26" s="44"/>
      <c r="K26" s="44"/>
      <c r="L26" s="44"/>
      <c r="M26" s="44"/>
      <c r="N26" s="44"/>
      <c r="O26" s="44"/>
    </row>
    <row r="27" spans="1:15" x14ac:dyDescent="0.25">
      <c r="A27" s="7" t="s">
        <v>732</v>
      </c>
      <c r="B27" s="9" t="s">
        <v>949</v>
      </c>
      <c r="C27" s="13" t="s">
        <v>125</v>
      </c>
      <c r="D27" s="9" t="s">
        <v>240</v>
      </c>
      <c r="E27" s="7" t="s">
        <v>86</v>
      </c>
      <c r="F27" s="7" t="s">
        <v>241</v>
      </c>
      <c r="G27" s="7" t="s">
        <v>5</v>
      </c>
      <c r="H27" s="7" t="s">
        <v>218</v>
      </c>
      <c r="I27" s="41"/>
      <c r="J27" s="1"/>
      <c r="K27" s="1"/>
      <c r="L27" s="1"/>
      <c r="M27" s="1"/>
      <c r="N27" s="1"/>
      <c r="O27" s="1"/>
    </row>
    <row r="28" spans="1:15" x14ac:dyDescent="0.25">
      <c r="A28" s="14" t="s">
        <v>732</v>
      </c>
      <c r="B28" s="18" t="s">
        <v>950</v>
      </c>
      <c r="C28" s="14" t="s">
        <v>144</v>
      </c>
      <c r="D28" s="18" t="s">
        <v>240</v>
      </c>
      <c r="E28" s="14" t="s">
        <v>86</v>
      </c>
      <c r="F28" s="14" t="s">
        <v>241</v>
      </c>
      <c r="G28" s="14" t="s">
        <v>5</v>
      </c>
      <c r="H28" s="14" t="s">
        <v>210</v>
      </c>
      <c r="I28" s="43"/>
      <c r="J28" s="44"/>
      <c r="K28" s="44"/>
      <c r="L28" s="44"/>
      <c r="M28" s="44"/>
      <c r="N28" s="44"/>
      <c r="O28" s="44"/>
    </row>
    <row r="29" spans="1:15" x14ac:dyDescent="0.25">
      <c r="A29" s="7" t="s">
        <v>732</v>
      </c>
      <c r="B29" s="9" t="s">
        <v>951</v>
      </c>
      <c r="C29" s="13" t="s">
        <v>106</v>
      </c>
      <c r="D29" s="9" t="s">
        <v>240</v>
      </c>
      <c r="E29" s="7" t="s">
        <v>86</v>
      </c>
      <c r="F29" s="7" t="s">
        <v>241</v>
      </c>
      <c r="G29" s="7" t="s">
        <v>5</v>
      </c>
      <c r="H29" s="7" t="s">
        <v>218</v>
      </c>
      <c r="I29" s="41"/>
      <c r="J29" s="1"/>
      <c r="K29" s="1"/>
      <c r="L29" s="1"/>
      <c r="M29" s="1"/>
      <c r="N29" s="1"/>
      <c r="O29" s="1"/>
    </row>
    <row r="30" spans="1:15" x14ac:dyDescent="0.25">
      <c r="A30" s="14" t="s">
        <v>732</v>
      </c>
      <c r="B30" s="18" t="s">
        <v>952</v>
      </c>
      <c r="C30" s="14" t="s">
        <v>115</v>
      </c>
      <c r="D30" s="18" t="s">
        <v>225</v>
      </c>
      <c r="E30" s="14" t="s">
        <v>51</v>
      </c>
      <c r="F30" s="14" t="s">
        <v>209</v>
      </c>
      <c r="G30" s="14" t="s">
        <v>5</v>
      </c>
      <c r="H30" s="14" t="s">
        <v>210</v>
      </c>
      <c r="I30" s="43"/>
      <c r="J30" s="44"/>
      <c r="K30" s="44"/>
      <c r="L30" s="44"/>
      <c r="M30" s="44"/>
      <c r="N30" s="44"/>
      <c r="O30" s="44"/>
    </row>
    <row r="31" spans="1:15" x14ac:dyDescent="0.25">
      <c r="A31" s="7" t="s">
        <v>732</v>
      </c>
      <c r="B31" s="9" t="s">
        <v>953</v>
      </c>
      <c r="C31" s="13" t="s">
        <v>135</v>
      </c>
      <c r="D31" s="9" t="s">
        <v>225</v>
      </c>
      <c r="E31" s="7" t="s">
        <v>51</v>
      </c>
      <c r="F31" s="7" t="s">
        <v>209</v>
      </c>
      <c r="G31" s="7" t="s">
        <v>5</v>
      </c>
      <c r="H31" s="7" t="s">
        <v>210</v>
      </c>
      <c r="I31" s="41"/>
      <c r="J31" s="1"/>
      <c r="K31" s="1"/>
      <c r="L31" s="1"/>
      <c r="M31" s="1"/>
      <c r="N31" s="1"/>
      <c r="O31" s="1"/>
    </row>
    <row r="32" spans="1:15" x14ac:dyDescent="0.25">
      <c r="A32" s="14" t="s">
        <v>732</v>
      </c>
      <c r="B32" s="18" t="s">
        <v>954</v>
      </c>
      <c r="C32" s="14" t="s">
        <v>103</v>
      </c>
      <c r="D32" s="18" t="s">
        <v>225</v>
      </c>
      <c r="E32" s="14" t="s">
        <v>51</v>
      </c>
      <c r="F32" s="14" t="s">
        <v>209</v>
      </c>
      <c r="G32" s="14" t="s">
        <v>5</v>
      </c>
      <c r="H32" s="14" t="s">
        <v>218</v>
      </c>
      <c r="I32" s="43"/>
      <c r="J32" s="44"/>
      <c r="K32" s="44"/>
      <c r="L32" s="44"/>
      <c r="M32" s="44"/>
      <c r="N32" s="44"/>
      <c r="O32" s="44"/>
    </row>
    <row r="33" spans="1:15" ht="18" customHeight="1" x14ac:dyDescent="0.25">
      <c r="A33" s="7" t="s">
        <v>732</v>
      </c>
      <c r="B33" s="9" t="s">
        <v>955</v>
      </c>
      <c r="C33" s="13" t="s">
        <v>119</v>
      </c>
      <c r="D33" s="9" t="s">
        <v>240</v>
      </c>
      <c r="E33" s="7" t="s">
        <v>86</v>
      </c>
      <c r="F33" s="7" t="s">
        <v>241</v>
      </c>
      <c r="G33" s="7" t="s">
        <v>5</v>
      </c>
      <c r="H33" s="7" t="s">
        <v>218</v>
      </c>
      <c r="I33" s="41"/>
      <c r="J33" s="1"/>
      <c r="K33" s="1"/>
      <c r="L33" s="1"/>
      <c r="M33" s="1"/>
      <c r="N33" s="1"/>
      <c r="O33" s="1"/>
    </row>
    <row r="34" spans="1:15" x14ac:dyDescent="0.25">
      <c r="A34" s="14" t="s">
        <v>732</v>
      </c>
      <c r="B34" s="18" t="s">
        <v>956</v>
      </c>
      <c r="C34" s="14" t="s">
        <v>137</v>
      </c>
      <c r="D34" s="18" t="s">
        <v>240</v>
      </c>
      <c r="E34" s="14" t="s">
        <v>86</v>
      </c>
      <c r="F34" s="14" t="s">
        <v>241</v>
      </c>
      <c r="G34" s="14" t="s">
        <v>5</v>
      </c>
      <c r="H34" s="14" t="s">
        <v>210</v>
      </c>
      <c r="I34" s="43"/>
      <c r="J34" s="44"/>
      <c r="K34" s="44"/>
      <c r="L34" s="44"/>
      <c r="M34" s="44"/>
      <c r="N34" s="44"/>
      <c r="O34" s="44"/>
    </row>
    <row r="35" spans="1:15" x14ac:dyDescent="0.25">
      <c r="A35" s="7" t="s">
        <v>732</v>
      </c>
      <c r="B35" s="9" t="s">
        <v>957</v>
      </c>
      <c r="C35" s="13" t="s">
        <v>85</v>
      </c>
      <c r="D35" s="9" t="s">
        <v>240</v>
      </c>
      <c r="E35" s="7" t="s">
        <v>86</v>
      </c>
      <c r="F35" s="7" t="s">
        <v>241</v>
      </c>
      <c r="G35" s="7" t="s">
        <v>5</v>
      </c>
      <c r="H35" s="7" t="s">
        <v>218</v>
      </c>
      <c r="I35" s="41"/>
      <c r="J35" s="1"/>
      <c r="K35" s="1"/>
      <c r="L35" s="1"/>
      <c r="M35" s="1"/>
      <c r="N35" s="1"/>
      <c r="O35" s="1"/>
    </row>
    <row r="36" spans="1:15" x14ac:dyDescent="0.25">
      <c r="A36" s="14" t="s">
        <v>732</v>
      </c>
      <c r="B36" s="18" t="s">
        <v>958</v>
      </c>
      <c r="C36" s="14" t="s">
        <v>122</v>
      </c>
      <c r="D36" s="18" t="s">
        <v>240</v>
      </c>
      <c r="E36" s="14" t="s">
        <v>86</v>
      </c>
      <c r="F36" s="14" t="s">
        <v>241</v>
      </c>
      <c r="G36" s="14" t="s">
        <v>5</v>
      </c>
      <c r="H36" s="14" t="s">
        <v>218</v>
      </c>
      <c r="I36" s="43"/>
      <c r="J36" s="44"/>
      <c r="K36" s="44"/>
      <c r="L36" s="44"/>
      <c r="M36" s="44"/>
      <c r="N36" s="44"/>
      <c r="O36" s="44"/>
    </row>
    <row r="37" spans="1:15" x14ac:dyDescent="0.25">
      <c r="A37" s="7" t="s">
        <v>732</v>
      </c>
      <c r="B37" s="9" t="s">
        <v>959</v>
      </c>
      <c r="C37" s="13" t="s">
        <v>140</v>
      </c>
      <c r="D37" s="9" t="s">
        <v>240</v>
      </c>
      <c r="E37" s="7" t="s">
        <v>86</v>
      </c>
      <c r="F37" s="7" t="s">
        <v>241</v>
      </c>
      <c r="G37" s="7" t="s">
        <v>5</v>
      </c>
      <c r="H37" s="7" t="s">
        <v>210</v>
      </c>
      <c r="I37" s="41"/>
      <c r="J37" s="1"/>
      <c r="K37" s="1"/>
      <c r="L37" s="1"/>
      <c r="M37" s="1"/>
      <c r="N37" s="1"/>
      <c r="O37" s="1"/>
    </row>
    <row r="38" spans="1:15" x14ac:dyDescent="0.25">
      <c r="A38" s="14" t="s">
        <v>732</v>
      </c>
      <c r="B38" s="18" t="s">
        <v>960</v>
      </c>
      <c r="C38" s="14" t="s">
        <v>90</v>
      </c>
      <c r="D38" s="18" t="s">
        <v>240</v>
      </c>
      <c r="E38" s="14" t="s">
        <v>86</v>
      </c>
      <c r="F38" s="14" t="s">
        <v>241</v>
      </c>
      <c r="G38" s="14" t="s">
        <v>5</v>
      </c>
      <c r="H38" s="14" t="s">
        <v>218</v>
      </c>
      <c r="I38" s="43"/>
      <c r="J38" s="44"/>
      <c r="K38" s="44"/>
      <c r="L38" s="44"/>
      <c r="M38" s="44"/>
      <c r="N38" s="44"/>
      <c r="O38" s="44"/>
    </row>
    <row r="39" spans="1:15" x14ac:dyDescent="0.25">
      <c r="A39" s="7" t="s">
        <v>732</v>
      </c>
      <c r="B39" s="9" t="s">
        <v>961</v>
      </c>
      <c r="C39" s="13" t="s">
        <v>93</v>
      </c>
      <c r="D39" s="9" t="s">
        <v>240</v>
      </c>
      <c r="E39" s="7" t="s">
        <v>86</v>
      </c>
      <c r="F39" s="7" t="s">
        <v>241</v>
      </c>
      <c r="G39" s="7" t="s">
        <v>5</v>
      </c>
      <c r="H39" s="7" t="s">
        <v>218</v>
      </c>
      <c r="I39" s="41"/>
      <c r="J39" s="1"/>
      <c r="K39" s="1"/>
      <c r="L39" s="1"/>
      <c r="M39" s="1"/>
      <c r="N39" s="1"/>
      <c r="O39" s="1"/>
    </row>
    <row r="40" spans="1:15" x14ac:dyDescent="0.25">
      <c r="A40" s="14" t="s">
        <v>732</v>
      </c>
      <c r="B40" s="18" t="s">
        <v>962</v>
      </c>
      <c r="C40" s="14" t="s">
        <v>97</v>
      </c>
      <c r="D40" s="18" t="s">
        <v>240</v>
      </c>
      <c r="E40" s="14" t="s">
        <v>86</v>
      </c>
      <c r="F40" s="14" t="s">
        <v>241</v>
      </c>
      <c r="G40" s="14" t="s">
        <v>5</v>
      </c>
      <c r="H40" s="14" t="s">
        <v>210</v>
      </c>
      <c r="I40" s="43"/>
      <c r="J40" s="44"/>
      <c r="K40" s="44"/>
      <c r="L40" s="44"/>
      <c r="M40" s="44"/>
      <c r="N40" s="44"/>
      <c r="O40" s="44"/>
    </row>
    <row r="41" spans="1:15" x14ac:dyDescent="0.25">
      <c r="A41" s="7" t="s">
        <v>732</v>
      </c>
      <c r="B41" s="9" t="s">
        <v>963</v>
      </c>
      <c r="C41" s="13" t="s">
        <v>100</v>
      </c>
      <c r="D41" s="9" t="s">
        <v>240</v>
      </c>
      <c r="E41" s="7" t="s">
        <v>86</v>
      </c>
      <c r="F41" s="7" t="s">
        <v>241</v>
      </c>
      <c r="G41" s="7" t="s">
        <v>5</v>
      </c>
      <c r="H41" s="7" t="s">
        <v>218</v>
      </c>
      <c r="I41" s="41"/>
      <c r="J41" s="1"/>
      <c r="K41" s="1"/>
      <c r="L41" s="1"/>
      <c r="M41" s="1"/>
      <c r="N41" s="1"/>
      <c r="O41" s="1"/>
    </row>
    <row r="42" spans="1:15" x14ac:dyDescent="0.25">
      <c r="A42" s="14" t="s">
        <v>732</v>
      </c>
      <c r="B42" s="18" t="s">
        <v>964</v>
      </c>
      <c r="C42" s="14" t="s">
        <v>156</v>
      </c>
      <c r="D42" s="18" t="s">
        <v>240</v>
      </c>
      <c r="E42" s="14" t="s">
        <v>86</v>
      </c>
      <c r="F42" s="14" t="s">
        <v>241</v>
      </c>
      <c r="G42" s="14" t="s">
        <v>5</v>
      </c>
      <c r="H42" s="14" t="s">
        <v>218</v>
      </c>
      <c r="I42" s="43"/>
      <c r="J42" s="44"/>
      <c r="K42" s="44"/>
      <c r="L42" s="44"/>
      <c r="M42" s="44"/>
      <c r="N42" s="44"/>
      <c r="O42" s="44"/>
    </row>
    <row r="43" spans="1:15" x14ac:dyDescent="0.25">
      <c r="A43" s="7" t="s">
        <v>732</v>
      </c>
      <c r="B43" s="9" t="s">
        <v>965</v>
      </c>
      <c r="C43" s="13" t="s">
        <v>153</v>
      </c>
      <c r="D43" s="9" t="s">
        <v>240</v>
      </c>
      <c r="E43" s="7" t="s">
        <v>86</v>
      </c>
      <c r="F43" s="7" t="s">
        <v>241</v>
      </c>
      <c r="G43" s="7" t="s">
        <v>5</v>
      </c>
      <c r="H43" s="7" t="s">
        <v>218</v>
      </c>
      <c r="I43" s="41"/>
      <c r="J43" s="1"/>
      <c r="K43" s="1"/>
      <c r="L43" s="1"/>
      <c r="M43" s="1"/>
      <c r="N43" s="1"/>
      <c r="O43" s="1"/>
    </row>
    <row r="44" spans="1:15" x14ac:dyDescent="0.25">
      <c r="A44" s="14" t="s">
        <v>732</v>
      </c>
      <c r="B44" s="18" t="s">
        <v>966</v>
      </c>
      <c r="C44" s="14" t="s">
        <v>159</v>
      </c>
      <c r="D44" s="18" t="s">
        <v>240</v>
      </c>
      <c r="E44" s="14" t="s">
        <v>86</v>
      </c>
      <c r="F44" s="14" t="s">
        <v>241</v>
      </c>
      <c r="G44" s="14" t="s">
        <v>5</v>
      </c>
      <c r="H44" s="14" t="s">
        <v>210</v>
      </c>
      <c r="I44" s="43"/>
      <c r="J44" s="44"/>
      <c r="K44" s="44"/>
      <c r="L44" s="44"/>
      <c r="M44" s="44"/>
      <c r="N44" s="44"/>
      <c r="O44" s="44"/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14"/>
      <c r="B46" s="18"/>
      <c r="C46" s="14"/>
      <c r="D46" s="18"/>
      <c r="E46" s="14"/>
      <c r="F46" s="14"/>
      <c r="G46" s="14"/>
      <c r="H46" s="14"/>
      <c r="I46" s="43"/>
      <c r="J46" s="44"/>
      <c r="K46" s="44"/>
      <c r="L46" s="44"/>
      <c r="M46" s="44"/>
      <c r="N46" s="44"/>
      <c r="O46" s="44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14"/>
      <c r="B48" s="18"/>
      <c r="C48" s="14"/>
      <c r="D48" s="18"/>
      <c r="E48" s="14"/>
      <c r="F48" s="14"/>
      <c r="G48" s="14"/>
      <c r="H48" s="14"/>
      <c r="I48" s="43"/>
      <c r="J48" s="44"/>
      <c r="K48" s="44"/>
      <c r="L48" s="44"/>
      <c r="M48" s="44"/>
      <c r="N48" s="44"/>
      <c r="O48" s="44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14"/>
      <c r="B50" s="18"/>
      <c r="C50" s="14"/>
      <c r="D50" s="18"/>
      <c r="E50" s="14"/>
      <c r="F50" s="14"/>
      <c r="G50" s="14"/>
      <c r="H50" s="14"/>
      <c r="I50" s="43"/>
      <c r="J50" s="44"/>
      <c r="K50" s="44"/>
      <c r="L50" s="44"/>
      <c r="M50" s="44"/>
      <c r="N50" s="44"/>
      <c r="O50" s="44"/>
    </row>
    <row r="51" spans="1:15" x14ac:dyDescent="0.25">
      <c r="A51" s="7"/>
      <c r="B51" s="9"/>
      <c r="C51" s="13"/>
      <c r="D51" s="9"/>
      <c r="E51" s="7"/>
      <c r="F51" s="7"/>
      <c r="G51" s="7"/>
      <c r="H51" s="7"/>
      <c r="I51" s="41"/>
      <c r="J51" s="1"/>
      <c r="K51" s="1"/>
      <c r="L51" s="1"/>
      <c r="M51" s="1"/>
      <c r="N51" s="1"/>
      <c r="O51" s="1"/>
    </row>
    <row r="52" spans="1:15" ht="30.6" customHeight="1" x14ac:dyDescent="0.25">
      <c r="A52" s="166" t="s">
        <v>251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5" ht="15" customHeight="1" x14ac:dyDescent="0.25">
      <c r="A53" s="167" t="s">
        <v>252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9"/>
    </row>
    <row r="54" spans="1:15" ht="15" customHeight="1" x14ac:dyDescent="0.25">
      <c r="A54" s="170" t="s">
        <v>253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254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0" t="s">
        <v>255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2"/>
    </row>
    <row r="57" spans="1:15" ht="15" customHeight="1" x14ac:dyDescent="0.25">
      <c r="A57" s="173" t="s">
        <v>256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5"/>
    </row>
    <row r="58" spans="1:15" ht="30.6" customHeight="1" x14ac:dyDescent="0.25">
      <c r="A58" s="166" t="s">
        <v>257</v>
      </c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158"/>
      <c r="C64" s="158"/>
      <c r="D64" s="158"/>
      <c r="E64" s="158"/>
      <c r="F64" s="158"/>
      <c r="G64" s="158"/>
      <c r="H64" s="158"/>
      <c r="I64" s="158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25"/>
      <c r="B111" s="47"/>
      <c r="C111" s="47"/>
      <c r="D111" s="47"/>
      <c r="E111" s="47"/>
      <c r="F111" s="47"/>
      <c r="G111" s="47"/>
      <c r="H111" s="47"/>
      <c r="I111" s="47"/>
      <c r="J111" s="30"/>
      <c r="K111" s="30"/>
      <c r="L111" s="30"/>
      <c r="M111" s="30"/>
      <c r="N111" s="30"/>
      <c r="O111" s="31"/>
    </row>
    <row r="112" spans="1:15" ht="15.75" customHeight="1" x14ac:dyDescent="0.25">
      <c r="A112" s="49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1"/>
      <c r="K113" s="21"/>
      <c r="L113" s="21"/>
      <c r="M113" s="21"/>
      <c r="N113" s="21"/>
      <c r="O113" s="21"/>
    </row>
    <row r="114" spans="1:15" x14ac:dyDescent="0.25">
      <c r="H114" s="4"/>
      <c r="I114" s="3"/>
    </row>
    <row r="115" spans="1:15" ht="18.75" x14ac:dyDescent="0.25">
      <c r="A115" s="159" t="s">
        <v>258</v>
      </c>
      <c r="B115" s="160"/>
      <c r="C115" s="161"/>
      <c r="H115" s="4"/>
      <c r="I115" s="3"/>
    </row>
    <row r="116" spans="1:15" x14ac:dyDescent="0.25">
      <c r="A116" s="36" t="s">
        <v>43</v>
      </c>
      <c r="B116" s="37" t="s">
        <v>259</v>
      </c>
      <c r="C116" s="36" t="s">
        <v>260</v>
      </c>
      <c r="H116" s="4"/>
      <c r="I116" s="3"/>
    </row>
    <row r="117" spans="1:15" x14ac:dyDescent="0.25">
      <c r="A117" s="38" t="s">
        <v>48</v>
      </c>
      <c r="B117" s="7" t="s">
        <v>216</v>
      </c>
      <c r="C117" s="38">
        <f>COUNTIFS($E$7:$E$48,A117)</f>
        <v>5</v>
      </c>
      <c r="H117" s="4"/>
      <c r="I117" s="3"/>
    </row>
    <row r="118" spans="1:15" x14ac:dyDescent="0.25">
      <c r="A118" s="38" t="s">
        <v>54</v>
      </c>
      <c r="B118" s="7" t="s">
        <v>219</v>
      </c>
      <c r="C118" s="38">
        <f t="shared" ref="C118:C120" si="0">COUNTIFS($E$7:$E$48,A118)</f>
        <v>3</v>
      </c>
      <c r="H118" s="4"/>
      <c r="I118" s="3"/>
    </row>
    <row r="119" spans="1:15" x14ac:dyDescent="0.25">
      <c r="A119" s="38" t="s">
        <v>86</v>
      </c>
      <c r="B119" s="7" t="s">
        <v>241</v>
      </c>
      <c r="C119" s="38">
        <f t="shared" si="0"/>
        <v>19</v>
      </c>
      <c r="H119" s="4"/>
      <c r="I119" s="3"/>
    </row>
    <row r="120" spans="1:15" x14ac:dyDescent="0.25">
      <c r="A120" s="38" t="s">
        <v>51</v>
      </c>
      <c r="B120" s="7" t="s">
        <v>209</v>
      </c>
      <c r="C120" s="38">
        <f t="shared" si="0"/>
        <v>11</v>
      </c>
      <c r="H120" s="4"/>
      <c r="I120" s="3"/>
    </row>
    <row r="121" spans="1:15" x14ac:dyDescent="0.25">
      <c r="H121" s="4"/>
      <c r="I121" s="3"/>
    </row>
    <row r="122" spans="1:15" ht="18.75" x14ac:dyDescent="0.25">
      <c r="A122" s="159" t="s">
        <v>261</v>
      </c>
      <c r="B122" s="160"/>
      <c r="C122" s="161"/>
      <c r="H122" s="4"/>
      <c r="I122" s="3"/>
    </row>
    <row r="123" spans="1:15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15" x14ac:dyDescent="0.25">
      <c r="A124" s="39" t="s">
        <v>48</v>
      </c>
      <c r="B124" s="1" t="s">
        <v>216</v>
      </c>
      <c r="C124" s="38">
        <f>COUNTIFS($E$7:$E$48,A124,$H$7:$H$48,"Trocar")</f>
        <v>2</v>
      </c>
      <c r="H124" s="4"/>
      <c r="I124" s="3"/>
    </row>
    <row r="125" spans="1:15" x14ac:dyDescent="0.25">
      <c r="A125" s="39" t="s">
        <v>54</v>
      </c>
      <c r="B125" s="1" t="s">
        <v>219</v>
      </c>
      <c r="C125" s="38">
        <f t="shared" ref="C125:C127" si="1">COUNTIFS($E$7:$E$48,A125,$H$7:$H$48,"Trocar")</f>
        <v>1</v>
      </c>
      <c r="H125" s="4"/>
      <c r="I125" s="3"/>
    </row>
    <row r="126" spans="1:15" x14ac:dyDescent="0.25">
      <c r="A126" s="39" t="s">
        <v>86</v>
      </c>
      <c r="B126" s="1" t="s">
        <v>241</v>
      </c>
      <c r="C126" s="38">
        <f t="shared" si="1"/>
        <v>6</v>
      </c>
      <c r="H126" s="4"/>
      <c r="I126" s="3"/>
    </row>
    <row r="127" spans="1:15" x14ac:dyDescent="0.25">
      <c r="A127" s="39" t="s">
        <v>51</v>
      </c>
      <c r="B127" s="1" t="s">
        <v>209</v>
      </c>
      <c r="C127" s="38">
        <f t="shared" si="1"/>
        <v>10</v>
      </c>
      <c r="H127" s="4"/>
      <c r="I127" s="3"/>
    </row>
    <row r="128" spans="1:15" x14ac:dyDescent="0.25">
      <c r="H128" s="4"/>
      <c r="I128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1:I61"/>
    <mergeCell ref="A1:O1"/>
    <mergeCell ref="K5:N5"/>
    <mergeCell ref="A52:O52"/>
    <mergeCell ref="A53:O53"/>
    <mergeCell ref="A54:O54"/>
    <mergeCell ref="A55:O55"/>
    <mergeCell ref="A56:O56"/>
    <mergeCell ref="A57:O57"/>
    <mergeCell ref="A58:O58"/>
    <mergeCell ref="B59:I59"/>
    <mergeCell ref="B60:I60"/>
    <mergeCell ref="B62:I62"/>
    <mergeCell ref="B63:I63"/>
    <mergeCell ref="B64:I64"/>
    <mergeCell ref="A115:C115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7" max="14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7B7D-CA6F-4BC3-B0CA-B04209070B3F}">
  <sheetPr>
    <tabColor rgb="FFFFC000"/>
    <pageSetUpPr fitToPage="1"/>
  </sheetPr>
  <dimension ref="A1:O128"/>
  <sheetViews>
    <sheetView showGridLines="0" zoomScale="70" zoomScaleNormal="70" zoomScaleSheetLayoutView="70" workbookViewId="0">
      <selection activeCell="C11" sqref="C11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1061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/>
      <c r="B7" s="9"/>
      <c r="C7" s="13"/>
      <c r="D7" s="9"/>
      <c r="E7" s="7"/>
      <c r="F7" s="7"/>
      <c r="G7" s="7"/>
      <c r="H7" s="7"/>
      <c r="I7" s="41"/>
      <c r="J7" s="1"/>
      <c r="K7" s="1"/>
      <c r="L7" s="1"/>
      <c r="M7" s="1"/>
      <c r="N7" s="1"/>
      <c r="O7" s="1"/>
    </row>
    <row r="8" spans="1:15" x14ac:dyDescent="0.25">
      <c r="A8" s="14"/>
      <c r="B8" s="18"/>
      <c r="C8" s="14"/>
      <c r="D8" s="18"/>
      <c r="E8" s="14"/>
      <c r="F8" s="14"/>
      <c r="G8" s="14"/>
      <c r="H8" s="14"/>
      <c r="I8" s="43"/>
      <c r="J8" s="44"/>
      <c r="K8" s="44"/>
      <c r="L8" s="44"/>
      <c r="M8" s="44"/>
      <c r="N8" s="44"/>
      <c r="O8" s="44"/>
    </row>
    <row r="9" spans="1:15" x14ac:dyDescent="0.25">
      <c r="A9" s="7"/>
      <c r="B9" s="9"/>
      <c r="C9" s="13"/>
      <c r="D9" s="9"/>
      <c r="E9" s="7"/>
      <c r="F9" s="7"/>
      <c r="G9" s="7"/>
      <c r="H9" s="7"/>
      <c r="I9" s="41"/>
      <c r="J9" s="1"/>
      <c r="K9" s="1"/>
      <c r="L9" s="1"/>
      <c r="M9" s="1"/>
      <c r="N9" s="1"/>
      <c r="O9" s="1"/>
    </row>
    <row r="10" spans="1:15" x14ac:dyDescent="0.25">
      <c r="A10" s="14"/>
      <c r="B10" s="18"/>
      <c r="C10" s="14"/>
      <c r="D10" s="18"/>
      <c r="E10" s="14"/>
      <c r="F10" s="14"/>
      <c r="G10" s="14"/>
      <c r="H10" s="14"/>
      <c r="I10" s="43"/>
      <c r="J10" s="44"/>
      <c r="K10" s="44"/>
      <c r="L10" s="44"/>
      <c r="M10" s="44"/>
      <c r="N10" s="44"/>
      <c r="O10" s="44"/>
    </row>
    <row r="11" spans="1:15" x14ac:dyDescent="0.25">
      <c r="A11" s="7"/>
      <c r="B11" s="9"/>
      <c r="C11" s="13"/>
      <c r="D11" s="9"/>
      <c r="E11" s="7"/>
      <c r="F11" s="7"/>
      <c r="G11" s="7"/>
      <c r="H11" s="7"/>
      <c r="I11" s="41"/>
      <c r="J11" s="1"/>
      <c r="K11" s="1"/>
      <c r="L11" s="1"/>
      <c r="M11" s="1"/>
      <c r="N11" s="1"/>
      <c r="O11" s="1"/>
    </row>
    <row r="12" spans="1:15" x14ac:dyDescent="0.25">
      <c r="A12" s="14"/>
      <c r="B12" s="18"/>
      <c r="C12" s="14"/>
      <c r="D12" s="18"/>
      <c r="E12" s="14"/>
      <c r="F12" s="14"/>
      <c r="G12" s="14"/>
      <c r="H12" s="14"/>
      <c r="I12" s="43"/>
      <c r="J12" s="44"/>
      <c r="K12" s="44"/>
      <c r="L12" s="44"/>
      <c r="M12" s="44"/>
      <c r="N12" s="44"/>
      <c r="O12" s="44"/>
    </row>
    <row r="13" spans="1:15" x14ac:dyDescent="0.25">
      <c r="A13" s="7"/>
      <c r="B13" s="9"/>
      <c r="C13" s="13"/>
      <c r="D13" s="9"/>
      <c r="E13" s="7"/>
      <c r="F13" s="7"/>
      <c r="G13" s="7"/>
      <c r="H13" s="7"/>
      <c r="I13" s="41"/>
      <c r="J13" s="1"/>
      <c r="K13" s="1"/>
      <c r="L13" s="1"/>
      <c r="M13" s="1"/>
      <c r="N13" s="1"/>
      <c r="O13" s="1"/>
    </row>
    <row r="14" spans="1:15" x14ac:dyDescent="0.25">
      <c r="A14" s="14"/>
      <c r="B14" s="18"/>
      <c r="C14" s="14"/>
      <c r="D14" s="18"/>
      <c r="E14" s="14"/>
      <c r="F14" s="14"/>
      <c r="G14" s="14"/>
      <c r="H14" s="14"/>
      <c r="I14" s="43"/>
      <c r="J14" s="44"/>
      <c r="K14" s="44"/>
      <c r="L14" s="44"/>
      <c r="M14" s="44"/>
      <c r="N14" s="44"/>
      <c r="O14" s="44"/>
    </row>
    <row r="15" spans="1:15" x14ac:dyDescent="0.25">
      <c r="A15" s="7"/>
      <c r="B15" s="9"/>
      <c r="C15" s="13"/>
      <c r="D15" s="9"/>
      <c r="E15" s="7"/>
      <c r="F15" s="7"/>
      <c r="G15" s="7"/>
      <c r="H15" s="7"/>
      <c r="I15" s="41"/>
      <c r="J15" s="1"/>
      <c r="K15" s="1"/>
      <c r="L15" s="1"/>
      <c r="M15" s="1"/>
      <c r="N15" s="1"/>
      <c r="O15" s="1"/>
    </row>
    <row r="16" spans="1:15" x14ac:dyDescent="0.25">
      <c r="A16" s="14"/>
      <c r="B16" s="18"/>
      <c r="C16" s="14"/>
      <c r="D16" s="18"/>
      <c r="E16" s="14"/>
      <c r="F16" s="14"/>
      <c r="G16" s="14"/>
      <c r="H16" s="14"/>
      <c r="I16" s="43"/>
      <c r="J16" s="44"/>
      <c r="K16" s="44"/>
      <c r="L16" s="44"/>
      <c r="M16" s="44"/>
      <c r="N16" s="44"/>
      <c r="O16" s="44"/>
    </row>
    <row r="17" spans="1:15" x14ac:dyDescent="0.25">
      <c r="A17" s="7"/>
      <c r="B17" s="9"/>
      <c r="C17" s="13"/>
      <c r="D17" s="9"/>
      <c r="E17" s="7"/>
      <c r="F17" s="7"/>
      <c r="G17" s="7"/>
      <c r="H17" s="7"/>
      <c r="I17" s="41"/>
      <c r="J17" s="1"/>
      <c r="K17" s="1"/>
      <c r="L17" s="1"/>
      <c r="M17" s="1"/>
      <c r="N17" s="1"/>
      <c r="O17" s="1"/>
    </row>
    <row r="18" spans="1:15" x14ac:dyDescent="0.25">
      <c r="A18" s="14"/>
      <c r="B18" s="18"/>
      <c r="C18" s="14"/>
      <c r="D18" s="18"/>
      <c r="E18" s="14"/>
      <c r="F18" s="14"/>
      <c r="G18" s="14"/>
      <c r="H18" s="14"/>
      <c r="I18" s="43"/>
      <c r="J18" s="44"/>
      <c r="K18" s="44"/>
      <c r="L18" s="44"/>
      <c r="M18" s="44"/>
      <c r="N18" s="44"/>
      <c r="O18" s="44"/>
    </row>
    <row r="19" spans="1:15" x14ac:dyDescent="0.25">
      <c r="A19" s="7"/>
      <c r="B19" s="9"/>
      <c r="C19" s="13"/>
      <c r="D19" s="9"/>
      <c r="E19" s="7"/>
      <c r="F19" s="7"/>
      <c r="G19" s="7"/>
      <c r="H19" s="7"/>
      <c r="I19" s="41"/>
      <c r="J19" s="1"/>
      <c r="K19" s="1"/>
      <c r="L19" s="1"/>
      <c r="M19" s="1"/>
      <c r="N19" s="1"/>
      <c r="O19" s="1"/>
    </row>
    <row r="20" spans="1:15" x14ac:dyDescent="0.25">
      <c r="A20" s="14"/>
      <c r="B20" s="18"/>
      <c r="C20" s="14"/>
      <c r="D20" s="18"/>
      <c r="E20" s="14"/>
      <c r="F20" s="14"/>
      <c r="G20" s="14"/>
      <c r="H20" s="14"/>
      <c r="I20" s="43"/>
      <c r="J20" s="44"/>
      <c r="K20" s="44"/>
      <c r="L20" s="44"/>
      <c r="M20" s="44"/>
      <c r="N20" s="44"/>
      <c r="O20" s="44"/>
    </row>
    <row r="21" spans="1:15" x14ac:dyDescent="0.25">
      <c r="A21" s="7"/>
      <c r="B21" s="9"/>
      <c r="C21" s="13"/>
      <c r="D21" s="9"/>
      <c r="E21" s="7"/>
      <c r="F21" s="7"/>
      <c r="G21" s="7"/>
      <c r="H21" s="7"/>
      <c r="I21" s="41"/>
      <c r="J21" s="1"/>
      <c r="K21" s="1"/>
      <c r="L21" s="1"/>
      <c r="M21" s="1"/>
      <c r="N21" s="1"/>
      <c r="O21" s="1"/>
    </row>
    <row r="22" spans="1:15" x14ac:dyDescent="0.25">
      <c r="A22" s="14"/>
      <c r="B22" s="18"/>
      <c r="C22" s="14"/>
      <c r="D22" s="18"/>
      <c r="E22" s="14"/>
      <c r="F22" s="14"/>
      <c r="G22" s="14"/>
      <c r="H22" s="14"/>
      <c r="I22" s="43"/>
      <c r="J22" s="44"/>
      <c r="K22" s="44"/>
      <c r="L22" s="44"/>
      <c r="M22" s="44"/>
      <c r="N22" s="44"/>
      <c r="O22" s="44"/>
    </row>
    <row r="23" spans="1:15" x14ac:dyDescent="0.25">
      <c r="A23" s="7"/>
      <c r="B23" s="9"/>
      <c r="C23" s="13"/>
      <c r="D23" s="9"/>
      <c r="E23" s="7"/>
      <c r="F23" s="7"/>
      <c r="G23" s="7"/>
      <c r="H23" s="7"/>
      <c r="I23" s="41"/>
      <c r="J23" s="1"/>
      <c r="K23" s="1"/>
      <c r="L23" s="1"/>
      <c r="M23" s="1"/>
      <c r="N23" s="1"/>
      <c r="O23" s="1"/>
    </row>
    <row r="24" spans="1:15" x14ac:dyDescent="0.25">
      <c r="A24" s="14"/>
      <c r="B24" s="18"/>
      <c r="C24" s="14"/>
      <c r="D24" s="18"/>
      <c r="E24" s="14"/>
      <c r="F24" s="14"/>
      <c r="G24" s="14"/>
      <c r="H24" s="14"/>
      <c r="I24" s="43"/>
      <c r="J24" s="44"/>
      <c r="K24" s="44"/>
      <c r="L24" s="44"/>
      <c r="M24" s="44"/>
      <c r="N24" s="44"/>
      <c r="O24" s="44"/>
    </row>
    <row r="25" spans="1:15" x14ac:dyDescent="0.25">
      <c r="A25" s="7"/>
      <c r="B25" s="9"/>
      <c r="C25" s="13"/>
      <c r="D25" s="9"/>
      <c r="E25" s="7"/>
      <c r="F25" s="7"/>
      <c r="G25" s="7"/>
      <c r="H25" s="7"/>
      <c r="I25" s="41"/>
      <c r="J25" s="1"/>
      <c r="K25" s="1"/>
      <c r="L25" s="1"/>
      <c r="M25" s="1"/>
      <c r="N25" s="1"/>
      <c r="O25" s="1"/>
    </row>
    <row r="26" spans="1:15" x14ac:dyDescent="0.25">
      <c r="A26" s="14"/>
      <c r="B26" s="18"/>
      <c r="C26" s="14"/>
      <c r="D26" s="18"/>
      <c r="E26" s="14"/>
      <c r="F26" s="14"/>
      <c r="G26" s="14"/>
      <c r="H26" s="14"/>
      <c r="I26" s="43"/>
      <c r="J26" s="44"/>
      <c r="K26" s="44"/>
      <c r="L26" s="44"/>
      <c r="M26" s="44"/>
      <c r="N26" s="44"/>
      <c r="O26" s="44"/>
    </row>
    <row r="27" spans="1:15" x14ac:dyDescent="0.25">
      <c r="A27" s="7"/>
      <c r="B27" s="9"/>
      <c r="C27" s="13"/>
      <c r="D27" s="9"/>
      <c r="E27" s="7"/>
      <c r="F27" s="7"/>
      <c r="G27" s="7"/>
      <c r="H27" s="7"/>
      <c r="I27" s="41"/>
      <c r="J27" s="1"/>
      <c r="K27" s="1"/>
      <c r="L27" s="1"/>
      <c r="M27" s="1"/>
      <c r="N27" s="1"/>
      <c r="O27" s="1"/>
    </row>
    <row r="28" spans="1:15" x14ac:dyDescent="0.25">
      <c r="A28" s="14"/>
      <c r="B28" s="18"/>
      <c r="C28" s="14"/>
      <c r="D28" s="18"/>
      <c r="E28" s="14"/>
      <c r="F28" s="14"/>
      <c r="G28" s="14"/>
      <c r="H28" s="14"/>
      <c r="I28" s="43"/>
      <c r="J28" s="44"/>
      <c r="K28" s="44"/>
      <c r="L28" s="44"/>
      <c r="M28" s="44"/>
      <c r="N28" s="44"/>
      <c r="O28" s="44"/>
    </row>
    <row r="29" spans="1:15" x14ac:dyDescent="0.25">
      <c r="A29" s="7"/>
      <c r="B29" s="9"/>
      <c r="C29" s="13"/>
      <c r="D29" s="9"/>
      <c r="E29" s="7"/>
      <c r="F29" s="7"/>
      <c r="G29" s="7"/>
      <c r="H29" s="7"/>
      <c r="I29" s="41"/>
      <c r="J29" s="1"/>
      <c r="K29" s="1"/>
      <c r="L29" s="1"/>
      <c r="M29" s="1"/>
      <c r="N29" s="1"/>
      <c r="O29" s="1"/>
    </row>
    <row r="30" spans="1:15" x14ac:dyDescent="0.25">
      <c r="A30" s="14"/>
      <c r="B30" s="18"/>
      <c r="C30" s="14"/>
      <c r="D30" s="18"/>
      <c r="E30" s="14"/>
      <c r="F30" s="14"/>
      <c r="G30" s="14"/>
      <c r="H30" s="14"/>
      <c r="I30" s="43"/>
      <c r="J30" s="44"/>
      <c r="K30" s="44"/>
      <c r="L30" s="44"/>
      <c r="M30" s="44"/>
      <c r="N30" s="44"/>
      <c r="O30" s="44"/>
    </row>
    <row r="31" spans="1:15" x14ac:dyDescent="0.25">
      <c r="A31" s="7"/>
      <c r="B31" s="9"/>
      <c r="C31" s="13"/>
      <c r="D31" s="9"/>
      <c r="E31" s="7"/>
      <c r="F31" s="7"/>
      <c r="G31" s="7"/>
      <c r="H31" s="7"/>
      <c r="I31" s="41"/>
      <c r="J31" s="1"/>
      <c r="K31" s="1"/>
      <c r="L31" s="1"/>
      <c r="M31" s="1"/>
      <c r="N31" s="1"/>
      <c r="O31" s="1"/>
    </row>
    <row r="32" spans="1:15" x14ac:dyDescent="0.25">
      <c r="A32" s="14"/>
      <c r="B32" s="18"/>
      <c r="C32" s="14"/>
      <c r="D32" s="18"/>
      <c r="E32" s="14"/>
      <c r="F32" s="14"/>
      <c r="G32" s="14"/>
      <c r="H32" s="14"/>
      <c r="I32" s="43"/>
      <c r="J32" s="44"/>
      <c r="K32" s="44"/>
      <c r="L32" s="44"/>
      <c r="M32" s="44"/>
      <c r="N32" s="44"/>
      <c r="O32" s="44"/>
    </row>
    <row r="33" spans="1:15" ht="18" customHeight="1" x14ac:dyDescent="0.25">
      <c r="A33" s="7"/>
      <c r="B33" s="9"/>
      <c r="C33" s="13"/>
      <c r="D33" s="9"/>
      <c r="E33" s="7"/>
      <c r="F33" s="7"/>
      <c r="G33" s="7"/>
      <c r="H33" s="7"/>
      <c r="I33" s="41"/>
      <c r="J33" s="1"/>
      <c r="K33" s="1"/>
      <c r="L33" s="1"/>
      <c r="M33" s="1"/>
      <c r="N33" s="1"/>
      <c r="O33" s="1"/>
    </row>
    <row r="34" spans="1:15" x14ac:dyDescent="0.25">
      <c r="A34" s="14"/>
      <c r="B34" s="18"/>
      <c r="C34" s="14"/>
      <c r="D34" s="18"/>
      <c r="E34" s="14"/>
      <c r="F34" s="14"/>
      <c r="G34" s="14"/>
      <c r="H34" s="14"/>
      <c r="I34" s="43"/>
      <c r="J34" s="44"/>
      <c r="K34" s="44"/>
      <c r="L34" s="44"/>
      <c r="M34" s="44"/>
      <c r="N34" s="44"/>
      <c r="O34" s="44"/>
    </row>
    <row r="35" spans="1:15" x14ac:dyDescent="0.25">
      <c r="A35" s="7"/>
      <c r="B35" s="9"/>
      <c r="C35" s="13"/>
      <c r="D35" s="9"/>
      <c r="E35" s="7"/>
      <c r="F35" s="7"/>
      <c r="G35" s="7"/>
      <c r="H35" s="7"/>
      <c r="I35" s="41"/>
      <c r="J35" s="1"/>
      <c r="K35" s="1"/>
      <c r="L35" s="1"/>
      <c r="M35" s="1"/>
      <c r="N35" s="1"/>
      <c r="O35" s="1"/>
    </row>
    <row r="36" spans="1:15" x14ac:dyDescent="0.25">
      <c r="A36" s="14"/>
      <c r="B36" s="18"/>
      <c r="C36" s="14"/>
      <c r="D36" s="18"/>
      <c r="E36" s="14"/>
      <c r="F36" s="14"/>
      <c r="G36" s="14"/>
      <c r="H36" s="14"/>
      <c r="I36" s="43"/>
      <c r="J36" s="44"/>
      <c r="K36" s="44"/>
      <c r="L36" s="44"/>
      <c r="M36" s="44"/>
      <c r="N36" s="44"/>
      <c r="O36" s="44"/>
    </row>
    <row r="37" spans="1:15" x14ac:dyDescent="0.25">
      <c r="A37" s="7"/>
      <c r="B37" s="9"/>
      <c r="C37" s="13"/>
      <c r="D37" s="9"/>
      <c r="E37" s="7"/>
      <c r="F37" s="7"/>
      <c r="G37" s="7"/>
      <c r="H37" s="7"/>
      <c r="I37" s="41"/>
      <c r="J37" s="1"/>
      <c r="K37" s="1"/>
      <c r="L37" s="1"/>
      <c r="M37" s="1"/>
      <c r="N37" s="1"/>
      <c r="O37" s="1"/>
    </row>
    <row r="38" spans="1:15" x14ac:dyDescent="0.25">
      <c r="A38" s="14"/>
      <c r="B38" s="18"/>
      <c r="C38" s="14"/>
      <c r="D38" s="18"/>
      <c r="E38" s="14"/>
      <c r="F38" s="14"/>
      <c r="G38" s="14"/>
      <c r="H38" s="14"/>
      <c r="I38" s="43"/>
      <c r="J38" s="44"/>
      <c r="K38" s="44"/>
      <c r="L38" s="44"/>
      <c r="M38" s="44"/>
      <c r="N38" s="44"/>
      <c r="O38" s="44"/>
    </row>
    <row r="39" spans="1:15" x14ac:dyDescent="0.25">
      <c r="A39" s="7"/>
      <c r="B39" s="9"/>
      <c r="C39" s="13"/>
      <c r="D39" s="9"/>
      <c r="E39" s="7"/>
      <c r="F39" s="7"/>
      <c r="G39" s="7"/>
      <c r="H39" s="7"/>
      <c r="I39" s="41"/>
      <c r="J39" s="1"/>
      <c r="K39" s="1"/>
      <c r="L39" s="1"/>
      <c r="M39" s="1"/>
      <c r="N39" s="1"/>
      <c r="O39" s="1"/>
    </row>
    <row r="40" spans="1:15" x14ac:dyDescent="0.25">
      <c r="A40" s="14"/>
      <c r="B40" s="18"/>
      <c r="C40" s="14"/>
      <c r="D40" s="18"/>
      <c r="E40" s="14"/>
      <c r="F40" s="14"/>
      <c r="G40" s="14"/>
      <c r="H40" s="14"/>
      <c r="I40" s="43"/>
      <c r="J40" s="44"/>
      <c r="K40" s="44"/>
      <c r="L40" s="44"/>
      <c r="M40" s="44"/>
      <c r="N40" s="44"/>
      <c r="O40" s="44"/>
    </row>
    <row r="41" spans="1:15" x14ac:dyDescent="0.25">
      <c r="A41" s="7"/>
      <c r="B41" s="9"/>
      <c r="C41" s="13"/>
      <c r="D41" s="9"/>
      <c r="E41" s="7"/>
      <c r="F41" s="7"/>
      <c r="G41" s="7"/>
      <c r="H41" s="7"/>
      <c r="I41" s="41"/>
      <c r="J41" s="1"/>
      <c r="K41" s="1"/>
      <c r="L41" s="1"/>
      <c r="M41" s="1"/>
      <c r="N41" s="1"/>
      <c r="O41" s="1"/>
    </row>
    <row r="42" spans="1:15" x14ac:dyDescent="0.25">
      <c r="A42" s="14"/>
      <c r="B42" s="18"/>
      <c r="C42" s="14"/>
      <c r="D42" s="18"/>
      <c r="E42" s="14"/>
      <c r="F42" s="14"/>
      <c r="G42" s="14"/>
      <c r="H42" s="14"/>
      <c r="I42" s="43"/>
      <c r="J42" s="44"/>
      <c r="K42" s="44"/>
      <c r="L42" s="44"/>
      <c r="M42" s="44"/>
      <c r="N42" s="44"/>
      <c r="O42" s="44"/>
    </row>
    <row r="43" spans="1:15" x14ac:dyDescent="0.25">
      <c r="A43" s="7"/>
      <c r="B43" s="9"/>
      <c r="C43" s="13"/>
      <c r="D43" s="9"/>
      <c r="E43" s="7"/>
      <c r="F43" s="7"/>
      <c r="G43" s="7"/>
      <c r="H43" s="7"/>
      <c r="I43" s="41"/>
      <c r="J43" s="1"/>
      <c r="K43" s="1"/>
      <c r="L43" s="1"/>
      <c r="M43" s="1"/>
      <c r="N43" s="1"/>
      <c r="O43" s="1"/>
    </row>
    <row r="44" spans="1:15" x14ac:dyDescent="0.25">
      <c r="A44" s="14"/>
      <c r="B44" s="18"/>
      <c r="C44" s="14"/>
      <c r="D44" s="18"/>
      <c r="E44" s="14"/>
      <c r="F44" s="14"/>
      <c r="G44" s="14"/>
      <c r="H44" s="14"/>
      <c r="I44" s="43"/>
      <c r="J44" s="44"/>
      <c r="K44" s="44"/>
      <c r="L44" s="44"/>
      <c r="M44" s="44"/>
      <c r="N44" s="44"/>
      <c r="O44" s="44"/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14"/>
      <c r="B46" s="18"/>
      <c r="C46" s="14"/>
      <c r="D46" s="18"/>
      <c r="E46" s="14"/>
      <c r="F46" s="14"/>
      <c r="G46" s="14"/>
      <c r="H46" s="14"/>
      <c r="I46" s="43"/>
      <c r="J46" s="44"/>
      <c r="K46" s="44"/>
      <c r="L46" s="44"/>
      <c r="M46" s="44"/>
      <c r="N46" s="44"/>
      <c r="O46" s="44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14"/>
      <c r="B48" s="18"/>
      <c r="C48" s="14"/>
      <c r="D48" s="18"/>
      <c r="E48" s="14"/>
      <c r="F48" s="14"/>
      <c r="G48" s="14"/>
      <c r="H48" s="14"/>
      <c r="I48" s="43"/>
      <c r="J48" s="44"/>
      <c r="K48" s="44"/>
      <c r="L48" s="44"/>
      <c r="M48" s="44"/>
      <c r="N48" s="44"/>
      <c r="O48" s="44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14"/>
      <c r="B50" s="18"/>
      <c r="C50" s="14"/>
      <c r="D50" s="18"/>
      <c r="E50" s="14"/>
      <c r="F50" s="14"/>
      <c r="G50" s="14"/>
      <c r="H50" s="14"/>
      <c r="I50" s="43"/>
      <c r="J50" s="44"/>
      <c r="K50" s="44"/>
      <c r="L50" s="44"/>
      <c r="M50" s="44"/>
      <c r="N50" s="44"/>
      <c r="O50" s="44"/>
    </row>
    <row r="51" spans="1:15" x14ac:dyDescent="0.25">
      <c r="A51" s="7"/>
      <c r="B51" s="9"/>
      <c r="C51" s="13"/>
      <c r="D51" s="9"/>
      <c r="E51" s="7"/>
      <c r="F51" s="7"/>
      <c r="G51" s="7"/>
      <c r="H51" s="7"/>
      <c r="I51" s="41"/>
      <c r="J51" s="1"/>
      <c r="K51" s="1"/>
      <c r="L51" s="1"/>
      <c r="M51" s="1"/>
      <c r="N51" s="1"/>
      <c r="O51" s="1"/>
    </row>
    <row r="52" spans="1:15" ht="30.6" customHeight="1" x14ac:dyDescent="0.25">
      <c r="A52" s="166" t="s">
        <v>251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5" ht="15" customHeight="1" x14ac:dyDescent="0.25">
      <c r="A53" s="167" t="s">
        <v>252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9"/>
    </row>
    <row r="54" spans="1:15" ht="15" customHeight="1" x14ac:dyDescent="0.25">
      <c r="A54" s="170" t="s">
        <v>253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254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0" t="s">
        <v>255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2"/>
    </row>
    <row r="57" spans="1:15" ht="15" customHeight="1" x14ac:dyDescent="0.25">
      <c r="A57" s="173" t="s">
        <v>256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5"/>
    </row>
    <row r="58" spans="1:15" ht="30.6" customHeight="1" x14ac:dyDescent="0.25">
      <c r="A58" s="166" t="s">
        <v>257</v>
      </c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158"/>
      <c r="C64" s="158"/>
      <c r="D64" s="158"/>
      <c r="E64" s="158"/>
      <c r="F64" s="158"/>
      <c r="G64" s="158"/>
      <c r="H64" s="158"/>
      <c r="I64" s="158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25"/>
      <c r="B111" s="47"/>
      <c r="C111" s="47"/>
      <c r="D111" s="47"/>
      <c r="E111" s="47"/>
      <c r="F111" s="47"/>
      <c r="G111" s="47"/>
      <c r="H111" s="47"/>
      <c r="I111" s="47"/>
      <c r="J111" s="30"/>
      <c r="K111" s="30"/>
      <c r="L111" s="30"/>
      <c r="M111" s="30"/>
      <c r="N111" s="30"/>
      <c r="O111" s="31"/>
    </row>
    <row r="112" spans="1:15" ht="15.75" customHeight="1" x14ac:dyDescent="0.25">
      <c r="A112" s="49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1"/>
      <c r="K113" s="21"/>
      <c r="L113" s="21"/>
      <c r="M113" s="21"/>
      <c r="N113" s="21"/>
      <c r="O113" s="21"/>
    </row>
    <row r="114" spans="1:15" x14ac:dyDescent="0.25">
      <c r="H114" s="4"/>
      <c r="I114" s="3"/>
    </row>
    <row r="115" spans="1:15" ht="18.75" x14ac:dyDescent="0.25">
      <c r="A115" s="159" t="s">
        <v>258</v>
      </c>
      <c r="B115" s="160"/>
      <c r="C115" s="161"/>
      <c r="H115" s="4"/>
      <c r="I115" s="3"/>
    </row>
    <row r="116" spans="1:15" x14ac:dyDescent="0.25">
      <c r="A116" s="36" t="s">
        <v>43</v>
      </c>
      <c r="B116" s="37" t="s">
        <v>259</v>
      </c>
      <c r="C116" s="36" t="s">
        <v>260</v>
      </c>
      <c r="H116" s="4"/>
      <c r="I116" s="3"/>
    </row>
    <row r="117" spans="1:15" x14ac:dyDescent="0.25">
      <c r="A117" s="38" t="s">
        <v>48</v>
      </c>
      <c r="B117" s="7" t="s">
        <v>216</v>
      </c>
      <c r="C117" s="38">
        <f>COUNTIFS($E$7:$E$48,A117)</f>
        <v>0</v>
      </c>
      <c r="H117" s="4"/>
      <c r="I117" s="3"/>
    </row>
    <row r="118" spans="1:15" x14ac:dyDescent="0.25">
      <c r="A118" s="38" t="s">
        <v>54</v>
      </c>
      <c r="B118" s="7" t="s">
        <v>219</v>
      </c>
      <c r="C118" s="38">
        <f t="shared" ref="C118:C120" si="0">COUNTIFS($E$7:$E$48,A118)</f>
        <v>0</v>
      </c>
      <c r="H118" s="4"/>
      <c r="I118" s="3"/>
    </row>
    <row r="119" spans="1:15" x14ac:dyDescent="0.25">
      <c r="A119" s="38" t="s">
        <v>86</v>
      </c>
      <c r="B119" s="7" t="s">
        <v>241</v>
      </c>
      <c r="C119" s="38">
        <f t="shared" si="0"/>
        <v>0</v>
      </c>
      <c r="H119" s="4"/>
      <c r="I119" s="3"/>
    </row>
    <row r="120" spans="1:15" x14ac:dyDescent="0.25">
      <c r="A120" s="38" t="s">
        <v>51</v>
      </c>
      <c r="B120" s="7" t="s">
        <v>209</v>
      </c>
      <c r="C120" s="38">
        <f t="shared" si="0"/>
        <v>0</v>
      </c>
      <c r="H120" s="4"/>
      <c r="I120" s="3"/>
    </row>
    <row r="121" spans="1:15" x14ac:dyDescent="0.25">
      <c r="H121" s="4"/>
      <c r="I121" s="3"/>
    </row>
    <row r="122" spans="1:15" ht="18.75" x14ac:dyDescent="0.25">
      <c r="A122" s="159" t="s">
        <v>261</v>
      </c>
      <c r="B122" s="160"/>
      <c r="C122" s="161"/>
      <c r="H122" s="4"/>
      <c r="I122" s="3"/>
    </row>
    <row r="123" spans="1:15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15" x14ac:dyDescent="0.25">
      <c r="A124" s="39" t="s">
        <v>48</v>
      </c>
      <c r="B124" s="1" t="s">
        <v>216</v>
      </c>
      <c r="C124" s="38">
        <f>COUNTIFS($E$7:$E$48,A124,$H$7:$H$48,"Trocar")</f>
        <v>0</v>
      </c>
      <c r="H124" s="4"/>
      <c r="I124" s="3"/>
    </row>
    <row r="125" spans="1:15" x14ac:dyDescent="0.25">
      <c r="A125" s="39" t="s">
        <v>54</v>
      </c>
      <c r="B125" s="1" t="s">
        <v>219</v>
      </c>
      <c r="C125" s="38">
        <f t="shared" ref="C125:C127" si="1">COUNTIFS($E$7:$E$48,A125,$H$7:$H$48,"Trocar")</f>
        <v>0</v>
      </c>
      <c r="H125" s="4"/>
      <c r="I125" s="3"/>
    </row>
    <row r="126" spans="1:15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15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15" x14ac:dyDescent="0.25">
      <c r="H128" s="4"/>
      <c r="I128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1:I61"/>
    <mergeCell ref="A1:O1"/>
    <mergeCell ref="K5:N5"/>
    <mergeCell ref="A52:O52"/>
    <mergeCell ref="A53:O53"/>
    <mergeCell ref="A54:O54"/>
    <mergeCell ref="A55:O55"/>
    <mergeCell ref="A56:O56"/>
    <mergeCell ref="A57:O57"/>
    <mergeCell ref="A58:O58"/>
    <mergeCell ref="B59:I59"/>
    <mergeCell ref="B60:I60"/>
    <mergeCell ref="B62:I62"/>
    <mergeCell ref="B63:I63"/>
    <mergeCell ref="B64:I64"/>
    <mergeCell ref="A115:C115"/>
    <mergeCell ref="A122:C122"/>
  </mergeCells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7" max="14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8D95-ED8D-414F-9B6C-62BCC8B42FC7}">
  <sheetPr>
    <tabColor rgb="FFFFC000"/>
    <pageSetUpPr fitToPage="1"/>
  </sheetPr>
  <dimension ref="A1:O128"/>
  <sheetViews>
    <sheetView showGridLines="0" zoomScale="70" zoomScaleNormal="70" zoomScaleSheetLayoutView="70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1068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/>
      <c r="B7" s="9"/>
      <c r="C7" s="13"/>
      <c r="D7" s="9"/>
      <c r="E7" s="7"/>
      <c r="F7" s="7"/>
      <c r="G7" s="7"/>
      <c r="H7" s="7"/>
      <c r="I7" s="41"/>
      <c r="J7" s="1"/>
      <c r="K7" s="1"/>
      <c r="L7" s="1"/>
      <c r="M7" s="1"/>
      <c r="N7" s="1"/>
      <c r="O7" s="1"/>
    </row>
    <row r="8" spans="1:15" x14ac:dyDescent="0.25">
      <c r="A8" s="14"/>
      <c r="B8" s="18"/>
      <c r="C8" s="14"/>
      <c r="D8" s="18"/>
      <c r="E8" s="14"/>
      <c r="F8" s="14"/>
      <c r="G8" s="14"/>
      <c r="H8" s="14"/>
      <c r="I8" s="43"/>
      <c r="J8" s="44"/>
      <c r="K8" s="44"/>
      <c r="L8" s="44"/>
      <c r="M8" s="44"/>
      <c r="N8" s="44"/>
      <c r="O8" s="44"/>
    </row>
    <row r="9" spans="1:15" x14ac:dyDescent="0.25">
      <c r="A9" s="7"/>
      <c r="B9" s="9"/>
      <c r="C9" s="13"/>
      <c r="D9" s="9"/>
      <c r="E9" s="7"/>
      <c r="F9" s="7"/>
      <c r="G9" s="7"/>
      <c r="H9" s="7"/>
      <c r="I9" s="41"/>
      <c r="J9" s="1"/>
      <c r="K9" s="1"/>
      <c r="L9" s="1"/>
      <c r="M9" s="1"/>
      <c r="N9" s="1"/>
      <c r="O9" s="1"/>
    </row>
    <row r="10" spans="1:15" x14ac:dyDescent="0.25">
      <c r="A10" s="14"/>
      <c r="B10" s="18"/>
      <c r="C10" s="14"/>
      <c r="D10" s="18"/>
      <c r="E10" s="14"/>
      <c r="F10" s="14"/>
      <c r="G10" s="14"/>
      <c r="H10" s="14"/>
      <c r="I10" s="43"/>
      <c r="J10" s="44"/>
      <c r="K10" s="44"/>
      <c r="L10" s="44"/>
      <c r="M10" s="44"/>
      <c r="N10" s="44"/>
      <c r="O10" s="44"/>
    </row>
    <row r="11" spans="1:15" x14ac:dyDescent="0.25">
      <c r="A11" s="7"/>
      <c r="B11" s="9"/>
      <c r="C11" s="13"/>
      <c r="D11" s="9"/>
      <c r="E11" s="7"/>
      <c r="F11" s="7"/>
      <c r="G11" s="7"/>
      <c r="H11" s="7"/>
      <c r="I11" s="41"/>
      <c r="J11" s="1"/>
      <c r="K11" s="1"/>
      <c r="L11" s="1"/>
      <c r="M11" s="1"/>
      <c r="N11" s="1"/>
      <c r="O11" s="1"/>
    </row>
    <row r="12" spans="1:15" x14ac:dyDescent="0.25">
      <c r="A12" s="14"/>
      <c r="B12" s="18"/>
      <c r="C12" s="14"/>
      <c r="D12" s="18"/>
      <c r="E12" s="14"/>
      <c r="F12" s="14"/>
      <c r="G12" s="14"/>
      <c r="H12" s="14"/>
      <c r="I12" s="43"/>
      <c r="J12" s="44"/>
      <c r="K12" s="44"/>
      <c r="L12" s="44"/>
      <c r="M12" s="44"/>
      <c r="N12" s="44"/>
      <c r="O12" s="44"/>
    </row>
    <row r="13" spans="1:15" x14ac:dyDescent="0.25">
      <c r="A13" s="7"/>
      <c r="B13" s="9"/>
      <c r="C13" s="13"/>
      <c r="D13" s="9"/>
      <c r="E13" s="7"/>
      <c r="F13" s="7"/>
      <c r="G13" s="7"/>
      <c r="H13" s="7"/>
      <c r="I13" s="41"/>
      <c r="J13" s="1"/>
      <c r="K13" s="1"/>
      <c r="L13" s="1"/>
      <c r="M13" s="1"/>
      <c r="N13" s="1"/>
      <c r="O13" s="1"/>
    </row>
    <row r="14" spans="1:15" x14ac:dyDescent="0.25">
      <c r="A14" s="14"/>
      <c r="B14" s="18"/>
      <c r="C14" s="14"/>
      <c r="D14" s="18"/>
      <c r="E14" s="14"/>
      <c r="F14" s="14"/>
      <c r="G14" s="14"/>
      <c r="H14" s="14"/>
      <c r="I14" s="43"/>
      <c r="J14" s="44"/>
      <c r="K14" s="44"/>
      <c r="L14" s="44"/>
      <c r="M14" s="44"/>
      <c r="N14" s="44"/>
      <c r="O14" s="44"/>
    </row>
    <row r="15" spans="1:15" x14ac:dyDescent="0.25">
      <c r="A15" s="7"/>
      <c r="B15" s="9"/>
      <c r="C15" s="13"/>
      <c r="D15" s="9"/>
      <c r="E15" s="7"/>
      <c r="F15" s="7"/>
      <c r="G15" s="7"/>
      <c r="H15" s="7"/>
      <c r="I15" s="41"/>
      <c r="J15" s="1"/>
      <c r="K15" s="1"/>
      <c r="L15" s="1"/>
      <c r="M15" s="1"/>
      <c r="N15" s="1"/>
      <c r="O15" s="1"/>
    </row>
    <row r="16" spans="1:15" x14ac:dyDescent="0.25">
      <c r="A16" s="14"/>
      <c r="B16" s="18"/>
      <c r="C16" s="14"/>
      <c r="D16" s="18"/>
      <c r="E16" s="14"/>
      <c r="F16" s="14"/>
      <c r="G16" s="14"/>
      <c r="H16" s="14"/>
      <c r="I16" s="43"/>
      <c r="J16" s="44"/>
      <c r="K16" s="44"/>
      <c r="L16" s="44"/>
      <c r="M16" s="44"/>
      <c r="N16" s="44"/>
      <c r="O16" s="44"/>
    </row>
    <row r="17" spans="1:15" x14ac:dyDescent="0.25">
      <c r="A17" s="7"/>
      <c r="B17" s="9"/>
      <c r="C17" s="13"/>
      <c r="D17" s="9"/>
      <c r="E17" s="7"/>
      <c r="F17" s="7"/>
      <c r="G17" s="7"/>
      <c r="H17" s="7"/>
      <c r="I17" s="41"/>
      <c r="J17" s="1"/>
      <c r="K17" s="1"/>
      <c r="L17" s="1"/>
      <c r="M17" s="1"/>
      <c r="N17" s="1"/>
      <c r="O17" s="1"/>
    </row>
    <row r="18" spans="1:15" x14ac:dyDescent="0.25">
      <c r="A18" s="14"/>
      <c r="B18" s="18"/>
      <c r="C18" s="14"/>
      <c r="D18" s="18"/>
      <c r="E18" s="14"/>
      <c r="F18" s="14"/>
      <c r="G18" s="14"/>
      <c r="H18" s="14"/>
      <c r="I18" s="43"/>
      <c r="J18" s="44"/>
      <c r="K18" s="44"/>
      <c r="L18" s="44"/>
      <c r="M18" s="44"/>
      <c r="N18" s="44"/>
      <c r="O18" s="44"/>
    </row>
    <row r="19" spans="1:15" x14ac:dyDescent="0.25">
      <c r="A19" s="7"/>
      <c r="B19" s="9"/>
      <c r="C19" s="13"/>
      <c r="D19" s="9"/>
      <c r="E19" s="7"/>
      <c r="F19" s="7"/>
      <c r="G19" s="7"/>
      <c r="H19" s="7"/>
      <c r="I19" s="41"/>
      <c r="J19" s="1"/>
      <c r="K19" s="1"/>
      <c r="L19" s="1"/>
      <c r="M19" s="1"/>
      <c r="N19" s="1"/>
      <c r="O19" s="1"/>
    </row>
    <row r="20" spans="1:15" x14ac:dyDescent="0.25">
      <c r="A20" s="14"/>
      <c r="B20" s="18"/>
      <c r="C20" s="14"/>
      <c r="D20" s="18"/>
      <c r="E20" s="14"/>
      <c r="F20" s="14"/>
      <c r="G20" s="14"/>
      <c r="H20" s="14"/>
      <c r="I20" s="43"/>
      <c r="J20" s="44"/>
      <c r="K20" s="44"/>
      <c r="L20" s="44"/>
      <c r="M20" s="44"/>
      <c r="N20" s="44"/>
      <c r="O20" s="44"/>
    </row>
    <row r="21" spans="1:15" x14ac:dyDescent="0.25">
      <c r="A21" s="7"/>
      <c r="B21" s="9"/>
      <c r="C21" s="13"/>
      <c r="D21" s="9"/>
      <c r="E21" s="7"/>
      <c r="F21" s="7"/>
      <c r="G21" s="7"/>
      <c r="H21" s="7"/>
      <c r="I21" s="41"/>
      <c r="J21" s="1"/>
      <c r="K21" s="1"/>
      <c r="L21" s="1"/>
      <c r="M21" s="1"/>
      <c r="N21" s="1"/>
      <c r="O21" s="1"/>
    </row>
    <row r="22" spans="1:15" x14ac:dyDescent="0.25">
      <c r="A22" s="14"/>
      <c r="B22" s="18"/>
      <c r="C22" s="14"/>
      <c r="D22" s="18"/>
      <c r="E22" s="14"/>
      <c r="F22" s="14"/>
      <c r="G22" s="14"/>
      <c r="H22" s="14"/>
      <c r="I22" s="43"/>
      <c r="J22" s="44"/>
      <c r="K22" s="44"/>
      <c r="L22" s="44"/>
      <c r="M22" s="44"/>
      <c r="N22" s="44"/>
      <c r="O22" s="44"/>
    </row>
    <row r="23" spans="1:15" x14ac:dyDescent="0.25">
      <c r="A23" s="7"/>
      <c r="B23" s="9"/>
      <c r="C23" s="13"/>
      <c r="D23" s="9"/>
      <c r="E23" s="7"/>
      <c r="F23" s="7"/>
      <c r="G23" s="7"/>
      <c r="H23" s="7"/>
      <c r="I23" s="41"/>
      <c r="J23" s="1"/>
      <c r="K23" s="1"/>
      <c r="L23" s="1"/>
      <c r="M23" s="1"/>
      <c r="N23" s="1"/>
      <c r="O23" s="1"/>
    </row>
    <row r="24" spans="1:15" x14ac:dyDescent="0.25">
      <c r="A24" s="14"/>
      <c r="B24" s="18"/>
      <c r="C24" s="14"/>
      <c r="D24" s="18"/>
      <c r="E24" s="14"/>
      <c r="F24" s="14"/>
      <c r="G24" s="14"/>
      <c r="H24" s="14"/>
      <c r="I24" s="43"/>
      <c r="J24" s="44"/>
      <c r="K24" s="44"/>
      <c r="L24" s="44"/>
      <c r="M24" s="44"/>
      <c r="N24" s="44"/>
      <c r="O24" s="44"/>
    </row>
    <row r="25" spans="1:15" x14ac:dyDescent="0.25">
      <c r="A25" s="7"/>
      <c r="B25" s="9"/>
      <c r="C25" s="13"/>
      <c r="D25" s="9"/>
      <c r="E25" s="7"/>
      <c r="F25" s="7"/>
      <c r="G25" s="7"/>
      <c r="H25" s="7"/>
      <c r="I25" s="41"/>
      <c r="J25" s="1"/>
      <c r="K25" s="1"/>
      <c r="L25" s="1"/>
      <c r="M25" s="1"/>
      <c r="N25" s="1"/>
      <c r="O25" s="1"/>
    </row>
    <row r="26" spans="1:15" x14ac:dyDescent="0.25">
      <c r="A26" s="14"/>
      <c r="B26" s="18"/>
      <c r="C26" s="14"/>
      <c r="D26" s="18"/>
      <c r="E26" s="14"/>
      <c r="F26" s="14"/>
      <c r="G26" s="14"/>
      <c r="H26" s="14"/>
      <c r="I26" s="43"/>
      <c r="J26" s="44"/>
      <c r="K26" s="44"/>
      <c r="L26" s="44"/>
      <c r="M26" s="44"/>
      <c r="N26" s="44"/>
      <c r="O26" s="44"/>
    </row>
    <row r="27" spans="1:15" x14ac:dyDescent="0.25">
      <c r="A27" s="7"/>
      <c r="B27" s="9"/>
      <c r="C27" s="13"/>
      <c r="D27" s="9"/>
      <c r="E27" s="7"/>
      <c r="F27" s="7"/>
      <c r="G27" s="7"/>
      <c r="H27" s="7"/>
      <c r="I27" s="41"/>
      <c r="J27" s="1"/>
      <c r="K27" s="1"/>
      <c r="L27" s="1"/>
      <c r="M27" s="1"/>
      <c r="N27" s="1"/>
      <c r="O27" s="1"/>
    </row>
    <row r="28" spans="1:15" x14ac:dyDescent="0.25">
      <c r="A28" s="14"/>
      <c r="B28" s="18"/>
      <c r="C28" s="14"/>
      <c r="D28" s="18"/>
      <c r="E28" s="14"/>
      <c r="F28" s="14"/>
      <c r="G28" s="14"/>
      <c r="H28" s="14"/>
      <c r="I28" s="43"/>
      <c r="J28" s="44"/>
      <c r="K28" s="44"/>
      <c r="L28" s="44"/>
      <c r="M28" s="44"/>
      <c r="N28" s="44"/>
      <c r="O28" s="44"/>
    </row>
    <row r="29" spans="1:15" x14ac:dyDescent="0.25">
      <c r="A29" s="7"/>
      <c r="B29" s="9"/>
      <c r="C29" s="13"/>
      <c r="D29" s="9"/>
      <c r="E29" s="7"/>
      <c r="F29" s="7"/>
      <c r="G29" s="7"/>
      <c r="H29" s="7"/>
      <c r="I29" s="41"/>
      <c r="J29" s="1"/>
      <c r="K29" s="1"/>
      <c r="L29" s="1"/>
      <c r="M29" s="1"/>
      <c r="N29" s="1"/>
      <c r="O29" s="1"/>
    </row>
    <row r="30" spans="1:15" x14ac:dyDescent="0.25">
      <c r="A30" s="14"/>
      <c r="B30" s="18"/>
      <c r="C30" s="14"/>
      <c r="D30" s="18"/>
      <c r="E30" s="14"/>
      <c r="F30" s="14"/>
      <c r="G30" s="14"/>
      <c r="H30" s="14"/>
      <c r="I30" s="43"/>
      <c r="J30" s="44"/>
      <c r="K30" s="44"/>
      <c r="L30" s="44"/>
      <c r="M30" s="44"/>
      <c r="N30" s="44"/>
      <c r="O30" s="44"/>
    </row>
    <row r="31" spans="1:15" x14ac:dyDescent="0.25">
      <c r="A31" s="7"/>
      <c r="B31" s="9"/>
      <c r="C31" s="13"/>
      <c r="D31" s="9"/>
      <c r="E31" s="7"/>
      <c r="F31" s="7"/>
      <c r="G31" s="7"/>
      <c r="H31" s="7"/>
      <c r="I31" s="41"/>
      <c r="J31" s="1"/>
      <c r="K31" s="1"/>
      <c r="L31" s="1"/>
      <c r="M31" s="1"/>
      <c r="N31" s="1"/>
      <c r="O31" s="1"/>
    </row>
    <row r="32" spans="1:15" x14ac:dyDescent="0.25">
      <c r="A32" s="14"/>
      <c r="B32" s="18"/>
      <c r="C32" s="14"/>
      <c r="D32" s="18"/>
      <c r="E32" s="14"/>
      <c r="F32" s="14"/>
      <c r="G32" s="14"/>
      <c r="H32" s="14"/>
      <c r="I32" s="43"/>
      <c r="J32" s="44"/>
      <c r="K32" s="44"/>
      <c r="L32" s="44"/>
      <c r="M32" s="44"/>
      <c r="N32" s="44"/>
      <c r="O32" s="44"/>
    </row>
    <row r="33" spans="1:15" ht="18" customHeight="1" x14ac:dyDescent="0.25">
      <c r="A33" s="7"/>
      <c r="B33" s="9"/>
      <c r="C33" s="13"/>
      <c r="D33" s="9"/>
      <c r="E33" s="7"/>
      <c r="F33" s="7"/>
      <c r="G33" s="7"/>
      <c r="H33" s="7"/>
      <c r="I33" s="41"/>
      <c r="J33" s="1"/>
      <c r="K33" s="1"/>
      <c r="L33" s="1"/>
      <c r="M33" s="1"/>
      <c r="N33" s="1"/>
      <c r="O33" s="1"/>
    </row>
    <row r="34" spans="1:15" x14ac:dyDescent="0.25">
      <c r="A34" s="14"/>
      <c r="B34" s="18"/>
      <c r="C34" s="14"/>
      <c r="D34" s="18"/>
      <c r="E34" s="14"/>
      <c r="F34" s="14"/>
      <c r="G34" s="14"/>
      <c r="H34" s="14"/>
      <c r="I34" s="43"/>
      <c r="J34" s="44"/>
      <c r="K34" s="44"/>
      <c r="L34" s="44"/>
      <c r="M34" s="44"/>
      <c r="N34" s="44"/>
      <c r="O34" s="44"/>
    </row>
    <row r="35" spans="1:15" x14ac:dyDescent="0.25">
      <c r="A35" s="7"/>
      <c r="B35" s="9"/>
      <c r="C35" s="13"/>
      <c r="D35" s="9"/>
      <c r="E35" s="7"/>
      <c r="F35" s="7"/>
      <c r="G35" s="7"/>
      <c r="H35" s="7"/>
      <c r="I35" s="41"/>
      <c r="J35" s="1"/>
      <c r="K35" s="1"/>
      <c r="L35" s="1"/>
      <c r="M35" s="1"/>
      <c r="N35" s="1"/>
      <c r="O35" s="1"/>
    </row>
    <row r="36" spans="1:15" x14ac:dyDescent="0.25">
      <c r="A36" s="14"/>
      <c r="B36" s="18"/>
      <c r="C36" s="14"/>
      <c r="D36" s="18"/>
      <c r="E36" s="14"/>
      <c r="F36" s="14"/>
      <c r="G36" s="14"/>
      <c r="H36" s="14"/>
      <c r="I36" s="43"/>
      <c r="J36" s="44"/>
      <c r="K36" s="44"/>
      <c r="L36" s="44"/>
      <c r="M36" s="44"/>
      <c r="N36" s="44"/>
      <c r="O36" s="44"/>
    </row>
    <row r="37" spans="1:15" x14ac:dyDescent="0.25">
      <c r="A37" s="7"/>
      <c r="B37" s="9"/>
      <c r="C37" s="13"/>
      <c r="D37" s="9"/>
      <c r="E37" s="7"/>
      <c r="F37" s="7"/>
      <c r="G37" s="7"/>
      <c r="H37" s="7"/>
      <c r="I37" s="41"/>
      <c r="J37" s="1"/>
      <c r="K37" s="1"/>
      <c r="L37" s="1"/>
      <c r="M37" s="1"/>
      <c r="N37" s="1"/>
      <c r="O37" s="1"/>
    </row>
    <row r="38" spans="1:15" x14ac:dyDescent="0.25">
      <c r="A38" s="14"/>
      <c r="B38" s="18"/>
      <c r="C38" s="14"/>
      <c r="D38" s="18"/>
      <c r="E38" s="14"/>
      <c r="F38" s="14"/>
      <c r="G38" s="14"/>
      <c r="H38" s="14"/>
      <c r="I38" s="43"/>
      <c r="J38" s="44"/>
      <c r="K38" s="44"/>
      <c r="L38" s="44"/>
      <c r="M38" s="44"/>
      <c r="N38" s="44"/>
      <c r="O38" s="44"/>
    </row>
    <row r="39" spans="1:15" x14ac:dyDescent="0.25">
      <c r="A39" s="7"/>
      <c r="B39" s="9"/>
      <c r="C39" s="13"/>
      <c r="D39" s="9"/>
      <c r="E39" s="7"/>
      <c r="F39" s="7"/>
      <c r="G39" s="7"/>
      <c r="H39" s="7"/>
      <c r="I39" s="41"/>
      <c r="J39" s="1"/>
      <c r="K39" s="1"/>
      <c r="L39" s="1"/>
      <c r="M39" s="1"/>
      <c r="N39" s="1"/>
      <c r="O39" s="1"/>
    </row>
    <row r="40" spans="1:15" x14ac:dyDescent="0.25">
      <c r="A40" s="14"/>
      <c r="B40" s="18"/>
      <c r="C40" s="14"/>
      <c r="D40" s="18"/>
      <c r="E40" s="14"/>
      <c r="F40" s="14"/>
      <c r="G40" s="14"/>
      <c r="H40" s="14"/>
      <c r="I40" s="43"/>
      <c r="J40" s="44"/>
      <c r="K40" s="44"/>
      <c r="L40" s="44"/>
      <c r="M40" s="44"/>
      <c r="N40" s="44"/>
      <c r="O40" s="44"/>
    </row>
    <row r="41" spans="1:15" x14ac:dyDescent="0.25">
      <c r="A41" s="7"/>
      <c r="B41" s="9"/>
      <c r="C41" s="13"/>
      <c r="D41" s="9"/>
      <c r="E41" s="7"/>
      <c r="F41" s="7"/>
      <c r="G41" s="7"/>
      <c r="H41" s="7"/>
      <c r="I41" s="41"/>
      <c r="J41" s="1"/>
      <c r="K41" s="1"/>
      <c r="L41" s="1"/>
      <c r="M41" s="1"/>
      <c r="N41" s="1"/>
      <c r="O41" s="1"/>
    </row>
    <row r="42" spans="1:15" x14ac:dyDescent="0.25">
      <c r="A42" s="14"/>
      <c r="B42" s="18"/>
      <c r="C42" s="14"/>
      <c r="D42" s="18"/>
      <c r="E42" s="14"/>
      <c r="F42" s="14"/>
      <c r="G42" s="14"/>
      <c r="H42" s="14"/>
      <c r="I42" s="43"/>
      <c r="J42" s="44"/>
      <c r="K42" s="44"/>
      <c r="L42" s="44"/>
      <c r="M42" s="44"/>
      <c r="N42" s="44"/>
      <c r="O42" s="44"/>
    </row>
    <row r="43" spans="1:15" x14ac:dyDescent="0.25">
      <c r="A43" s="7"/>
      <c r="B43" s="9"/>
      <c r="C43" s="13"/>
      <c r="D43" s="9"/>
      <c r="E43" s="7"/>
      <c r="F43" s="7"/>
      <c r="G43" s="7"/>
      <c r="H43" s="7"/>
      <c r="I43" s="41"/>
      <c r="J43" s="1"/>
      <c r="K43" s="1"/>
      <c r="L43" s="1"/>
      <c r="M43" s="1"/>
      <c r="N43" s="1"/>
      <c r="O43" s="1"/>
    </row>
    <row r="44" spans="1:15" x14ac:dyDescent="0.25">
      <c r="A44" s="14"/>
      <c r="B44" s="18"/>
      <c r="C44" s="14"/>
      <c r="D44" s="18"/>
      <c r="E44" s="14"/>
      <c r="F44" s="14"/>
      <c r="G44" s="14"/>
      <c r="H44" s="14"/>
      <c r="I44" s="43"/>
      <c r="J44" s="44"/>
      <c r="K44" s="44"/>
      <c r="L44" s="44"/>
      <c r="M44" s="44"/>
      <c r="N44" s="44"/>
      <c r="O44" s="44"/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14"/>
      <c r="B46" s="18"/>
      <c r="C46" s="14"/>
      <c r="D46" s="18"/>
      <c r="E46" s="14"/>
      <c r="F46" s="14"/>
      <c r="G46" s="14"/>
      <c r="H46" s="14"/>
      <c r="I46" s="43"/>
      <c r="J46" s="44"/>
      <c r="K46" s="44"/>
      <c r="L46" s="44"/>
      <c r="M46" s="44"/>
      <c r="N46" s="44"/>
      <c r="O46" s="44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14"/>
      <c r="B48" s="18"/>
      <c r="C48" s="14"/>
      <c r="D48" s="18"/>
      <c r="E48" s="14"/>
      <c r="F48" s="14"/>
      <c r="G48" s="14"/>
      <c r="H48" s="14"/>
      <c r="I48" s="43"/>
      <c r="J48" s="44"/>
      <c r="K48" s="44"/>
      <c r="L48" s="44"/>
      <c r="M48" s="44"/>
      <c r="N48" s="44"/>
      <c r="O48" s="44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14"/>
      <c r="B50" s="18"/>
      <c r="C50" s="14"/>
      <c r="D50" s="18"/>
      <c r="E50" s="14"/>
      <c r="F50" s="14"/>
      <c r="G50" s="14"/>
      <c r="H50" s="14"/>
      <c r="I50" s="43"/>
      <c r="J50" s="44"/>
      <c r="K50" s="44"/>
      <c r="L50" s="44"/>
      <c r="M50" s="44"/>
      <c r="N50" s="44"/>
      <c r="O50" s="44"/>
    </row>
    <row r="51" spans="1:15" x14ac:dyDescent="0.25">
      <c r="A51" s="7"/>
      <c r="B51" s="9"/>
      <c r="C51" s="13"/>
      <c r="D51" s="9"/>
      <c r="E51" s="7"/>
      <c r="F51" s="7"/>
      <c r="G51" s="7"/>
      <c r="H51" s="7"/>
      <c r="I51" s="41"/>
      <c r="J51" s="1"/>
      <c r="K51" s="1"/>
      <c r="L51" s="1"/>
      <c r="M51" s="1"/>
      <c r="N51" s="1"/>
      <c r="O51" s="1"/>
    </row>
    <row r="52" spans="1:15" ht="30.6" customHeight="1" x14ac:dyDescent="0.25">
      <c r="A52" s="166" t="s">
        <v>251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5" ht="15" customHeight="1" x14ac:dyDescent="0.25">
      <c r="A53" s="167" t="s">
        <v>252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9"/>
    </row>
    <row r="54" spans="1:15" ht="15" customHeight="1" x14ac:dyDescent="0.25">
      <c r="A54" s="170" t="s">
        <v>253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254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0" t="s">
        <v>255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2"/>
    </row>
    <row r="57" spans="1:15" ht="15" customHeight="1" x14ac:dyDescent="0.25">
      <c r="A57" s="173" t="s">
        <v>256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5"/>
    </row>
    <row r="58" spans="1:15" ht="30.6" customHeight="1" x14ac:dyDescent="0.25">
      <c r="A58" s="166" t="s">
        <v>257</v>
      </c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158"/>
      <c r="C64" s="158"/>
      <c r="D64" s="158"/>
      <c r="E64" s="158"/>
      <c r="F64" s="158"/>
      <c r="G64" s="158"/>
      <c r="H64" s="158"/>
      <c r="I64" s="158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25"/>
      <c r="B111" s="47"/>
      <c r="C111" s="47"/>
      <c r="D111" s="47"/>
      <c r="E111" s="47"/>
      <c r="F111" s="47"/>
      <c r="G111" s="47"/>
      <c r="H111" s="47"/>
      <c r="I111" s="47"/>
      <c r="J111" s="30"/>
      <c r="K111" s="30"/>
      <c r="L111" s="30"/>
      <c r="M111" s="30"/>
      <c r="N111" s="30"/>
      <c r="O111" s="31"/>
    </row>
    <row r="112" spans="1:15" ht="15.75" customHeight="1" x14ac:dyDescent="0.25">
      <c r="A112" s="49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1"/>
      <c r="K113" s="21"/>
      <c r="L113" s="21"/>
      <c r="M113" s="21"/>
      <c r="N113" s="21"/>
      <c r="O113" s="21"/>
    </row>
    <row r="114" spans="1:15" x14ac:dyDescent="0.25">
      <c r="H114" s="4"/>
      <c r="I114" s="3"/>
    </row>
    <row r="115" spans="1:15" ht="18.75" x14ac:dyDescent="0.25">
      <c r="A115" s="159" t="s">
        <v>258</v>
      </c>
      <c r="B115" s="160"/>
      <c r="C115" s="161"/>
      <c r="H115" s="4"/>
      <c r="I115" s="3"/>
    </row>
    <row r="116" spans="1:15" x14ac:dyDescent="0.25">
      <c r="A116" s="36" t="s">
        <v>43</v>
      </c>
      <c r="B116" s="37" t="s">
        <v>259</v>
      </c>
      <c r="C116" s="36" t="s">
        <v>260</v>
      </c>
      <c r="H116" s="4"/>
      <c r="I116" s="3"/>
    </row>
    <row r="117" spans="1:15" x14ac:dyDescent="0.25">
      <c r="A117" s="38" t="s">
        <v>48</v>
      </c>
      <c r="B117" s="7" t="s">
        <v>216</v>
      </c>
      <c r="C117" s="38">
        <f>COUNTIFS($E$7:$E$48,A117)</f>
        <v>0</v>
      </c>
      <c r="H117" s="4"/>
      <c r="I117" s="3"/>
    </row>
    <row r="118" spans="1:15" x14ac:dyDescent="0.25">
      <c r="A118" s="38" t="s">
        <v>54</v>
      </c>
      <c r="B118" s="7" t="s">
        <v>219</v>
      </c>
      <c r="C118" s="38">
        <f t="shared" ref="C118:C120" si="0">COUNTIFS($E$7:$E$48,A118)</f>
        <v>0</v>
      </c>
      <c r="H118" s="4"/>
      <c r="I118" s="3"/>
    </row>
    <row r="119" spans="1:15" x14ac:dyDescent="0.25">
      <c r="A119" s="38" t="s">
        <v>86</v>
      </c>
      <c r="B119" s="7" t="s">
        <v>241</v>
      </c>
      <c r="C119" s="38">
        <f t="shared" si="0"/>
        <v>0</v>
      </c>
      <c r="H119" s="4"/>
      <c r="I119" s="3"/>
    </row>
    <row r="120" spans="1:15" x14ac:dyDescent="0.25">
      <c r="A120" s="38" t="s">
        <v>51</v>
      </c>
      <c r="B120" s="7" t="s">
        <v>209</v>
      </c>
      <c r="C120" s="38">
        <f t="shared" si="0"/>
        <v>0</v>
      </c>
      <c r="H120" s="4"/>
      <c r="I120" s="3"/>
    </row>
    <row r="121" spans="1:15" x14ac:dyDescent="0.25">
      <c r="H121" s="4"/>
      <c r="I121" s="3"/>
    </row>
    <row r="122" spans="1:15" ht="18.75" x14ac:dyDescent="0.25">
      <c r="A122" s="159" t="s">
        <v>261</v>
      </c>
      <c r="B122" s="160"/>
      <c r="C122" s="161"/>
      <c r="H122" s="4"/>
      <c r="I122" s="3"/>
    </row>
    <row r="123" spans="1:15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15" x14ac:dyDescent="0.25">
      <c r="A124" s="39" t="s">
        <v>48</v>
      </c>
      <c r="B124" s="1" t="s">
        <v>216</v>
      </c>
      <c r="C124" s="38">
        <f>COUNTIFS($E$7:$E$48,A124,$H$7:$H$48,"Trocar")</f>
        <v>0</v>
      </c>
      <c r="H124" s="4"/>
      <c r="I124" s="3"/>
    </row>
    <row r="125" spans="1:15" x14ac:dyDescent="0.25">
      <c r="A125" s="39" t="s">
        <v>54</v>
      </c>
      <c r="B125" s="1" t="s">
        <v>219</v>
      </c>
      <c r="C125" s="38">
        <f t="shared" ref="C125:C127" si="1">COUNTIFS($E$7:$E$48,A125,$H$7:$H$48,"Trocar")</f>
        <v>0</v>
      </c>
      <c r="H125" s="4"/>
      <c r="I125" s="3"/>
    </row>
    <row r="126" spans="1:15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15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15" x14ac:dyDescent="0.25">
      <c r="H128" s="4"/>
      <c r="I128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1:I61"/>
    <mergeCell ref="A1:O1"/>
    <mergeCell ref="K5:N5"/>
    <mergeCell ref="A52:O52"/>
    <mergeCell ref="A53:O53"/>
    <mergeCell ref="A54:O54"/>
    <mergeCell ref="A55:O55"/>
    <mergeCell ref="A56:O56"/>
    <mergeCell ref="A57:O57"/>
    <mergeCell ref="A58:O58"/>
    <mergeCell ref="B59:I59"/>
    <mergeCell ref="B60:I60"/>
    <mergeCell ref="B62:I62"/>
    <mergeCell ref="B63:I63"/>
    <mergeCell ref="B64:I64"/>
    <mergeCell ref="A115:C115"/>
    <mergeCell ref="A122:C122"/>
  </mergeCells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7" max="1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DF65-0B62-4E25-ACC3-D2CC2A3F6D13}">
  <sheetPr>
    <tabColor rgb="FFFFC000"/>
    <pageSetUpPr fitToPage="1"/>
  </sheetPr>
  <dimension ref="A1:O128"/>
  <sheetViews>
    <sheetView showGridLines="0" zoomScale="70" zoomScaleNormal="70" zoomScaleSheetLayoutView="70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70.57031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1062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7"/>
      <c r="B7" s="9"/>
      <c r="C7" s="13"/>
      <c r="D7" s="9"/>
      <c r="E7" s="7"/>
      <c r="F7" s="7"/>
      <c r="G7" s="7"/>
      <c r="H7" s="7"/>
      <c r="I7" s="41"/>
      <c r="J7" s="1"/>
      <c r="K7" s="1"/>
      <c r="L7" s="1"/>
      <c r="M7" s="1"/>
      <c r="N7" s="1"/>
      <c r="O7" s="1"/>
    </row>
    <row r="8" spans="1:15" x14ac:dyDescent="0.25">
      <c r="A8" s="14"/>
      <c r="B8" s="18"/>
      <c r="C8" s="14"/>
      <c r="D8" s="18"/>
      <c r="E8" s="14"/>
      <c r="F8" s="14"/>
      <c r="G8" s="14"/>
      <c r="H8" s="14"/>
      <c r="I8" s="43"/>
      <c r="J8" s="44"/>
      <c r="K8" s="44"/>
      <c r="L8" s="44"/>
      <c r="M8" s="44"/>
      <c r="N8" s="44"/>
      <c r="O8" s="44"/>
    </row>
    <row r="9" spans="1:15" x14ac:dyDescent="0.25">
      <c r="A9" s="7"/>
      <c r="B9" s="9"/>
      <c r="C9" s="13"/>
      <c r="D9" s="9"/>
      <c r="E9" s="7"/>
      <c r="F9" s="7"/>
      <c r="G9" s="7"/>
      <c r="H9" s="7"/>
      <c r="I9" s="41"/>
      <c r="J9" s="1"/>
      <c r="K9" s="1"/>
      <c r="L9" s="1"/>
      <c r="M9" s="1"/>
      <c r="N9" s="1"/>
      <c r="O9" s="1"/>
    </row>
    <row r="10" spans="1:15" x14ac:dyDescent="0.25">
      <c r="A10" s="14"/>
      <c r="B10" s="18"/>
      <c r="C10" s="14"/>
      <c r="D10" s="18"/>
      <c r="E10" s="14"/>
      <c r="F10" s="14"/>
      <c r="G10" s="14"/>
      <c r="H10" s="14"/>
      <c r="I10" s="43"/>
      <c r="J10" s="44"/>
      <c r="K10" s="44"/>
      <c r="L10" s="44"/>
      <c r="M10" s="44"/>
      <c r="N10" s="44"/>
      <c r="O10" s="44"/>
    </row>
    <row r="11" spans="1:15" x14ac:dyDescent="0.25">
      <c r="A11" s="7"/>
      <c r="B11" s="9"/>
      <c r="C11" s="13"/>
      <c r="D11" s="9"/>
      <c r="E11" s="7"/>
      <c r="F11" s="7"/>
      <c r="G11" s="7"/>
      <c r="H11" s="7"/>
      <c r="I11" s="41"/>
      <c r="J11" s="1"/>
      <c r="K11" s="1"/>
      <c r="L11" s="1"/>
      <c r="M11" s="1"/>
      <c r="N11" s="1"/>
      <c r="O11" s="1"/>
    </row>
    <row r="12" spans="1:15" x14ac:dyDescent="0.25">
      <c r="A12" s="14"/>
      <c r="B12" s="18"/>
      <c r="C12" s="14"/>
      <c r="D12" s="18"/>
      <c r="E12" s="14"/>
      <c r="F12" s="14"/>
      <c r="G12" s="14"/>
      <c r="H12" s="14"/>
      <c r="I12" s="43"/>
      <c r="J12" s="44"/>
      <c r="K12" s="44"/>
      <c r="L12" s="44"/>
      <c r="M12" s="44"/>
      <c r="N12" s="44"/>
      <c r="O12" s="44"/>
    </row>
    <row r="13" spans="1:15" x14ac:dyDescent="0.25">
      <c r="A13" s="7"/>
      <c r="B13" s="9"/>
      <c r="C13" s="13"/>
      <c r="D13" s="9"/>
      <c r="E13" s="7"/>
      <c r="F13" s="7"/>
      <c r="G13" s="7"/>
      <c r="H13" s="7"/>
      <c r="I13" s="41"/>
      <c r="J13" s="1"/>
      <c r="K13" s="1"/>
      <c r="L13" s="1"/>
      <c r="M13" s="1"/>
      <c r="N13" s="1"/>
      <c r="O13" s="1"/>
    </row>
    <row r="14" spans="1:15" x14ac:dyDescent="0.25">
      <c r="A14" s="14"/>
      <c r="B14" s="18"/>
      <c r="C14" s="14"/>
      <c r="D14" s="18"/>
      <c r="E14" s="14"/>
      <c r="F14" s="14"/>
      <c r="G14" s="14"/>
      <c r="H14" s="14"/>
      <c r="I14" s="43"/>
      <c r="J14" s="44"/>
      <c r="K14" s="44"/>
      <c r="L14" s="44"/>
      <c r="M14" s="44"/>
      <c r="N14" s="44"/>
      <c r="O14" s="44"/>
    </row>
    <row r="15" spans="1:15" x14ac:dyDescent="0.25">
      <c r="A15" s="7"/>
      <c r="B15" s="9"/>
      <c r="C15" s="13"/>
      <c r="D15" s="9"/>
      <c r="E15" s="7"/>
      <c r="F15" s="7"/>
      <c r="G15" s="7"/>
      <c r="H15" s="7"/>
      <c r="I15" s="41"/>
      <c r="J15" s="1"/>
      <c r="K15" s="1"/>
      <c r="L15" s="1"/>
      <c r="M15" s="1"/>
      <c r="N15" s="1"/>
      <c r="O15" s="1"/>
    </row>
    <row r="16" spans="1:15" x14ac:dyDescent="0.25">
      <c r="A16" s="14"/>
      <c r="B16" s="18"/>
      <c r="C16" s="14"/>
      <c r="D16" s="18"/>
      <c r="E16" s="14"/>
      <c r="F16" s="14"/>
      <c r="G16" s="14"/>
      <c r="H16" s="14"/>
      <c r="I16" s="43"/>
      <c r="J16" s="44"/>
      <c r="K16" s="44"/>
      <c r="L16" s="44"/>
      <c r="M16" s="44"/>
      <c r="N16" s="44"/>
      <c r="O16" s="44"/>
    </row>
    <row r="17" spans="1:15" x14ac:dyDescent="0.25">
      <c r="A17" s="7"/>
      <c r="B17" s="9"/>
      <c r="C17" s="13"/>
      <c r="D17" s="9"/>
      <c r="E17" s="7"/>
      <c r="F17" s="7"/>
      <c r="G17" s="7"/>
      <c r="H17" s="7"/>
      <c r="I17" s="41"/>
      <c r="J17" s="1"/>
      <c r="K17" s="1"/>
      <c r="L17" s="1"/>
      <c r="M17" s="1"/>
      <c r="N17" s="1"/>
      <c r="O17" s="1"/>
    </row>
    <row r="18" spans="1:15" x14ac:dyDescent="0.25">
      <c r="A18" s="14"/>
      <c r="B18" s="18"/>
      <c r="C18" s="14"/>
      <c r="D18" s="18"/>
      <c r="E18" s="14"/>
      <c r="F18" s="14"/>
      <c r="G18" s="14"/>
      <c r="H18" s="14"/>
      <c r="I18" s="43"/>
      <c r="J18" s="44"/>
      <c r="K18" s="44"/>
      <c r="L18" s="44"/>
      <c r="M18" s="44"/>
      <c r="N18" s="44"/>
      <c r="O18" s="44"/>
    </row>
    <row r="19" spans="1:15" x14ac:dyDescent="0.25">
      <c r="A19" s="7"/>
      <c r="B19" s="9"/>
      <c r="C19" s="13"/>
      <c r="D19" s="9"/>
      <c r="E19" s="7"/>
      <c r="F19" s="7"/>
      <c r="G19" s="7"/>
      <c r="H19" s="7"/>
      <c r="I19" s="41"/>
      <c r="J19" s="1"/>
      <c r="K19" s="1"/>
      <c r="L19" s="1"/>
      <c r="M19" s="1"/>
      <c r="N19" s="1"/>
      <c r="O19" s="1"/>
    </row>
    <row r="20" spans="1:15" x14ac:dyDescent="0.25">
      <c r="A20" s="14"/>
      <c r="B20" s="18"/>
      <c r="C20" s="14"/>
      <c r="D20" s="18"/>
      <c r="E20" s="14"/>
      <c r="F20" s="14"/>
      <c r="G20" s="14"/>
      <c r="H20" s="14"/>
      <c r="I20" s="43"/>
      <c r="J20" s="44"/>
      <c r="K20" s="44"/>
      <c r="L20" s="44"/>
      <c r="M20" s="44"/>
      <c r="N20" s="44"/>
      <c r="O20" s="44"/>
    </row>
    <row r="21" spans="1:15" x14ac:dyDescent="0.25">
      <c r="A21" s="7"/>
      <c r="B21" s="9"/>
      <c r="C21" s="13"/>
      <c r="D21" s="9"/>
      <c r="E21" s="7"/>
      <c r="F21" s="7"/>
      <c r="G21" s="7"/>
      <c r="H21" s="7"/>
      <c r="I21" s="41"/>
      <c r="J21" s="1"/>
      <c r="K21" s="1"/>
      <c r="L21" s="1"/>
      <c r="M21" s="1"/>
      <c r="N21" s="1"/>
      <c r="O21" s="1"/>
    </row>
    <row r="22" spans="1:15" x14ac:dyDescent="0.25">
      <c r="A22" s="14"/>
      <c r="B22" s="18"/>
      <c r="C22" s="14"/>
      <c r="D22" s="18"/>
      <c r="E22" s="14"/>
      <c r="F22" s="14"/>
      <c r="G22" s="14"/>
      <c r="H22" s="14"/>
      <c r="I22" s="43"/>
      <c r="J22" s="44"/>
      <c r="K22" s="44"/>
      <c r="L22" s="44"/>
      <c r="M22" s="44"/>
      <c r="N22" s="44"/>
      <c r="O22" s="44"/>
    </row>
    <row r="23" spans="1:15" x14ac:dyDescent="0.25">
      <c r="A23" s="7"/>
      <c r="B23" s="9"/>
      <c r="C23" s="13"/>
      <c r="D23" s="9"/>
      <c r="E23" s="7"/>
      <c r="F23" s="7"/>
      <c r="G23" s="7"/>
      <c r="H23" s="7"/>
      <c r="I23" s="41"/>
      <c r="J23" s="1"/>
      <c r="K23" s="1"/>
      <c r="L23" s="1"/>
      <c r="M23" s="1"/>
      <c r="N23" s="1"/>
      <c r="O23" s="1"/>
    </row>
    <row r="24" spans="1:15" x14ac:dyDescent="0.25">
      <c r="A24" s="14"/>
      <c r="B24" s="18"/>
      <c r="C24" s="14"/>
      <c r="D24" s="18"/>
      <c r="E24" s="14"/>
      <c r="F24" s="14"/>
      <c r="G24" s="14"/>
      <c r="H24" s="14"/>
      <c r="I24" s="43"/>
      <c r="J24" s="44"/>
      <c r="K24" s="44"/>
      <c r="L24" s="44"/>
      <c r="M24" s="44"/>
      <c r="N24" s="44"/>
      <c r="O24" s="44"/>
    </row>
    <row r="25" spans="1:15" x14ac:dyDescent="0.25">
      <c r="A25" s="7"/>
      <c r="B25" s="9"/>
      <c r="C25" s="13"/>
      <c r="D25" s="9"/>
      <c r="E25" s="7"/>
      <c r="F25" s="7"/>
      <c r="G25" s="7"/>
      <c r="H25" s="7"/>
      <c r="I25" s="41"/>
      <c r="J25" s="1"/>
      <c r="K25" s="1"/>
      <c r="L25" s="1"/>
      <c r="M25" s="1"/>
      <c r="N25" s="1"/>
      <c r="O25" s="1"/>
    </row>
    <row r="26" spans="1:15" x14ac:dyDescent="0.25">
      <c r="A26" s="14"/>
      <c r="B26" s="18"/>
      <c r="C26" s="14"/>
      <c r="D26" s="18"/>
      <c r="E26" s="14"/>
      <c r="F26" s="14"/>
      <c r="G26" s="14"/>
      <c r="H26" s="14"/>
      <c r="I26" s="43"/>
      <c r="J26" s="44"/>
      <c r="K26" s="44"/>
      <c r="L26" s="44"/>
      <c r="M26" s="44"/>
      <c r="N26" s="44"/>
      <c r="O26" s="44"/>
    </row>
    <row r="27" spans="1:15" x14ac:dyDescent="0.25">
      <c r="A27" s="7"/>
      <c r="B27" s="9"/>
      <c r="C27" s="13"/>
      <c r="D27" s="9"/>
      <c r="E27" s="7"/>
      <c r="F27" s="7"/>
      <c r="G27" s="7"/>
      <c r="H27" s="7"/>
      <c r="I27" s="41"/>
      <c r="J27" s="1"/>
      <c r="K27" s="1"/>
      <c r="L27" s="1"/>
      <c r="M27" s="1"/>
      <c r="N27" s="1"/>
      <c r="O27" s="1"/>
    </row>
    <row r="28" spans="1:15" x14ac:dyDescent="0.25">
      <c r="A28" s="14"/>
      <c r="B28" s="18"/>
      <c r="C28" s="14"/>
      <c r="D28" s="18"/>
      <c r="E28" s="14"/>
      <c r="F28" s="14"/>
      <c r="G28" s="14"/>
      <c r="H28" s="14"/>
      <c r="I28" s="43"/>
      <c r="J28" s="44"/>
      <c r="K28" s="44"/>
      <c r="L28" s="44"/>
      <c r="M28" s="44"/>
      <c r="N28" s="44"/>
      <c r="O28" s="44"/>
    </row>
    <row r="29" spans="1:15" x14ac:dyDescent="0.25">
      <c r="A29" s="7"/>
      <c r="B29" s="9"/>
      <c r="C29" s="13"/>
      <c r="D29" s="9"/>
      <c r="E29" s="7"/>
      <c r="F29" s="7"/>
      <c r="G29" s="7"/>
      <c r="H29" s="7"/>
      <c r="I29" s="41"/>
      <c r="J29" s="1"/>
      <c r="K29" s="1"/>
      <c r="L29" s="1"/>
      <c r="M29" s="1"/>
      <c r="N29" s="1"/>
      <c r="O29" s="1"/>
    </row>
    <row r="30" spans="1:15" x14ac:dyDescent="0.25">
      <c r="A30" s="14"/>
      <c r="B30" s="18"/>
      <c r="C30" s="14"/>
      <c r="D30" s="18"/>
      <c r="E30" s="14"/>
      <c r="F30" s="14"/>
      <c r="G30" s="14"/>
      <c r="H30" s="14"/>
      <c r="I30" s="43"/>
      <c r="J30" s="44"/>
      <c r="K30" s="44"/>
      <c r="L30" s="44"/>
      <c r="M30" s="44"/>
      <c r="N30" s="44"/>
      <c r="O30" s="44"/>
    </row>
    <row r="31" spans="1:15" x14ac:dyDescent="0.25">
      <c r="A31" s="7"/>
      <c r="B31" s="9"/>
      <c r="C31" s="13"/>
      <c r="D31" s="9"/>
      <c r="E31" s="7"/>
      <c r="F31" s="7"/>
      <c r="G31" s="7"/>
      <c r="H31" s="7"/>
      <c r="I31" s="41"/>
      <c r="J31" s="1"/>
      <c r="K31" s="1"/>
      <c r="L31" s="1"/>
      <c r="M31" s="1"/>
      <c r="N31" s="1"/>
      <c r="O31" s="1"/>
    </row>
    <row r="32" spans="1:15" x14ac:dyDescent="0.25">
      <c r="A32" s="14"/>
      <c r="B32" s="18"/>
      <c r="C32" s="14"/>
      <c r="D32" s="18"/>
      <c r="E32" s="14"/>
      <c r="F32" s="14"/>
      <c r="G32" s="14"/>
      <c r="H32" s="14"/>
      <c r="I32" s="43"/>
      <c r="J32" s="44"/>
      <c r="K32" s="44"/>
      <c r="L32" s="44"/>
      <c r="M32" s="44"/>
      <c r="N32" s="44"/>
      <c r="O32" s="44"/>
    </row>
    <row r="33" spans="1:15" ht="18" customHeight="1" x14ac:dyDescent="0.25">
      <c r="A33" s="7"/>
      <c r="B33" s="9"/>
      <c r="C33" s="13"/>
      <c r="D33" s="9"/>
      <c r="E33" s="7"/>
      <c r="F33" s="7"/>
      <c r="G33" s="7"/>
      <c r="H33" s="7"/>
      <c r="I33" s="41"/>
      <c r="J33" s="1"/>
      <c r="K33" s="1"/>
      <c r="L33" s="1"/>
      <c r="M33" s="1"/>
      <c r="N33" s="1"/>
      <c r="O33" s="1"/>
    </row>
    <row r="34" spans="1:15" x14ac:dyDescent="0.25">
      <c r="A34" s="14"/>
      <c r="B34" s="18"/>
      <c r="C34" s="14"/>
      <c r="D34" s="18"/>
      <c r="E34" s="14"/>
      <c r="F34" s="14"/>
      <c r="G34" s="14"/>
      <c r="H34" s="14"/>
      <c r="I34" s="43"/>
      <c r="J34" s="44"/>
      <c r="K34" s="44"/>
      <c r="L34" s="44"/>
      <c r="M34" s="44"/>
      <c r="N34" s="44"/>
      <c r="O34" s="44"/>
    </row>
    <row r="35" spans="1:15" x14ac:dyDescent="0.25">
      <c r="A35" s="7"/>
      <c r="B35" s="9"/>
      <c r="C35" s="13"/>
      <c r="D35" s="9"/>
      <c r="E35" s="7"/>
      <c r="F35" s="7"/>
      <c r="G35" s="7"/>
      <c r="H35" s="7"/>
      <c r="I35" s="41"/>
      <c r="J35" s="1"/>
      <c r="K35" s="1"/>
      <c r="L35" s="1"/>
      <c r="M35" s="1"/>
      <c r="N35" s="1"/>
      <c r="O35" s="1"/>
    </row>
    <row r="36" spans="1:15" x14ac:dyDescent="0.25">
      <c r="A36" s="14"/>
      <c r="B36" s="18"/>
      <c r="C36" s="14"/>
      <c r="D36" s="18"/>
      <c r="E36" s="14"/>
      <c r="F36" s="14"/>
      <c r="G36" s="14"/>
      <c r="H36" s="14"/>
      <c r="I36" s="43"/>
      <c r="J36" s="44"/>
      <c r="K36" s="44"/>
      <c r="L36" s="44"/>
      <c r="M36" s="44"/>
      <c r="N36" s="44"/>
      <c r="O36" s="44"/>
    </row>
    <row r="37" spans="1:15" x14ac:dyDescent="0.25">
      <c r="A37" s="7"/>
      <c r="B37" s="9"/>
      <c r="C37" s="13"/>
      <c r="D37" s="9"/>
      <c r="E37" s="7"/>
      <c r="F37" s="7"/>
      <c r="G37" s="7"/>
      <c r="H37" s="7"/>
      <c r="I37" s="41"/>
      <c r="J37" s="1"/>
      <c r="K37" s="1"/>
      <c r="L37" s="1"/>
      <c r="M37" s="1"/>
      <c r="N37" s="1"/>
      <c r="O37" s="1"/>
    </row>
    <row r="38" spans="1:15" x14ac:dyDescent="0.25">
      <c r="A38" s="14"/>
      <c r="B38" s="18"/>
      <c r="C38" s="14"/>
      <c r="D38" s="18"/>
      <c r="E38" s="14"/>
      <c r="F38" s="14"/>
      <c r="G38" s="14"/>
      <c r="H38" s="14"/>
      <c r="I38" s="43"/>
      <c r="J38" s="44"/>
      <c r="K38" s="44"/>
      <c r="L38" s="44"/>
      <c r="M38" s="44"/>
      <c r="N38" s="44"/>
      <c r="O38" s="44"/>
    </row>
    <row r="39" spans="1:15" x14ac:dyDescent="0.25">
      <c r="A39" s="7"/>
      <c r="B39" s="9"/>
      <c r="C39" s="13"/>
      <c r="D39" s="9"/>
      <c r="E39" s="7"/>
      <c r="F39" s="7"/>
      <c r="G39" s="7"/>
      <c r="H39" s="7"/>
      <c r="I39" s="41"/>
      <c r="J39" s="1"/>
      <c r="K39" s="1"/>
      <c r="L39" s="1"/>
      <c r="M39" s="1"/>
      <c r="N39" s="1"/>
      <c r="O39" s="1"/>
    </row>
    <row r="40" spans="1:15" x14ac:dyDescent="0.25">
      <c r="A40" s="14"/>
      <c r="B40" s="18"/>
      <c r="C40" s="14"/>
      <c r="D40" s="18"/>
      <c r="E40" s="14"/>
      <c r="F40" s="14"/>
      <c r="G40" s="14"/>
      <c r="H40" s="14"/>
      <c r="I40" s="43"/>
      <c r="J40" s="44"/>
      <c r="K40" s="44"/>
      <c r="L40" s="44"/>
      <c r="M40" s="44"/>
      <c r="N40" s="44"/>
      <c r="O40" s="44"/>
    </row>
    <row r="41" spans="1:15" x14ac:dyDescent="0.25">
      <c r="A41" s="7"/>
      <c r="B41" s="9"/>
      <c r="C41" s="13"/>
      <c r="D41" s="9"/>
      <c r="E41" s="7"/>
      <c r="F41" s="7"/>
      <c r="G41" s="7"/>
      <c r="H41" s="7"/>
      <c r="I41" s="41"/>
      <c r="J41" s="1"/>
      <c r="K41" s="1"/>
      <c r="L41" s="1"/>
      <c r="M41" s="1"/>
      <c r="N41" s="1"/>
      <c r="O41" s="1"/>
    </row>
    <row r="42" spans="1:15" x14ac:dyDescent="0.25">
      <c r="A42" s="14"/>
      <c r="B42" s="18"/>
      <c r="C42" s="14"/>
      <c r="D42" s="18"/>
      <c r="E42" s="14"/>
      <c r="F42" s="14"/>
      <c r="G42" s="14"/>
      <c r="H42" s="14"/>
      <c r="I42" s="43"/>
      <c r="J42" s="44"/>
      <c r="K42" s="44"/>
      <c r="L42" s="44"/>
      <c r="M42" s="44"/>
      <c r="N42" s="44"/>
      <c r="O42" s="44"/>
    </row>
    <row r="43" spans="1:15" x14ac:dyDescent="0.25">
      <c r="A43" s="7"/>
      <c r="B43" s="9"/>
      <c r="C43" s="13"/>
      <c r="D43" s="9"/>
      <c r="E43" s="7"/>
      <c r="F43" s="7"/>
      <c r="G43" s="7"/>
      <c r="H43" s="7"/>
      <c r="I43" s="41"/>
      <c r="J43" s="1"/>
      <c r="K43" s="1"/>
      <c r="L43" s="1"/>
      <c r="M43" s="1"/>
      <c r="N43" s="1"/>
      <c r="O43" s="1"/>
    </row>
    <row r="44" spans="1:15" x14ac:dyDescent="0.25">
      <c r="A44" s="14"/>
      <c r="B44" s="18"/>
      <c r="C44" s="14"/>
      <c r="D44" s="18"/>
      <c r="E44" s="14"/>
      <c r="F44" s="14"/>
      <c r="G44" s="14"/>
      <c r="H44" s="14"/>
      <c r="I44" s="43"/>
      <c r="J44" s="44"/>
      <c r="K44" s="44"/>
      <c r="L44" s="44"/>
      <c r="M44" s="44"/>
      <c r="N44" s="44"/>
      <c r="O44" s="44"/>
    </row>
    <row r="45" spans="1:15" x14ac:dyDescent="0.25">
      <c r="A45" s="7"/>
      <c r="B45" s="9"/>
      <c r="C45" s="13"/>
      <c r="D45" s="9"/>
      <c r="E45" s="7"/>
      <c r="F45" s="7"/>
      <c r="G45" s="7"/>
      <c r="H45" s="7"/>
      <c r="I45" s="41"/>
      <c r="J45" s="1"/>
      <c r="K45" s="1"/>
      <c r="L45" s="1"/>
      <c r="M45" s="1"/>
      <c r="N45" s="1"/>
      <c r="O45" s="1"/>
    </row>
    <row r="46" spans="1:15" x14ac:dyDescent="0.25">
      <c r="A46" s="14"/>
      <c r="B46" s="18"/>
      <c r="C46" s="14"/>
      <c r="D46" s="18"/>
      <c r="E46" s="14"/>
      <c r="F46" s="14"/>
      <c r="G46" s="14"/>
      <c r="H46" s="14"/>
      <c r="I46" s="43"/>
      <c r="J46" s="44"/>
      <c r="K46" s="44"/>
      <c r="L46" s="44"/>
      <c r="M46" s="44"/>
      <c r="N46" s="44"/>
      <c r="O46" s="44"/>
    </row>
    <row r="47" spans="1:15" x14ac:dyDescent="0.25">
      <c r="A47" s="7"/>
      <c r="B47" s="9"/>
      <c r="C47" s="13"/>
      <c r="D47" s="9"/>
      <c r="E47" s="7"/>
      <c r="F47" s="7"/>
      <c r="G47" s="7"/>
      <c r="H47" s="7"/>
      <c r="I47" s="41"/>
      <c r="J47" s="1"/>
      <c r="K47" s="1"/>
      <c r="L47" s="1"/>
      <c r="M47" s="1"/>
      <c r="N47" s="1"/>
      <c r="O47" s="1"/>
    </row>
    <row r="48" spans="1:15" x14ac:dyDescent="0.25">
      <c r="A48" s="14"/>
      <c r="B48" s="18"/>
      <c r="C48" s="14"/>
      <c r="D48" s="18"/>
      <c r="E48" s="14"/>
      <c r="F48" s="14"/>
      <c r="G48" s="14"/>
      <c r="H48" s="14"/>
      <c r="I48" s="43"/>
      <c r="J48" s="44"/>
      <c r="K48" s="44"/>
      <c r="L48" s="44"/>
      <c r="M48" s="44"/>
      <c r="N48" s="44"/>
      <c r="O48" s="44"/>
    </row>
    <row r="49" spans="1:15" x14ac:dyDescent="0.25">
      <c r="A49" s="7"/>
      <c r="B49" s="9"/>
      <c r="C49" s="13"/>
      <c r="D49" s="9"/>
      <c r="E49" s="7"/>
      <c r="F49" s="7"/>
      <c r="G49" s="7"/>
      <c r="H49" s="7"/>
      <c r="I49" s="41"/>
      <c r="J49" s="1"/>
      <c r="K49" s="1"/>
      <c r="L49" s="1"/>
      <c r="M49" s="1"/>
      <c r="N49" s="1"/>
      <c r="O49" s="1"/>
    </row>
    <row r="50" spans="1:15" x14ac:dyDescent="0.25">
      <c r="A50" s="14"/>
      <c r="B50" s="18"/>
      <c r="C50" s="14"/>
      <c r="D50" s="18"/>
      <c r="E50" s="14"/>
      <c r="F50" s="14"/>
      <c r="G50" s="14"/>
      <c r="H50" s="14"/>
      <c r="I50" s="43"/>
      <c r="J50" s="44"/>
      <c r="K50" s="44"/>
      <c r="L50" s="44"/>
      <c r="M50" s="44"/>
      <c r="N50" s="44"/>
      <c r="O50" s="44"/>
    </row>
    <row r="51" spans="1:15" x14ac:dyDescent="0.25">
      <c r="A51" s="7"/>
      <c r="B51" s="9"/>
      <c r="C51" s="13"/>
      <c r="D51" s="9"/>
      <c r="E51" s="7"/>
      <c r="F51" s="7"/>
      <c r="G51" s="7"/>
      <c r="H51" s="7"/>
      <c r="I51" s="41"/>
      <c r="J51" s="1"/>
      <c r="K51" s="1"/>
      <c r="L51" s="1"/>
      <c r="M51" s="1"/>
      <c r="N51" s="1"/>
      <c r="O51" s="1"/>
    </row>
    <row r="52" spans="1:15" ht="30.6" customHeight="1" x14ac:dyDescent="0.25">
      <c r="A52" s="166" t="s">
        <v>251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</row>
    <row r="53" spans="1:15" ht="15" customHeight="1" x14ac:dyDescent="0.25">
      <c r="A53" s="167" t="s">
        <v>252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9"/>
    </row>
    <row r="54" spans="1:15" ht="15" customHeight="1" x14ac:dyDescent="0.25">
      <c r="A54" s="170" t="s">
        <v>253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0" t="s">
        <v>254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2"/>
    </row>
    <row r="56" spans="1:15" ht="15" customHeight="1" x14ac:dyDescent="0.25">
      <c r="A56" s="170" t="s">
        <v>255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2"/>
    </row>
    <row r="57" spans="1:15" ht="15" customHeight="1" x14ac:dyDescent="0.25">
      <c r="A57" s="173" t="s">
        <v>256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5"/>
    </row>
    <row r="58" spans="1:15" ht="30.6" customHeight="1" x14ac:dyDescent="0.25">
      <c r="A58" s="166" t="s">
        <v>257</v>
      </c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158"/>
      <c r="C63" s="158"/>
      <c r="D63" s="158"/>
      <c r="E63" s="158"/>
      <c r="F63" s="158"/>
      <c r="G63" s="158"/>
      <c r="H63" s="158"/>
      <c r="I63" s="158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158"/>
      <c r="C64" s="158"/>
      <c r="D64" s="158"/>
      <c r="E64" s="158"/>
      <c r="F64" s="158"/>
      <c r="G64" s="158"/>
      <c r="H64" s="158"/>
      <c r="I64" s="158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25"/>
      <c r="B110" s="47"/>
      <c r="C110" s="47"/>
      <c r="D110" s="47"/>
      <c r="E110" s="47"/>
      <c r="F110" s="47"/>
      <c r="G110" s="47"/>
      <c r="H110" s="47"/>
      <c r="I110" s="47"/>
      <c r="J110" s="30"/>
      <c r="K110" s="30"/>
      <c r="L110" s="30"/>
      <c r="M110" s="30"/>
      <c r="N110" s="30"/>
      <c r="O110" s="31"/>
    </row>
    <row r="111" spans="1:15" ht="15.75" customHeight="1" x14ac:dyDescent="0.25">
      <c r="A111" s="25"/>
      <c r="B111" s="47"/>
      <c r="C111" s="47"/>
      <c r="D111" s="47"/>
      <c r="E111" s="47"/>
      <c r="F111" s="47"/>
      <c r="G111" s="47"/>
      <c r="H111" s="47"/>
      <c r="I111" s="47"/>
      <c r="J111" s="30"/>
      <c r="K111" s="30"/>
      <c r="L111" s="30"/>
      <c r="M111" s="30"/>
      <c r="N111" s="30"/>
      <c r="O111" s="31"/>
    </row>
    <row r="112" spans="1:15" ht="15.75" customHeight="1" x14ac:dyDescent="0.25">
      <c r="A112" s="49"/>
      <c r="B112" s="2"/>
      <c r="C112" s="2"/>
      <c r="D112" s="2"/>
      <c r="E112" s="2"/>
      <c r="F112" s="2"/>
      <c r="G112" s="2"/>
      <c r="H112" s="2"/>
      <c r="I112" s="2"/>
      <c r="J112" s="21"/>
      <c r="K112" s="21"/>
      <c r="L112" s="21"/>
      <c r="M112" s="21"/>
      <c r="N112" s="21"/>
      <c r="O112" s="21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1"/>
      <c r="K113" s="21"/>
      <c r="L113" s="21"/>
      <c r="M113" s="21"/>
      <c r="N113" s="21"/>
      <c r="O113" s="21"/>
    </row>
    <row r="114" spans="1:15" x14ac:dyDescent="0.25">
      <c r="H114" s="4"/>
      <c r="I114" s="3"/>
    </row>
    <row r="115" spans="1:15" ht="18.75" x14ac:dyDescent="0.25">
      <c r="A115" s="159" t="s">
        <v>258</v>
      </c>
      <c r="B115" s="160"/>
      <c r="C115" s="161"/>
      <c r="H115" s="4"/>
      <c r="I115" s="3"/>
    </row>
    <row r="116" spans="1:15" x14ac:dyDescent="0.25">
      <c r="A116" s="36" t="s">
        <v>43</v>
      </c>
      <c r="B116" s="37" t="s">
        <v>259</v>
      </c>
      <c r="C116" s="36" t="s">
        <v>260</v>
      </c>
      <c r="H116" s="4"/>
      <c r="I116" s="3"/>
    </row>
    <row r="117" spans="1:15" x14ac:dyDescent="0.25">
      <c r="A117" s="38" t="s">
        <v>48</v>
      </c>
      <c r="B117" s="7" t="s">
        <v>216</v>
      </c>
      <c r="C117" s="38">
        <f>COUNTIFS($E$7:$E$48,A117)</f>
        <v>0</v>
      </c>
      <c r="H117" s="4"/>
      <c r="I117" s="3"/>
    </row>
    <row r="118" spans="1:15" x14ac:dyDescent="0.25">
      <c r="A118" s="38" t="s">
        <v>54</v>
      </c>
      <c r="B118" s="7" t="s">
        <v>219</v>
      </c>
      <c r="C118" s="38">
        <f t="shared" ref="C118:C120" si="0">COUNTIFS($E$7:$E$48,A118)</f>
        <v>0</v>
      </c>
      <c r="H118" s="4"/>
      <c r="I118" s="3"/>
    </row>
    <row r="119" spans="1:15" x14ac:dyDescent="0.25">
      <c r="A119" s="38" t="s">
        <v>86</v>
      </c>
      <c r="B119" s="7" t="s">
        <v>241</v>
      </c>
      <c r="C119" s="38">
        <f t="shared" si="0"/>
        <v>0</v>
      </c>
      <c r="H119" s="4"/>
      <c r="I119" s="3"/>
    </row>
    <row r="120" spans="1:15" x14ac:dyDescent="0.25">
      <c r="A120" s="38" t="s">
        <v>51</v>
      </c>
      <c r="B120" s="7" t="s">
        <v>209</v>
      </c>
      <c r="C120" s="38">
        <f t="shared" si="0"/>
        <v>0</v>
      </c>
      <c r="H120" s="4"/>
      <c r="I120" s="3"/>
    </row>
    <row r="121" spans="1:15" x14ac:dyDescent="0.25">
      <c r="H121" s="4"/>
      <c r="I121" s="3"/>
    </row>
    <row r="122" spans="1:15" ht="18.75" x14ac:dyDescent="0.25">
      <c r="A122" s="159" t="s">
        <v>261</v>
      </c>
      <c r="B122" s="160"/>
      <c r="C122" s="161"/>
      <c r="H122" s="4"/>
      <c r="I122" s="3"/>
    </row>
    <row r="123" spans="1:15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15" x14ac:dyDescent="0.25">
      <c r="A124" s="39" t="s">
        <v>48</v>
      </c>
      <c r="B124" s="1" t="s">
        <v>216</v>
      </c>
      <c r="C124" s="38">
        <f>COUNTIFS($E$7:$E$48,A124,$H$7:$H$48,"Trocar")</f>
        <v>0</v>
      </c>
      <c r="H124" s="4"/>
      <c r="I124" s="3"/>
    </row>
    <row r="125" spans="1:15" x14ac:dyDescent="0.25">
      <c r="A125" s="39" t="s">
        <v>54</v>
      </c>
      <c r="B125" s="1" t="s">
        <v>219</v>
      </c>
      <c r="C125" s="38">
        <f t="shared" ref="C125:C127" si="1">COUNTIFS($E$7:$E$48,A125,$H$7:$H$48,"Trocar")</f>
        <v>0</v>
      </c>
      <c r="H125" s="4"/>
      <c r="I125" s="3"/>
    </row>
    <row r="126" spans="1:15" x14ac:dyDescent="0.25">
      <c r="A126" s="39" t="s">
        <v>86</v>
      </c>
      <c r="B126" s="1" t="s">
        <v>241</v>
      </c>
      <c r="C126" s="38">
        <f t="shared" si="1"/>
        <v>0</v>
      </c>
      <c r="H126" s="4"/>
      <c r="I126" s="3"/>
    </row>
    <row r="127" spans="1:15" x14ac:dyDescent="0.25">
      <c r="A127" s="39" t="s">
        <v>51</v>
      </c>
      <c r="B127" s="1" t="s">
        <v>209</v>
      </c>
      <c r="C127" s="38">
        <f t="shared" si="1"/>
        <v>0</v>
      </c>
      <c r="H127" s="4"/>
      <c r="I127" s="3"/>
    </row>
    <row r="128" spans="1:15" x14ac:dyDescent="0.25">
      <c r="H128" s="4"/>
      <c r="I128" s="3"/>
    </row>
  </sheetData>
  <autoFilter ref="A6:O6" xr:uid="{29409446-0286-4617-8ECE-ACCA81EF7D93}">
    <sortState xmlns:xlrd2="http://schemas.microsoft.com/office/spreadsheetml/2017/richdata2" ref="A7:O44">
      <sortCondition ref="A6"/>
    </sortState>
  </autoFilter>
  <mergeCells count="17">
    <mergeCell ref="B61:I61"/>
    <mergeCell ref="A1:O1"/>
    <mergeCell ref="K5:N5"/>
    <mergeCell ref="A52:O52"/>
    <mergeCell ref="A53:O53"/>
    <mergeCell ref="A54:O54"/>
    <mergeCell ref="A55:O55"/>
    <mergeCell ref="A56:O56"/>
    <mergeCell ref="A57:O57"/>
    <mergeCell ref="A58:O58"/>
    <mergeCell ref="B59:I59"/>
    <mergeCell ref="B60:I60"/>
    <mergeCell ref="B62:I62"/>
    <mergeCell ref="B63:I63"/>
    <mergeCell ref="B64:I64"/>
    <mergeCell ref="A115:C115"/>
    <mergeCell ref="A122:C122"/>
  </mergeCells>
  <pageMargins left="0.23622047244094491" right="0.23622047244094491" top="0.15748031496062992" bottom="0.15748031496062992" header="0" footer="0"/>
  <pageSetup paperSize="9" scale="59" fitToHeight="0" orientation="landscape" horizontalDpi="4294967293" verticalDpi="4294967293" r:id="rId1"/>
  <rowBreaks count="1" manualBreakCount="1">
    <brk id="57" max="1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4697-96E3-419F-8994-7C82A4515724}">
  <sheetPr codeName="Planilha28">
    <tabColor rgb="FF00B0F0"/>
    <pageSetUpPr fitToPage="1"/>
  </sheetPr>
  <dimension ref="A1:O130"/>
  <sheetViews>
    <sheetView showGridLines="0" zoomScale="70" zoomScaleNormal="70" zoomScaleSheetLayoutView="55" workbookViewId="0">
      <selection activeCell="B124" sqref="B124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967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6" t="s">
        <v>174</v>
      </c>
      <c r="B7" s="16" t="s">
        <v>968</v>
      </c>
      <c r="C7" s="13" t="s">
        <v>60</v>
      </c>
      <c r="D7" s="16" t="s">
        <v>225</v>
      </c>
      <c r="E7" s="16" t="s">
        <v>51</v>
      </c>
      <c r="F7" s="17" t="s">
        <v>209</v>
      </c>
      <c r="G7" s="17" t="s">
        <v>5</v>
      </c>
      <c r="H7" s="16" t="s">
        <v>210</v>
      </c>
      <c r="I7" s="41"/>
      <c r="J7" s="1"/>
      <c r="K7" s="1"/>
      <c r="L7" s="1"/>
      <c r="M7" s="1"/>
      <c r="N7" s="1"/>
      <c r="O7" s="1"/>
    </row>
    <row r="8" spans="1:15" x14ac:dyDescent="0.25">
      <c r="A8" s="6" t="s">
        <v>174</v>
      </c>
      <c r="B8" s="6" t="s">
        <v>969</v>
      </c>
      <c r="C8" s="6" t="s">
        <v>63</v>
      </c>
      <c r="D8" s="6" t="s">
        <v>225</v>
      </c>
      <c r="E8" s="6" t="s">
        <v>51</v>
      </c>
      <c r="F8" s="8" t="s">
        <v>209</v>
      </c>
      <c r="G8" s="8" t="s">
        <v>5</v>
      </c>
      <c r="H8" s="6" t="s">
        <v>210</v>
      </c>
      <c r="I8" s="10"/>
      <c r="J8" s="6"/>
      <c r="K8" s="6"/>
      <c r="L8" s="6"/>
      <c r="M8" s="6"/>
      <c r="N8" s="6"/>
      <c r="O8" s="6"/>
    </row>
    <row r="9" spans="1:15" x14ac:dyDescent="0.25">
      <c r="A9" s="16" t="s">
        <v>174</v>
      </c>
      <c r="B9" s="16" t="s">
        <v>970</v>
      </c>
      <c r="C9" s="13" t="s">
        <v>66</v>
      </c>
      <c r="D9" s="16" t="s">
        <v>225</v>
      </c>
      <c r="E9" s="16" t="s">
        <v>51</v>
      </c>
      <c r="F9" s="17" t="s">
        <v>209</v>
      </c>
      <c r="G9" s="17" t="s">
        <v>5</v>
      </c>
      <c r="H9" s="16" t="s">
        <v>210</v>
      </c>
      <c r="I9" s="41"/>
      <c r="J9" s="1"/>
      <c r="K9" s="1"/>
      <c r="L9" s="1"/>
      <c r="M9" s="1"/>
      <c r="N9" s="1"/>
      <c r="O9" s="1"/>
    </row>
    <row r="10" spans="1:15" x14ac:dyDescent="0.25">
      <c r="A10" s="6" t="s">
        <v>174</v>
      </c>
      <c r="B10" s="6" t="s">
        <v>971</v>
      </c>
      <c r="C10" s="6" t="s">
        <v>70</v>
      </c>
      <c r="D10" s="6" t="s">
        <v>225</v>
      </c>
      <c r="E10" s="6" t="s">
        <v>51</v>
      </c>
      <c r="F10" s="8" t="s">
        <v>209</v>
      </c>
      <c r="G10" s="8" t="s">
        <v>5</v>
      </c>
      <c r="H10" s="6" t="s">
        <v>210</v>
      </c>
      <c r="I10" s="10"/>
      <c r="J10" s="6"/>
      <c r="K10" s="6"/>
      <c r="L10" s="6"/>
      <c r="M10" s="6"/>
      <c r="N10" s="6"/>
      <c r="O10" s="6"/>
    </row>
    <row r="11" spans="1:15" x14ac:dyDescent="0.25">
      <c r="A11" s="16" t="s">
        <v>174</v>
      </c>
      <c r="B11" s="16" t="s">
        <v>972</v>
      </c>
      <c r="C11" s="13" t="s">
        <v>74</v>
      </c>
      <c r="D11" s="16" t="s">
        <v>402</v>
      </c>
      <c r="E11" s="16" t="s">
        <v>48</v>
      </c>
      <c r="F11" s="17" t="s">
        <v>216</v>
      </c>
      <c r="G11" s="17" t="s">
        <v>6</v>
      </c>
      <c r="H11" s="16" t="s">
        <v>210</v>
      </c>
      <c r="I11" s="41"/>
      <c r="J11" s="1"/>
      <c r="K11" s="1"/>
      <c r="L11" s="1"/>
      <c r="M11" s="1"/>
      <c r="N11" s="1"/>
      <c r="O11" s="1"/>
    </row>
    <row r="12" spans="1:15" x14ac:dyDescent="0.25">
      <c r="A12" s="6" t="s">
        <v>174</v>
      </c>
      <c r="B12" s="6" t="s">
        <v>57</v>
      </c>
      <c r="C12" s="6" t="s">
        <v>53</v>
      </c>
      <c r="D12" s="6" t="s">
        <v>215</v>
      </c>
      <c r="E12" s="6" t="s">
        <v>54</v>
      </c>
      <c r="F12" s="8" t="s">
        <v>219</v>
      </c>
      <c r="G12" s="8" t="s">
        <v>6</v>
      </c>
      <c r="H12" s="6" t="s">
        <v>210</v>
      </c>
      <c r="I12" s="10"/>
      <c r="J12" s="6"/>
      <c r="K12" s="6"/>
      <c r="L12" s="6"/>
      <c r="M12" s="6"/>
      <c r="N12" s="6"/>
      <c r="O12" s="6"/>
    </row>
    <row r="13" spans="1:15" x14ac:dyDescent="0.25">
      <c r="A13" s="16" t="s">
        <v>174</v>
      </c>
      <c r="B13" s="16" t="s">
        <v>57</v>
      </c>
      <c r="C13" s="13" t="s">
        <v>58</v>
      </c>
      <c r="D13" s="16" t="s">
        <v>215</v>
      </c>
      <c r="E13" s="16" t="s">
        <v>54</v>
      </c>
      <c r="F13" s="17" t="s">
        <v>219</v>
      </c>
      <c r="G13" s="17" t="s">
        <v>6</v>
      </c>
      <c r="H13" s="16" t="s">
        <v>218</v>
      </c>
      <c r="I13" s="41"/>
      <c r="J13" s="1"/>
      <c r="K13" s="1"/>
      <c r="L13" s="1"/>
      <c r="M13" s="1"/>
      <c r="N13" s="1"/>
      <c r="O13" s="1"/>
    </row>
    <row r="14" spans="1:15" x14ac:dyDescent="0.25">
      <c r="A14" s="6" t="s">
        <v>174</v>
      </c>
      <c r="B14" s="6" t="s">
        <v>57</v>
      </c>
      <c r="C14" s="6" t="s">
        <v>56</v>
      </c>
      <c r="D14" s="6" t="s">
        <v>215</v>
      </c>
      <c r="E14" s="6" t="s">
        <v>54</v>
      </c>
      <c r="F14" s="8" t="s">
        <v>219</v>
      </c>
      <c r="G14" s="8" t="s">
        <v>6</v>
      </c>
      <c r="H14" s="6" t="s">
        <v>218</v>
      </c>
      <c r="I14" s="10"/>
      <c r="J14" s="6"/>
      <c r="K14" s="6"/>
      <c r="L14" s="6"/>
      <c r="M14" s="6"/>
      <c r="N14" s="6"/>
      <c r="O14" s="6"/>
    </row>
    <row r="15" spans="1:15" x14ac:dyDescent="0.25">
      <c r="A15" s="16" t="s">
        <v>174</v>
      </c>
      <c r="B15" s="16" t="s">
        <v>57</v>
      </c>
      <c r="C15" s="13" t="s">
        <v>47</v>
      </c>
      <c r="D15" s="16" t="s">
        <v>402</v>
      </c>
      <c r="E15" s="16" t="s">
        <v>48</v>
      </c>
      <c r="F15" s="17" t="s">
        <v>216</v>
      </c>
      <c r="G15" s="17" t="s">
        <v>5</v>
      </c>
      <c r="H15" s="16" t="s">
        <v>218</v>
      </c>
      <c r="I15" s="41"/>
      <c r="J15" s="1"/>
      <c r="K15" s="1"/>
      <c r="L15" s="1"/>
      <c r="M15" s="1"/>
      <c r="N15" s="1"/>
      <c r="O15" s="1"/>
    </row>
    <row r="16" spans="1:15" x14ac:dyDescent="0.25">
      <c r="A16" s="6" t="s">
        <v>174</v>
      </c>
      <c r="B16" s="6" t="s">
        <v>973</v>
      </c>
      <c r="C16" s="6" t="s">
        <v>99</v>
      </c>
      <c r="D16" s="6" t="s">
        <v>240</v>
      </c>
      <c r="E16" s="6" t="s">
        <v>86</v>
      </c>
      <c r="F16" s="8" t="s">
        <v>241</v>
      </c>
      <c r="G16" s="8" t="s">
        <v>5</v>
      </c>
      <c r="H16" s="6" t="s">
        <v>218</v>
      </c>
      <c r="I16" s="10"/>
      <c r="J16" s="6"/>
      <c r="K16" s="6"/>
      <c r="L16" s="6"/>
      <c r="M16" s="6"/>
      <c r="N16" s="6"/>
      <c r="O16" s="6"/>
    </row>
    <row r="17" spans="1:15" x14ac:dyDescent="0.25">
      <c r="A17" s="16" t="s">
        <v>174</v>
      </c>
      <c r="B17" s="16" t="s">
        <v>974</v>
      </c>
      <c r="C17" s="13" t="s">
        <v>72</v>
      </c>
      <c r="D17" s="16" t="s">
        <v>975</v>
      </c>
      <c r="E17" s="16" t="s">
        <v>131</v>
      </c>
      <c r="F17" s="17" t="s">
        <v>976</v>
      </c>
      <c r="G17" s="17" t="s">
        <v>5</v>
      </c>
      <c r="H17" s="16" t="s">
        <v>218</v>
      </c>
      <c r="I17" s="41"/>
      <c r="J17" s="1"/>
      <c r="K17" s="1"/>
      <c r="L17" s="1"/>
      <c r="M17" s="1"/>
      <c r="N17" s="1"/>
      <c r="O17" s="1"/>
    </row>
    <row r="18" spans="1:15" x14ac:dyDescent="0.25">
      <c r="A18" s="6" t="s">
        <v>68</v>
      </c>
      <c r="B18" s="6" t="s">
        <v>977</v>
      </c>
      <c r="C18" s="6" t="s">
        <v>121</v>
      </c>
      <c r="D18" s="6" t="s">
        <v>225</v>
      </c>
      <c r="E18" s="6" t="s">
        <v>51</v>
      </c>
      <c r="F18" s="8" t="s">
        <v>209</v>
      </c>
      <c r="G18" s="8" t="s">
        <v>5</v>
      </c>
      <c r="H18" s="6" t="s">
        <v>210</v>
      </c>
      <c r="I18" s="10"/>
      <c r="J18" s="6"/>
      <c r="K18" s="6"/>
      <c r="L18" s="6"/>
      <c r="M18" s="6"/>
      <c r="N18" s="6"/>
      <c r="O18" s="6"/>
    </row>
    <row r="19" spans="1:15" x14ac:dyDescent="0.25">
      <c r="A19" s="16" t="s">
        <v>68</v>
      </c>
      <c r="B19" s="16" t="s">
        <v>978</v>
      </c>
      <c r="C19" s="13" t="s">
        <v>124</v>
      </c>
      <c r="D19" s="16" t="s">
        <v>225</v>
      </c>
      <c r="E19" s="16" t="s">
        <v>51</v>
      </c>
      <c r="F19" s="17" t="s">
        <v>209</v>
      </c>
      <c r="G19" s="17" t="s">
        <v>5</v>
      </c>
      <c r="H19" s="16" t="s">
        <v>210</v>
      </c>
      <c r="I19" s="41"/>
      <c r="J19" s="1"/>
      <c r="K19" s="1"/>
      <c r="L19" s="1"/>
      <c r="M19" s="1"/>
      <c r="N19" s="1"/>
      <c r="O19" s="1"/>
    </row>
    <row r="20" spans="1:15" x14ac:dyDescent="0.25">
      <c r="A20" s="6" t="s">
        <v>68</v>
      </c>
      <c r="B20" s="6" t="s">
        <v>979</v>
      </c>
      <c r="C20" s="6" t="s">
        <v>127</v>
      </c>
      <c r="D20" s="6" t="s">
        <v>225</v>
      </c>
      <c r="E20" s="6" t="s">
        <v>51</v>
      </c>
      <c r="F20" s="8" t="s">
        <v>209</v>
      </c>
      <c r="G20" s="8" t="s">
        <v>5</v>
      </c>
      <c r="H20" s="6" t="s">
        <v>210</v>
      </c>
      <c r="I20" s="10"/>
      <c r="J20" s="6"/>
      <c r="K20" s="6"/>
      <c r="L20" s="6"/>
      <c r="M20" s="6"/>
      <c r="N20" s="6"/>
      <c r="O20" s="6"/>
    </row>
    <row r="21" spans="1:15" x14ac:dyDescent="0.25">
      <c r="A21" s="16" t="s">
        <v>68</v>
      </c>
      <c r="B21" s="16" t="s">
        <v>980</v>
      </c>
      <c r="C21" s="13" t="s">
        <v>128</v>
      </c>
      <c r="D21" s="16" t="s">
        <v>240</v>
      </c>
      <c r="E21" s="16" t="s">
        <v>86</v>
      </c>
      <c r="F21" s="17" t="s">
        <v>241</v>
      </c>
      <c r="G21" s="17" t="s">
        <v>5</v>
      </c>
      <c r="H21" s="16" t="s">
        <v>218</v>
      </c>
      <c r="I21" s="41"/>
      <c r="J21" s="1"/>
      <c r="K21" s="1"/>
      <c r="L21" s="1"/>
      <c r="M21" s="1"/>
      <c r="N21" s="1"/>
      <c r="O21" s="1"/>
    </row>
    <row r="22" spans="1:15" x14ac:dyDescent="0.25">
      <c r="A22" s="6" t="s">
        <v>68</v>
      </c>
      <c r="B22" s="6" t="s">
        <v>981</v>
      </c>
      <c r="C22" s="6" t="s">
        <v>142</v>
      </c>
      <c r="D22" s="6" t="s">
        <v>240</v>
      </c>
      <c r="E22" s="6" t="s">
        <v>86</v>
      </c>
      <c r="F22" s="8" t="s">
        <v>241</v>
      </c>
      <c r="G22" s="8" t="s">
        <v>5</v>
      </c>
      <c r="H22" s="6" t="s">
        <v>210</v>
      </c>
      <c r="I22" s="10"/>
      <c r="J22" s="6"/>
      <c r="K22" s="6"/>
      <c r="L22" s="6"/>
      <c r="M22" s="6"/>
      <c r="N22" s="6"/>
      <c r="O22" s="6"/>
    </row>
    <row r="23" spans="1:15" x14ac:dyDescent="0.25">
      <c r="A23" s="16" t="s">
        <v>68</v>
      </c>
      <c r="B23" s="16" t="s">
        <v>982</v>
      </c>
      <c r="C23" s="13" t="s">
        <v>146</v>
      </c>
      <c r="D23" s="16" t="s">
        <v>215</v>
      </c>
      <c r="E23" s="16" t="s">
        <v>54</v>
      </c>
      <c r="F23" s="17" t="s">
        <v>219</v>
      </c>
      <c r="G23" s="17" t="s">
        <v>6</v>
      </c>
      <c r="H23" s="16" t="s">
        <v>218</v>
      </c>
      <c r="I23" s="41"/>
      <c r="J23" s="1"/>
      <c r="K23" s="1"/>
      <c r="L23" s="1"/>
      <c r="M23" s="1"/>
      <c r="N23" s="1"/>
      <c r="O23" s="1"/>
    </row>
    <row r="24" spans="1:15" x14ac:dyDescent="0.25">
      <c r="A24" s="6" t="s">
        <v>68</v>
      </c>
      <c r="B24" s="6" t="s">
        <v>983</v>
      </c>
      <c r="C24" s="6" t="s">
        <v>83</v>
      </c>
      <c r="D24" s="6" t="s">
        <v>229</v>
      </c>
      <c r="E24" s="6" t="s">
        <v>80</v>
      </c>
      <c r="F24" s="8" t="s">
        <v>230</v>
      </c>
      <c r="G24" s="8" t="s">
        <v>5</v>
      </c>
      <c r="H24" s="6" t="s">
        <v>210</v>
      </c>
      <c r="I24" s="10"/>
      <c r="J24" s="6"/>
      <c r="K24" s="6"/>
      <c r="L24" s="6"/>
      <c r="M24" s="6"/>
      <c r="N24" s="6"/>
      <c r="O24" s="6"/>
    </row>
    <row r="25" spans="1:15" x14ac:dyDescent="0.25">
      <c r="A25" s="16" t="s">
        <v>68</v>
      </c>
      <c r="B25" s="16" t="s">
        <v>984</v>
      </c>
      <c r="C25" s="13" t="s">
        <v>88</v>
      </c>
      <c r="D25" s="16" t="s">
        <v>229</v>
      </c>
      <c r="E25" s="16" t="s">
        <v>80</v>
      </c>
      <c r="F25" s="17" t="s">
        <v>230</v>
      </c>
      <c r="G25" s="17" t="s">
        <v>5</v>
      </c>
      <c r="H25" s="16" t="s">
        <v>210</v>
      </c>
      <c r="I25" s="41"/>
      <c r="J25" s="1"/>
      <c r="K25" s="1"/>
      <c r="L25" s="1"/>
      <c r="M25" s="1"/>
      <c r="N25" s="1"/>
      <c r="O25" s="1"/>
    </row>
    <row r="26" spans="1:15" x14ac:dyDescent="0.25">
      <c r="A26" s="6" t="s">
        <v>68</v>
      </c>
      <c r="B26" s="6" t="s">
        <v>985</v>
      </c>
      <c r="C26" s="6" t="s">
        <v>92</v>
      </c>
      <c r="D26" s="6" t="s">
        <v>229</v>
      </c>
      <c r="E26" s="6" t="s">
        <v>80</v>
      </c>
      <c r="F26" s="8" t="s">
        <v>230</v>
      </c>
      <c r="G26" s="8" t="s">
        <v>5</v>
      </c>
      <c r="H26" s="6" t="s">
        <v>218</v>
      </c>
      <c r="I26" s="10"/>
      <c r="J26" s="6"/>
      <c r="K26" s="6"/>
      <c r="L26" s="6"/>
      <c r="M26" s="6"/>
      <c r="N26" s="6"/>
      <c r="O26" s="6"/>
    </row>
    <row r="27" spans="1:15" x14ac:dyDescent="0.25">
      <c r="A27" s="16" t="s">
        <v>68</v>
      </c>
      <c r="B27" s="16" t="s">
        <v>57</v>
      </c>
      <c r="C27" s="13" t="s">
        <v>95</v>
      </c>
      <c r="D27" s="16" t="s">
        <v>240</v>
      </c>
      <c r="E27" s="16" t="s">
        <v>86</v>
      </c>
      <c r="F27" s="17" t="s">
        <v>241</v>
      </c>
      <c r="G27" s="17" t="s">
        <v>5</v>
      </c>
      <c r="H27" s="16" t="s">
        <v>218</v>
      </c>
      <c r="I27" s="41"/>
      <c r="J27" s="1"/>
      <c r="K27" s="1"/>
      <c r="L27" s="1"/>
      <c r="M27" s="1"/>
      <c r="N27" s="1"/>
      <c r="O27" s="1"/>
    </row>
    <row r="28" spans="1:15" x14ac:dyDescent="0.25">
      <c r="A28" s="6" t="s">
        <v>68</v>
      </c>
      <c r="B28" s="6" t="s">
        <v>57</v>
      </c>
      <c r="C28" s="6" t="s">
        <v>102</v>
      </c>
      <c r="D28" s="6" t="s">
        <v>402</v>
      </c>
      <c r="E28" s="6" t="s">
        <v>48</v>
      </c>
      <c r="F28" s="8" t="s">
        <v>216</v>
      </c>
      <c r="G28" s="8" t="s">
        <v>6</v>
      </c>
      <c r="H28" s="6" t="s">
        <v>218</v>
      </c>
      <c r="I28" s="10"/>
      <c r="J28" s="6"/>
      <c r="K28" s="6"/>
      <c r="L28" s="6"/>
      <c r="M28" s="6"/>
      <c r="N28" s="6"/>
      <c r="O28" s="6"/>
    </row>
    <row r="29" spans="1:15" x14ac:dyDescent="0.25">
      <c r="A29" s="16" t="s">
        <v>68</v>
      </c>
      <c r="B29" s="16" t="s">
        <v>57</v>
      </c>
      <c r="C29" s="13" t="s">
        <v>105</v>
      </c>
      <c r="D29" s="16" t="s">
        <v>402</v>
      </c>
      <c r="E29" s="16" t="s">
        <v>48</v>
      </c>
      <c r="F29" s="17" t="s">
        <v>216</v>
      </c>
      <c r="G29" s="17" t="s">
        <v>6</v>
      </c>
      <c r="H29" s="16" t="s">
        <v>218</v>
      </c>
      <c r="I29" s="41"/>
      <c r="J29" s="1"/>
      <c r="K29" s="1"/>
      <c r="L29" s="1"/>
      <c r="M29" s="1"/>
      <c r="N29" s="1"/>
      <c r="O29" s="1"/>
    </row>
    <row r="30" spans="1:15" x14ac:dyDescent="0.25">
      <c r="A30" s="6" t="s">
        <v>68</v>
      </c>
      <c r="B30" s="6" t="s">
        <v>57</v>
      </c>
      <c r="C30" s="6" t="s">
        <v>108</v>
      </c>
      <c r="D30" s="6" t="s">
        <v>240</v>
      </c>
      <c r="E30" s="6" t="s">
        <v>86</v>
      </c>
      <c r="F30" s="8" t="s">
        <v>241</v>
      </c>
      <c r="G30" s="8" t="s">
        <v>5</v>
      </c>
      <c r="H30" s="6" t="s">
        <v>218</v>
      </c>
      <c r="I30" s="10"/>
      <c r="J30" s="6"/>
      <c r="K30" s="6"/>
      <c r="L30" s="6"/>
      <c r="M30" s="6"/>
      <c r="N30" s="6"/>
      <c r="O30" s="6"/>
    </row>
    <row r="31" spans="1:15" x14ac:dyDescent="0.25">
      <c r="A31" s="16" t="s">
        <v>68</v>
      </c>
      <c r="B31" s="16" t="s">
        <v>57</v>
      </c>
      <c r="C31" s="13" t="s">
        <v>110</v>
      </c>
      <c r="D31" s="16" t="s">
        <v>240</v>
      </c>
      <c r="E31" s="16" t="s">
        <v>86</v>
      </c>
      <c r="F31" s="17" t="s">
        <v>241</v>
      </c>
      <c r="G31" s="17" t="s">
        <v>5</v>
      </c>
      <c r="H31" s="16" t="s">
        <v>218</v>
      </c>
      <c r="I31" s="41"/>
      <c r="J31" s="1"/>
      <c r="K31" s="1"/>
      <c r="L31" s="1"/>
      <c r="M31" s="1"/>
      <c r="N31" s="1"/>
      <c r="O31" s="1"/>
    </row>
    <row r="32" spans="1:15" x14ac:dyDescent="0.25">
      <c r="A32" s="6" t="s">
        <v>68</v>
      </c>
      <c r="B32" s="6" t="s">
        <v>57</v>
      </c>
      <c r="C32" s="6" t="s">
        <v>113</v>
      </c>
      <c r="D32" s="6" t="s">
        <v>402</v>
      </c>
      <c r="E32" s="6" t="s">
        <v>48</v>
      </c>
      <c r="F32" s="8" t="s">
        <v>216</v>
      </c>
      <c r="G32" s="8" t="s">
        <v>6</v>
      </c>
      <c r="H32" s="6" t="s">
        <v>218</v>
      </c>
      <c r="I32" s="10"/>
      <c r="J32" s="6"/>
      <c r="K32" s="6"/>
      <c r="L32" s="6"/>
      <c r="M32" s="6"/>
      <c r="N32" s="6"/>
      <c r="O32" s="6"/>
    </row>
    <row r="33" spans="1:15" ht="18" customHeight="1" x14ac:dyDescent="0.25">
      <c r="A33" s="16" t="s">
        <v>68</v>
      </c>
      <c r="B33" s="16" t="s">
        <v>986</v>
      </c>
      <c r="C33" s="13" t="s">
        <v>149</v>
      </c>
      <c r="D33" s="16" t="s">
        <v>240</v>
      </c>
      <c r="E33" s="16" t="s">
        <v>86</v>
      </c>
      <c r="F33" s="17" t="s">
        <v>241</v>
      </c>
      <c r="G33" s="17" t="s">
        <v>5</v>
      </c>
      <c r="H33" s="16" t="s">
        <v>218</v>
      </c>
      <c r="I33" s="41"/>
      <c r="J33" s="1"/>
      <c r="K33" s="1"/>
      <c r="L33" s="1"/>
      <c r="M33" s="1"/>
      <c r="N33" s="1"/>
      <c r="O33" s="1"/>
    </row>
    <row r="34" spans="1:15" x14ac:dyDescent="0.25">
      <c r="A34" s="6" t="s">
        <v>68</v>
      </c>
      <c r="B34" s="6" t="s">
        <v>987</v>
      </c>
      <c r="C34" s="6" t="s">
        <v>134</v>
      </c>
      <c r="D34" s="6" t="s">
        <v>240</v>
      </c>
      <c r="E34" s="6" t="s">
        <v>86</v>
      </c>
      <c r="F34" s="8" t="s">
        <v>241</v>
      </c>
      <c r="G34" s="8" t="s">
        <v>5</v>
      </c>
      <c r="H34" s="6" t="s">
        <v>218</v>
      </c>
      <c r="I34" s="10"/>
      <c r="J34" s="6"/>
      <c r="K34" s="6"/>
      <c r="L34" s="6"/>
      <c r="M34" s="6"/>
      <c r="N34" s="6"/>
      <c r="O34" s="6"/>
    </row>
    <row r="35" spans="1:15" x14ac:dyDescent="0.25">
      <c r="A35" s="16" t="s">
        <v>68</v>
      </c>
      <c r="B35" s="16" t="s">
        <v>988</v>
      </c>
      <c r="C35" s="13" t="s">
        <v>79</v>
      </c>
      <c r="D35" s="16" t="s">
        <v>229</v>
      </c>
      <c r="E35" s="16" t="s">
        <v>80</v>
      </c>
      <c r="F35" s="17" t="s">
        <v>230</v>
      </c>
      <c r="G35" s="17" t="s">
        <v>5</v>
      </c>
      <c r="H35" s="16" t="s">
        <v>218</v>
      </c>
      <c r="I35" s="41"/>
      <c r="J35" s="1"/>
      <c r="K35" s="1"/>
      <c r="L35" s="1"/>
      <c r="M35" s="1"/>
      <c r="N35" s="1"/>
      <c r="O35" s="1"/>
    </row>
    <row r="36" spans="1:15" x14ac:dyDescent="0.25">
      <c r="A36" s="6" t="s">
        <v>68</v>
      </c>
      <c r="B36" s="6" t="s">
        <v>989</v>
      </c>
      <c r="C36" s="6" t="s">
        <v>117</v>
      </c>
      <c r="D36" s="6" t="s">
        <v>229</v>
      </c>
      <c r="E36" s="6" t="s">
        <v>80</v>
      </c>
      <c r="F36" s="8" t="s">
        <v>230</v>
      </c>
      <c r="G36" s="8" t="s">
        <v>5</v>
      </c>
      <c r="H36" s="6" t="s">
        <v>210</v>
      </c>
      <c r="I36" s="10"/>
      <c r="J36" s="6"/>
      <c r="K36" s="6"/>
      <c r="L36" s="6"/>
      <c r="M36" s="6"/>
      <c r="N36" s="6"/>
      <c r="O36" s="6"/>
    </row>
    <row r="37" spans="1:15" x14ac:dyDescent="0.25">
      <c r="A37" s="16"/>
      <c r="B37" s="16"/>
      <c r="C37" s="13"/>
      <c r="D37" s="16"/>
      <c r="E37" s="16"/>
      <c r="F37" s="17"/>
      <c r="G37" s="17"/>
      <c r="H37" s="16"/>
      <c r="I37" s="41"/>
      <c r="J37" s="1"/>
      <c r="K37" s="1"/>
      <c r="L37" s="1"/>
      <c r="M37" s="1"/>
      <c r="N37" s="1"/>
      <c r="O37" s="1"/>
    </row>
    <row r="38" spans="1:15" x14ac:dyDescent="0.25">
      <c r="A38" s="6"/>
      <c r="B38" s="6"/>
      <c r="C38" s="6"/>
      <c r="D38" s="6"/>
      <c r="E38" s="6"/>
      <c r="F38" s="8"/>
      <c r="G38" s="8"/>
      <c r="H38" s="6"/>
      <c r="I38" s="10"/>
      <c r="J38" s="6"/>
      <c r="K38" s="6"/>
      <c r="L38" s="6"/>
      <c r="M38" s="6"/>
      <c r="N38" s="6"/>
      <c r="O38" s="6"/>
    </row>
    <row r="39" spans="1:15" x14ac:dyDescent="0.25">
      <c r="A39" s="16"/>
      <c r="B39" s="16"/>
      <c r="C39" s="13"/>
      <c r="D39" s="16"/>
      <c r="E39" s="16"/>
      <c r="F39" s="17"/>
      <c r="G39" s="17"/>
      <c r="H39" s="16"/>
      <c r="I39" s="41"/>
      <c r="J39" s="1"/>
      <c r="K39" s="1"/>
      <c r="L39" s="1"/>
      <c r="M39" s="1"/>
      <c r="N39" s="1"/>
      <c r="O39" s="1"/>
    </row>
    <row r="40" spans="1:15" x14ac:dyDescent="0.25">
      <c r="A40" s="6"/>
      <c r="B40" s="6"/>
      <c r="C40" s="6"/>
      <c r="D40" s="6"/>
      <c r="E40" s="6"/>
      <c r="F40" s="8"/>
      <c r="G40" s="8"/>
      <c r="H40" s="6"/>
      <c r="I40" s="10"/>
      <c r="J40" s="6"/>
      <c r="K40" s="6"/>
      <c r="L40" s="6"/>
      <c r="M40" s="6"/>
      <c r="N40" s="6"/>
      <c r="O40" s="6"/>
    </row>
    <row r="41" spans="1:15" x14ac:dyDescent="0.25">
      <c r="A41" s="16"/>
      <c r="B41" s="16"/>
      <c r="C41" s="13"/>
      <c r="D41" s="16"/>
      <c r="E41" s="16"/>
      <c r="F41" s="17"/>
      <c r="G41" s="17"/>
      <c r="H41" s="16"/>
      <c r="I41" s="41"/>
      <c r="J41" s="1"/>
      <c r="K41" s="1"/>
      <c r="L41" s="1"/>
      <c r="M41" s="1"/>
      <c r="N41" s="1"/>
      <c r="O41" s="1"/>
    </row>
    <row r="42" spans="1:15" x14ac:dyDescent="0.25">
      <c r="A42" s="6"/>
      <c r="B42" s="6"/>
      <c r="C42" s="6"/>
      <c r="D42" s="6"/>
      <c r="E42" s="6"/>
      <c r="F42" s="8"/>
      <c r="G42" s="8"/>
      <c r="H42" s="6"/>
      <c r="I42" s="10"/>
      <c r="J42" s="6"/>
      <c r="K42" s="6"/>
      <c r="L42" s="6"/>
      <c r="M42" s="6"/>
      <c r="N42" s="6"/>
      <c r="O42" s="6"/>
    </row>
    <row r="43" spans="1:15" x14ac:dyDescent="0.25">
      <c r="A43" s="16"/>
      <c r="B43" s="16"/>
      <c r="C43" s="13"/>
      <c r="D43" s="16"/>
      <c r="E43" s="16"/>
      <c r="F43" s="17"/>
      <c r="G43" s="17"/>
      <c r="H43" s="16"/>
      <c r="I43" s="41"/>
      <c r="J43" s="1"/>
      <c r="K43" s="1"/>
      <c r="L43" s="1"/>
      <c r="M43" s="1"/>
      <c r="N43" s="1"/>
      <c r="O43" s="1"/>
    </row>
    <row r="44" spans="1:15" x14ac:dyDescent="0.25">
      <c r="A44" s="6"/>
      <c r="B44" s="6"/>
      <c r="C44" s="6"/>
      <c r="D44" s="6"/>
      <c r="E44" s="6"/>
      <c r="F44" s="8"/>
      <c r="G44" s="8"/>
      <c r="H44" s="6"/>
      <c r="I44" s="10"/>
      <c r="J44" s="6"/>
      <c r="K44" s="6"/>
      <c r="L44" s="6"/>
      <c r="M44" s="6"/>
      <c r="N44" s="6"/>
      <c r="O44" s="6"/>
    </row>
    <row r="45" spans="1:15" x14ac:dyDescent="0.25">
      <c r="A45" s="16"/>
      <c r="B45" s="16"/>
      <c r="C45" s="13"/>
      <c r="D45" s="16"/>
      <c r="E45" s="16"/>
      <c r="F45" s="17"/>
      <c r="G45" s="17"/>
      <c r="H45" s="16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6"/>
      <c r="C46" s="6"/>
      <c r="D46" s="6"/>
      <c r="E46" s="6"/>
      <c r="F46" s="8"/>
      <c r="G46" s="8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16"/>
      <c r="B47" s="16"/>
      <c r="C47" s="13"/>
      <c r="D47" s="16"/>
      <c r="E47" s="16"/>
      <c r="F47" s="17"/>
      <c r="G47" s="17"/>
      <c r="H47" s="16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6"/>
      <c r="C48" s="6"/>
      <c r="D48" s="6"/>
      <c r="E48" s="6"/>
      <c r="F48" s="8"/>
      <c r="G48" s="8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6"/>
      <c r="B49" s="16"/>
      <c r="C49" s="13"/>
      <c r="D49" s="16"/>
      <c r="E49" s="16"/>
      <c r="F49" s="17"/>
      <c r="G49" s="17"/>
      <c r="H49" s="16"/>
      <c r="I49" s="4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5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4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8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7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5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1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1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1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7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3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>
    <sortState xmlns:xlrd2="http://schemas.microsoft.com/office/spreadsheetml/2017/richdata2" ref="A7:O36">
      <sortCondition ref="A6:A36"/>
    </sortState>
  </autoFilter>
  <mergeCells count="17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B60:I60"/>
    <mergeCell ref="B61:I61"/>
    <mergeCell ref="B62:I62"/>
    <mergeCell ref="A113:C113"/>
    <mergeCell ref="A122:C122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FE74-A63C-4B9C-BFB5-9B9613B1F62F}">
  <sheetPr codeName="Planilha29">
    <tabColor rgb="FF00B0F0"/>
    <pageSetUpPr fitToPage="1"/>
  </sheetPr>
  <dimension ref="A1:O131"/>
  <sheetViews>
    <sheetView showGridLines="0" zoomScale="70" zoomScaleNormal="70" zoomScaleSheetLayoutView="70" workbookViewId="0">
      <selection activeCell="R9" sqref="R9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1069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/>
      <c r="N3" s="193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6" t="s">
        <v>49</v>
      </c>
      <c r="B7" s="16" t="s">
        <v>990</v>
      </c>
      <c r="C7" s="13" t="s">
        <v>60</v>
      </c>
      <c r="D7" s="16" t="s">
        <v>225</v>
      </c>
      <c r="E7" s="16" t="s">
        <v>51</v>
      </c>
      <c r="F7" s="17" t="s">
        <v>209</v>
      </c>
      <c r="G7" s="17" t="s">
        <v>5</v>
      </c>
      <c r="H7" s="16" t="s">
        <v>210</v>
      </c>
      <c r="I7" s="41"/>
      <c r="J7" s="1"/>
      <c r="K7" s="1"/>
      <c r="L7" s="1"/>
      <c r="M7" s="1"/>
      <c r="N7" s="1"/>
      <c r="O7" s="1"/>
    </row>
    <row r="8" spans="1:15" x14ac:dyDescent="0.25">
      <c r="A8" s="6" t="s">
        <v>49</v>
      </c>
      <c r="B8" s="6" t="s">
        <v>991</v>
      </c>
      <c r="C8" s="6" t="s">
        <v>63</v>
      </c>
      <c r="D8" s="6" t="s">
        <v>225</v>
      </c>
      <c r="E8" s="6" t="s">
        <v>51</v>
      </c>
      <c r="F8" s="8" t="s">
        <v>209</v>
      </c>
      <c r="G8" s="8" t="s">
        <v>5</v>
      </c>
      <c r="H8" s="6" t="s">
        <v>210</v>
      </c>
      <c r="I8" s="10"/>
      <c r="J8" s="6"/>
      <c r="K8" s="6"/>
      <c r="L8" s="6"/>
      <c r="M8" s="6"/>
      <c r="N8" s="6"/>
      <c r="O8" s="6"/>
    </row>
    <row r="9" spans="1:15" x14ac:dyDescent="0.25">
      <c r="A9" s="16" t="s">
        <v>49</v>
      </c>
      <c r="B9" s="16" t="s">
        <v>992</v>
      </c>
      <c r="C9" s="13" t="s">
        <v>66</v>
      </c>
      <c r="D9" s="16" t="s">
        <v>225</v>
      </c>
      <c r="E9" s="16" t="s">
        <v>51</v>
      </c>
      <c r="F9" s="17" t="s">
        <v>209</v>
      </c>
      <c r="G9" s="17" t="s">
        <v>5</v>
      </c>
      <c r="H9" s="16" t="s">
        <v>210</v>
      </c>
      <c r="I9" s="41"/>
      <c r="J9" s="1"/>
      <c r="K9" s="1"/>
      <c r="L9" s="1"/>
      <c r="M9" s="1"/>
      <c r="N9" s="1"/>
      <c r="O9" s="1"/>
    </row>
    <row r="10" spans="1:15" x14ac:dyDescent="0.25">
      <c r="A10" s="6" t="s">
        <v>49</v>
      </c>
      <c r="B10" s="6" t="s">
        <v>993</v>
      </c>
      <c r="C10" s="6" t="s">
        <v>70</v>
      </c>
      <c r="D10" s="6" t="s">
        <v>225</v>
      </c>
      <c r="E10" s="6" t="s">
        <v>51</v>
      </c>
      <c r="F10" s="8" t="s">
        <v>209</v>
      </c>
      <c r="G10" s="8" t="s">
        <v>5</v>
      </c>
      <c r="H10" s="6" t="s">
        <v>210</v>
      </c>
      <c r="I10" s="10"/>
      <c r="J10" s="6"/>
      <c r="K10" s="6"/>
      <c r="L10" s="6"/>
      <c r="M10" s="6"/>
      <c r="N10" s="6"/>
      <c r="O10" s="6"/>
    </row>
    <row r="11" spans="1:15" x14ac:dyDescent="0.25">
      <c r="A11" s="16" t="s">
        <v>49</v>
      </c>
      <c r="B11" s="16" t="s">
        <v>994</v>
      </c>
      <c r="C11" s="13" t="s">
        <v>995</v>
      </c>
      <c r="D11" s="16" t="s">
        <v>402</v>
      </c>
      <c r="E11" s="16" t="s">
        <v>48</v>
      </c>
      <c r="F11" s="17" t="s">
        <v>216</v>
      </c>
      <c r="G11" s="17" t="s">
        <v>6</v>
      </c>
      <c r="H11" s="16" t="s">
        <v>210</v>
      </c>
      <c r="I11" s="41"/>
      <c r="J11" s="1"/>
      <c r="K11" s="1"/>
      <c r="L11" s="1"/>
      <c r="M11" s="1"/>
      <c r="N11" s="1"/>
      <c r="O11" s="1"/>
    </row>
    <row r="12" spans="1:15" x14ac:dyDescent="0.25">
      <c r="A12" s="6" t="s">
        <v>49</v>
      </c>
      <c r="B12" s="6" t="s">
        <v>57</v>
      </c>
      <c r="C12" s="6" t="s">
        <v>53</v>
      </c>
      <c r="D12" s="6" t="s">
        <v>215</v>
      </c>
      <c r="E12" s="6" t="s">
        <v>54</v>
      </c>
      <c r="F12" s="8" t="s">
        <v>219</v>
      </c>
      <c r="G12" s="8" t="s">
        <v>6</v>
      </c>
      <c r="H12" s="6" t="s">
        <v>210</v>
      </c>
      <c r="I12" s="10"/>
      <c r="J12" s="6"/>
      <c r="K12" s="6"/>
      <c r="L12" s="6"/>
      <c r="M12" s="6"/>
      <c r="N12" s="6"/>
      <c r="O12" s="6"/>
    </row>
    <row r="13" spans="1:15" x14ac:dyDescent="0.25">
      <c r="A13" s="16" t="s">
        <v>49</v>
      </c>
      <c r="B13" s="16" t="s">
        <v>57</v>
      </c>
      <c r="C13" s="13" t="s">
        <v>58</v>
      </c>
      <c r="D13" s="16" t="s">
        <v>215</v>
      </c>
      <c r="E13" s="16" t="s">
        <v>54</v>
      </c>
      <c r="F13" s="17" t="s">
        <v>219</v>
      </c>
      <c r="G13" s="17" t="s">
        <v>6</v>
      </c>
      <c r="H13" s="16" t="s">
        <v>218</v>
      </c>
      <c r="I13" s="41"/>
      <c r="J13" s="1"/>
      <c r="K13" s="1"/>
      <c r="L13" s="1"/>
      <c r="M13" s="1"/>
      <c r="N13" s="1"/>
      <c r="O13" s="1"/>
    </row>
    <row r="14" spans="1:15" x14ac:dyDescent="0.25">
      <c r="A14" s="6" t="s">
        <v>49</v>
      </c>
      <c r="B14" s="6" t="s">
        <v>57</v>
      </c>
      <c r="C14" s="6" t="s">
        <v>56</v>
      </c>
      <c r="D14" s="6" t="s">
        <v>215</v>
      </c>
      <c r="E14" s="6" t="s">
        <v>54</v>
      </c>
      <c r="F14" s="8" t="s">
        <v>219</v>
      </c>
      <c r="G14" s="8" t="s">
        <v>6</v>
      </c>
      <c r="H14" s="6" t="s">
        <v>218</v>
      </c>
      <c r="I14" s="10"/>
      <c r="J14" s="6"/>
      <c r="K14" s="6"/>
      <c r="L14" s="6"/>
      <c r="M14" s="6"/>
      <c r="N14" s="6"/>
      <c r="O14" s="6"/>
    </row>
    <row r="15" spans="1:15" x14ac:dyDescent="0.25">
      <c r="A15" s="16" t="s">
        <v>49</v>
      </c>
      <c r="B15" s="16" t="s">
        <v>57</v>
      </c>
      <c r="C15" s="13" t="s">
        <v>47</v>
      </c>
      <c r="D15" s="16" t="s">
        <v>215</v>
      </c>
      <c r="E15" s="16" t="s">
        <v>48</v>
      </c>
      <c r="F15" s="17" t="s">
        <v>216</v>
      </c>
      <c r="G15" s="17" t="s">
        <v>5</v>
      </c>
      <c r="H15" s="16" t="s">
        <v>218</v>
      </c>
      <c r="I15" s="41"/>
      <c r="J15" s="1"/>
      <c r="K15" s="1"/>
      <c r="L15" s="1"/>
      <c r="M15" s="1"/>
      <c r="N15" s="1"/>
      <c r="O15" s="1"/>
    </row>
    <row r="16" spans="1:15" s="4" customFormat="1" x14ac:dyDescent="0.25">
      <c r="A16" s="6" t="s">
        <v>68</v>
      </c>
      <c r="B16" s="6" t="s">
        <v>996</v>
      </c>
      <c r="C16" s="6" t="s">
        <v>121</v>
      </c>
      <c r="D16" s="6" t="s">
        <v>225</v>
      </c>
      <c r="E16" s="6" t="s">
        <v>51</v>
      </c>
      <c r="F16" s="8" t="s">
        <v>209</v>
      </c>
      <c r="G16" s="8" t="s">
        <v>5</v>
      </c>
      <c r="H16" s="6" t="s">
        <v>210</v>
      </c>
      <c r="I16" s="10"/>
      <c r="J16" s="6"/>
      <c r="K16" s="6"/>
      <c r="L16" s="6"/>
      <c r="M16" s="6"/>
      <c r="N16" s="6"/>
      <c r="O16" s="6"/>
    </row>
    <row r="17" spans="1:15" x14ac:dyDescent="0.25">
      <c r="A17" s="16" t="s">
        <v>68</v>
      </c>
      <c r="B17" s="16" t="s">
        <v>997</v>
      </c>
      <c r="C17" s="13" t="s">
        <v>124</v>
      </c>
      <c r="D17" s="16" t="s">
        <v>225</v>
      </c>
      <c r="E17" s="16" t="s">
        <v>51</v>
      </c>
      <c r="F17" s="17" t="s">
        <v>209</v>
      </c>
      <c r="G17" s="17" t="s">
        <v>5</v>
      </c>
      <c r="H17" s="16" t="s">
        <v>210</v>
      </c>
      <c r="I17" s="41"/>
      <c r="J17" s="1"/>
      <c r="K17" s="1"/>
      <c r="L17" s="1"/>
      <c r="M17" s="1"/>
      <c r="N17" s="1"/>
      <c r="O17" s="1"/>
    </row>
    <row r="18" spans="1:15" x14ac:dyDescent="0.25">
      <c r="A18" s="6" t="s">
        <v>68</v>
      </c>
      <c r="B18" s="6" t="s">
        <v>998</v>
      </c>
      <c r="C18" s="6" t="s">
        <v>127</v>
      </c>
      <c r="D18" s="6" t="s">
        <v>999</v>
      </c>
      <c r="E18" s="6" t="s">
        <v>51</v>
      </c>
      <c r="F18" s="8" t="s">
        <v>209</v>
      </c>
      <c r="G18" s="8" t="s">
        <v>6</v>
      </c>
      <c r="H18" s="6" t="s">
        <v>210</v>
      </c>
      <c r="I18" s="10"/>
      <c r="J18" s="6"/>
      <c r="K18" s="6"/>
      <c r="L18" s="6"/>
      <c r="M18" s="6"/>
      <c r="N18" s="6"/>
      <c r="O18" s="6"/>
    </row>
    <row r="19" spans="1:15" x14ac:dyDescent="0.25">
      <c r="A19" s="16" t="s">
        <v>68</v>
      </c>
      <c r="B19" s="16" t="s">
        <v>1000</v>
      </c>
      <c r="C19" s="13" t="s">
        <v>83</v>
      </c>
      <c r="D19" s="16" t="s">
        <v>229</v>
      </c>
      <c r="E19" s="16" t="s">
        <v>80</v>
      </c>
      <c r="F19" s="17" t="s">
        <v>230</v>
      </c>
      <c r="G19" s="17" t="s">
        <v>5</v>
      </c>
      <c r="H19" s="16" t="s">
        <v>210</v>
      </c>
      <c r="I19" s="41"/>
      <c r="J19" s="1"/>
      <c r="K19" s="1"/>
      <c r="L19" s="1"/>
      <c r="M19" s="1"/>
      <c r="N19" s="1"/>
      <c r="O19" s="1"/>
    </row>
    <row r="20" spans="1:15" x14ac:dyDescent="0.25">
      <c r="A20" s="6" t="s">
        <v>68</v>
      </c>
      <c r="B20" s="6" t="s">
        <v>1001</v>
      </c>
      <c r="C20" s="6" t="s">
        <v>88</v>
      </c>
      <c r="D20" s="6" t="s">
        <v>229</v>
      </c>
      <c r="E20" s="6" t="s">
        <v>80</v>
      </c>
      <c r="F20" s="8" t="s">
        <v>230</v>
      </c>
      <c r="G20" s="8" t="s">
        <v>5</v>
      </c>
      <c r="H20" s="6" t="s">
        <v>210</v>
      </c>
      <c r="I20" s="10"/>
      <c r="J20" s="6"/>
      <c r="K20" s="6"/>
      <c r="L20" s="6"/>
      <c r="M20" s="6"/>
      <c r="N20" s="6"/>
      <c r="O20" s="6"/>
    </row>
    <row r="21" spans="1:15" x14ac:dyDescent="0.25">
      <c r="A21" s="16" t="s">
        <v>68</v>
      </c>
      <c r="B21" s="16" t="s">
        <v>1002</v>
      </c>
      <c r="C21" s="13" t="s">
        <v>92</v>
      </c>
      <c r="D21" s="16" t="s">
        <v>229</v>
      </c>
      <c r="E21" s="16" t="s">
        <v>80</v>
      </c>
      <c r="F21" s="17" t="s">
        <v>230</v>
      </c>
      <c r="G21" s="17" t="s">
        <v>5</v>
      </c>
      <c r="H21" s="16" t="s">
        <v>218</v>
      </c>
      <c r="I21" s="41"/>
      <c r="J21" s="1"/>
      <c r="K21" s="1"/>
      <c r="L21" s="1"/>
      <c r="M21" s="1"/>
      <c r="N21" s="1"/>
      <c r="O21" s="1"/>
    </row>
    <row r="22" spans="1:15" x14ac:dyDescent="0.25">
      <c r="A22" s="6" t="s">
        <v>68</v>
      </c>
      <c r="B22" s="6" t="s">
        <v>1003</v>
      </c>
      <c r="C22" s="6" t="s">
        <v>128</v>
      </c>
      <c r="D22" s="6" t="s">
        <v>240</v>
      </c>
      <c r="E22" s="6" t="s">
        <v>86</v>
      </c>
      <c r="F22" s="8" t="s">
        <v>241</v>
      </c>
      <c r="G22" s="8" t="s">
        <v>5</v>
      </c>
      <c r="H22" s="6" t="s">
        <v>218</v>
      </c>
      <c r="I22" s="10"/>
      <c r="J22" s="6"/>
      <c r="K22" s="6"/>
      <c r="L22" s="6"/>
      <c r="M22" s="6"/>
      <c r="N22" s="6"/>
      <c r="O22" s="6"/>
    </row>
    <row r="23" spans="1:15" x14ac:dyDescent="0.25">
      <c r="A23" s="16" t="s">
        <v>68</v>
      </c>
      <c r="B23" s="16" t="s">
        <v>1004</v>
      </c>
      <c r="C23" s="13" t="s">
        <v>142</v>
      </c>
      <c r="D23" s="16" t="s">
        <v>240</v>
      </c>
      <c r="E23" s="16" t="s">
        <v>86</v>
      </c>
      <c r="F23" s="17" t="s">
        <v>241</v>
      </c>
      <c r="G23" s="17" t="s">
        <v>5</v>
      </c>
      <c r="H23" s="16" t="s">
        <v>210</v>
      </c>
      <c r="I23" s="41"/>
      <c r="J23" s="1"/>
      <c r="K23" s="1"/>
      <c r="L23" s="1"/>
      <c r="M23" s="1"/>
      <c r="N23" s="1"/>
      <c r="O23" s="1"/>
    </row>
    <row r="24" spans="1:15" x14ac:dyDescent="0.25">
      <c r="A24" s="6" t="s">
        <v>68</v>
      </c>
      <c r="B24" s="6" t="s">
        <v>1005</v>
      </c>
      <c r="C24" s="6" t="s">
        <v>146</v>
      </c>
      <c r="D24" s="6" t="s">
        <v>215</v>
      </c>
      <c r="E24" s="6" t="s">
        <v>54</v>
      </c>
      <c r="F24" s="8" t="s">
        <v>219</v>
      </c>
      <c r="G24" s="8" t="s">
        <v>6</v>
      </c>
      <c r="H24" s="6" t="s">
        <v>218</v>
      </c>
      <c r="I24" s="10"/>
      <c r="J24" s="6"/>
      <c r="K24" s="6"/>
      <c r="L24" s="6"/>
      <c r="M24" s="6"/>
      <c r="N24" s="6"/>
      <c r="O24" s="6"/>
    </row>
    <row r="25" spans="1:15" x14ac:dyDescent="0.25">
      <c r="A25" s="16" t="s">
        <v>68</v>
      </c>
      <c r="B25" s="16" t="s">
        <v>57</v>
      </c>
      <c r="C25" s="13" t="s">
        <v>95</v>
      </c>
      <c r="D25" s="16" t="s">
        <v>240</v>
      </c>
      <c r="E25" s="16" t="s">
        <v>86</v>
      </c>
      <c r="F25" s="17" t="s">
        <v>241</v>
      </c>
      <c r="G25" s="17" t="s">
        <v>5</v>
      </c>
      <c r="H25" s="16" t="s">
        <v>218</v>
      </c>
      <c r="I25" s="41"/>
      <c r="J25" s="1"/>
      <c r="K25" s="1"/>
      <c r="L25" s="1"/>
      <c r="M25" s="1"/>
      <c r="N25" s="1"/>
      <c r="O25" s="1"/>
    </row>
    <row r="26" spans="1:15" x14ac:dyDescent="0.25">
      <c r="A26" s="6" t="s">
        <v>68</v>
      </c>
      <c r="B26" s="6" t="s">
        <v>57</v>
      </c>
      <c r="C26" s="6" t="s">
        <v>105</v>
      </c>
      <c r="D26" s="6" t="s">
        <v>402</v>
      </c>
      <c r="E26" s="6" t="s">
        <v>48</v>
      </c>
      <c r="F26" s="8" t="s">
        <v>216</v>
      </c>
      <c r="G26" s="8" t="s">
        <v>6</v>
      </c>
      <c r="H26" s="6" t="s">
        <v>218</v>
      </c>
      <c r="I26" s="10"/>
      <c r="J26" s="6"/>
      <c r="K26" s="6"/>
      <c r="L26" s="6"/>
      <c r="M26" s="6"/>
      <c r="N26" s="6"/>
      <c r="O26" s="6"/>
    </row>
    <row r="27" spans="1:15" x14ac:dyDescent="0.25">
      <c r="A27" s="16" t="s">
        <v>68</v>
      </c>
      <c r="B27" s="16" t="s">
        <v>57</v>
      </c>
      <c r="C27" s="13" t="s">
        <v>102</v>
      </c>
      <c r="D27" s="16" t="s">
        <v>402</v>
      </c>
      <c r="E27" s="16" t="s">
        <v>48</v>
      </c>
      <c r="F27" s="17" t="s">
        <v>216</v>
      </c>
      <c r="G27" s="17" t="s">
        <v>6</v>
      </c>
      <c r="H27" s="16" t="s">
        <v>218</v>
      </c>
      <c r="I27" s="41"/>
      <c r="J27" s="1"/>
      <c r="K27" s="1"/>
      <c r="L27" s="1"/>
      <c r="M27" s="1"/>
      <c r="N27" s="1"/>
      <c r="O27" s="1"/>
    </row>
    <row r="28" spans="1:15" x14ac:dyDescent="0.25">
      <c r="A28" s="6" t="s">
        <v>68</v>
      </c>
      <c r="B28" s="6" t="s">
        <v>57</v>
      </c>
      <c r="C28" s="6" t="s">
        <v>108</v>
      </c>
      <c r="D28" s="6" t="s">
        <v>240</v>
      </c>
      <c r="E28" s="6" t="s">
        <v>86</v>
      </c>
      <c r="F28" s="8" t="s">
        <v>241</v>
      </c>
      <c r="G28" s="8" t="s">
        <v>5</v>
      </c>
      <c r="H28" s="6" t="s">
        <v>218</v>
      </c>
      <c r="I28" s="10"/>
      <c r="J28" s="6"/>
      <c r="K28" s="6"/>
      <c r="L28" s="6"/>
      <c r="M28" s="6"/>
      <c r="N28" s="6"/>
      <c r="O28" s="6"/>
    </row>
    <row r="29" spans="1:15" x14ac:dyDescent="0.25">
      <c r="A29" s="16" t="s">
        <v>68</v>
      </c>
      <c r="B29" s="16" t="s">
        <v>57</v>
      </c>
      <c r="C29" s="13" t="s">
        <v>110</v>
      </c>
      <c r="D29" s="16" t="s">
        <v>240</v>
      </c>
      <c r="E29" s="16" t="s">
        <v>86</v>
      </c>
      <c r="F29" s="17" t="s">
        <v>241</v>
      </c>
      <c r="G29" s="17" t="s">
        <v>5</v>
      </c>
      <c r="H29" s="16" t="s">
        <v>218</v>
      </c>
      <c r="I29" s="41"/>
      <c r="J29" s="1"/>
      <c r="K29" s="1"/>
      <c r="L29" s="1"/>
      <c r="M29" s="1"/>
      <c r="N29" s="1"/>
      <c r="O29" s="1"/>
    </row>
    <row r="30" spans="1:15" x14ac:dyDescent="0.25">
      <c r="A30" s="6" t="s">
        <v>68</v>
      </c>
      <c r="B30" s="6" t="s">
        <v>57</v>
      </c>
      <c r="C30" s="6" t="s">
        <v>113</v>
      </c>
      <c r="D30" s="6" t="s">
        <v>215</v>
      </c>
      <c r="E30" s="6" t="s">
        <v>48</v>
      </c>
      <c r="F30" s="8" t="s">
        <v>216</v>
      </c>
      <c r="G30" s="8" t="s">
        <v>6</v>
      </c>
      <c r="H30" s="6" t="s">
        <v>218</v>
      </c>
      <c r="I30" s="10"/>
      <c r="J30" s="6"/>
      <c r="K30" s="6"/>
      <c r="L30" s="6"/>
      <c r="M30" s="6"/>
      <c r="N30" s="6"/>
      <c r="O30" s="6"/>
    </row>
    <row r="31" spans="1:15" x14ac:dyDescent="0.25">
      <c r="A31" s="16" t="s">
        <v>68</v>
      </c>
      <c r="B31" s="16" t="s">
        <v>1006</v>
      </c>
      <c r="C31" s="13" t="s">
        <v>99</v>
      </c>
      <c r="D31" s="16" t="s">
        <v>240</v>
      </c>
      <c r="E31" s="16" t="s">
        <v>86</v>
      </c>
      <c r="F31" s="17" t="s">
        <v>241</v>
      </c>
      <c r="G31" s="17" t="s">
        <v>5</v>
      </c>
      <c r="H31" s="16" t="s">
        <v>218</v>
      </c>
      <c r="I31" s="41"/>
      <c r="J31" s="1"/>
      <c r="K31" s="1"/>
      <c r="L31" s="1"/>
      <c r="M31" s="1"/>
      <c r="N31" s="1"/>
      <c r="O31" s="1"/>
    </row>
    <row r="32" spans="1:15" x14ac:dyDescent="0.25">
      <c r="A32" s="6" t="s">
        <v>68</v>
      </c>
      <c r="B32" s="6" t="s">
        <v>1007</v>
      </c>
      <c r="C32" s="6" t="s">
        <v>149</v>
      </c>
      <c r="D32" s="6" t="s">
        <v>240</v>
      </c>
      <c r="E32" s="6" t="s">
        <v>86</v>
      </c>
      <c r="F32" s="8" t="s">
        <v>241</v>
      </c>
      <c r="G32" s="8" t="s">
        <v>5</v>
      </c>
      <c r="H32" s="6" t="s">
        <v>218</v>
      </c>
      <c r="I32" s="10"/>
      <c r="J32" s="6"/>
      <c r="K32" s="6"/>
      <c r="L32" s="6"/>
      <c r="M32" s="6"/>
      <c r="N32" s="6"/>
      <c r="O32" s="6"/>
    </row>
    <row r="33" spans="1:15" ht="18" customHeight="1" x14ac:dyDescent="0.25">
      <c r="A33" s="16" t="s">
        <v>68</v>
      </c>
      <c r="B33" s="16" t="s">
        <v>1008</v>
      </c>
      <c r="C33" s="13" t="s">
        <v>134</v>
      </c>
      <c r="D33" s="16" t="s">
        <v>240</v>
      </c>
      <c r="E33" s="16" t="s">
        <v>86</v>
      </c>
      <c r="F33" s="17" t="s">
        <v>241</v>
      </c>
      <c r="G33" s="17" t="s">
        <v>5</v>
      </c>
      <c r="H33" s="16" t="s">
        <v>218</v>
      </c>
      <c r="I33" s="41"/>
      <c r="J33" s="1"/>
      <c r="K33" s="1"/>
      <c r="L33" s="1"/>
      <c r="M33" s="1"/>
      <c r="N33" s="1"/>
      <c r="O33" s="1"/>
    </row>
    <row r="34" spans="1:15" x14ac:dyDescent="0.25">
      <c r="A34" s="6" t="s">
        <v>68</v>
      </c>
      <c r="B34" s="6" t="s">
        <v>1009</v>
      </c>
      <c r="C34" s="6" t="s">
        <v>72</v>
      </c>
      <c r="D34" s="6" t="s">
        <v>975</v>
      </c>
      <c r="E34" s="6" t="s">
        <v>131</v>
      </c>
      <c r="F34" s="8" t="s">
        <v>976</v>
      </c>
      <c r="G34" s="8" t="s">
        <v>5</v>
      </c>
      <c r="H34" s="6" t="s">
        <v>218</v>
      </c>
      <c r="I34" s="10"/>
      <c r="J34" s="6"/>
      <c r="K34" s="6"/>
      <c r="L34" s="6"/>
      <c r="M34" s="6"/>
      <c r="N34" s="6"/>
      <c r="O34" s="6"/>
    </row>
    <row r="35" spans="1:15" x14ac:dyDescent="0.25">
      <c r="A35" s="16" t="s">
        <v>68</v>
      </c>
      <c r="B35" s="16" t="s">
        <v>1010</v>
      </c>
      <c r="C35" s="13" t="s">
        <v>79</v>
      </c>
      <c r="D35" s="16" t="s">
        <v>229</v>
      </c>
      <c r="E35" s="16" t="s">
        <v>80</v>
      </c>
      <c r="F35" s="17" t="s">
        <v>230</v>
      </c>
      <c r="G35" s="17" t="s">
        <v>5</v>
      </c>
      <c r="H35" s="16" t="s">
        <v>218</v>
      </c>
      <c r="I35" s="41"/>
      <c r="J35" s="1"/>
      <c r="K35" s="1"/>
      <c r="L35" s="1"/>
      <c r="M35" s="1"/>
      <c r="N35" s="1"/>
      <c r="O35" s="1"/>
    </row>
    <row r="36" spans="1:15" x14ac:dyDescent="0.25">
      <c r="A36" s="6" t="s">
        <v>68</v>
      </c>
      <c r="B36" s="6" t="s">
        <v>1011</v>
      </c>
      <c r="C36" s="6" t="s">
        <v>117</v>
      </c>
      <c r="D36" s="6" t="s">
        <v>229</v>
      </c>
      <c r="E36" s="6" t="s">
        <v>80</v>
      </c>
      <c r="F36" s="8" t="s">
        <v>230</v>
      </c>
      <c r="G36" s="8" t="s">
        <v>5</v>
      </c>
      <c r="H36" s="6" t="s">
        <v>210</v>
      </c>
      <c r="I36" s="10"/>
      <c r="J36" s="6"/>
      <c r="K36" s="6"/>
      <c r="L36" s="6"/>
      <c r="M36" s="6"/>
      <c r="N36" s="6"/>
      <c r="O36" s="6"/>
    </row>
    <row r="37" spans="1:15" x14ac:dyDescent="0.25">
      <c r="A37" s="16"/>
      <c r="B37" s="16"/>
      <c r="C37" s="13"/>
      <c r="D37" s="16"/>
      <c r="E37" s="16"/>
      <c r="F37" s="17"/>
      <c r="G37" s="17"/>
      <c r="H37" s="16"/>
      <c r="I37" s="41"/>
      <c r="J37" s="1"/>
      <c r="K37" s="1"/>
      <c r="L37" s="1"/>
      <c r="M37" s="1"/>
      <c r="N37" s="1"/>
      <c r="O37" s="1"/>
    </row>
    <row r="38" spans="1:15" x14ac:dyDescent="0.25">
      <c r="A38" s="6"/>
      <c r="B38" s="6"/>
      <c r="C38" s="6"/>
      <c r="D38" s="6"/>
      <c r="E38" s="6"/>
      <c r="F38" s="8"/>
      <c r="G38" s="8"/>
      <c r="H38" s="6"/>
      <c r="I38" s="10"/>
      <c r="J38" s="6"/>
      <c r="K38" s="6"/>
      <c r="L38" s="6"/>
      <c r="M38" s="6"/>
      <c r="N38" s="6"/>
      <c r="O38" s="6"/>
    </row>
    <row r="39" spans="1:15" x14ac:dyDescent="0.25">
      <c r="A39" s="16"/>
      <c r="B39" s="16"/>
      <c r="C39" s="13"/>
      <c r="D39" s="16"/>
      <c r="E39" s="16"/>
      <c r="F39" s="17"/>
      <c r="G39" s="17"/>
      <c r="H39" s="16"/>
      <c r="I39" s="41"/>
      <c r="J39" s="1"/>
      <c r="K39" s="1"/>
      <c r="L39" s="1"/>
      <c r="M39" s="1"/>
      <c r="N39" s="1"/>
      <c r="O39" s="1"/>
    </row>
    <row r="40" spans="1:15" x14ac:dyDescent="0.25">
      <c r="A40" s="6"/>
      <c r="B40" s="6"/>
      <c r="C40" s="6"/>
      <c r="D40" s="6"/>
      <c r="E40" s="6"/>
      <c r="F40" s="8"/>
      <c r="G40" s="8"/>
      <c r="H40" s="6"/>
      <c r="I40" s="10"/>
      <c r="J40" s="6"/>
      <c r="K40" s="6"/>
      <c r="L40" s="6"/>
      <c r="M40" s="6"/>
      <c r="N40" s="6"/>
      <c r="O40" s="6"/>
    </row>
    <row r="41" spans="1:15" x14ac:dyDescent="0.25">
      <c r="A41" s="16"/>
      <c r="B41" s="16"/>
      <c r="C41" s="13"/>
      <c r="D41" s="16"/>
      <c r="E41" s="16"/>
      <c r="F41" s="17"/>
      <c r="G41" s="17"/>
      <c r="H41" s="16"/>
      <c r="I41" s="41"/>
      <c r="J41" s="1"/>
      <c r="K41" s="1"/>
      <c r="L41" s="1"/>
      <c r="M41" s="1"/>
      <c r="N41" s="1"/>
      <c r="O41" s="1"/>
    </row>
    <row r="42" spans="1:15" x14ac:dyDescent="0.25">
      <c r="A42" s="6"/>
      <c r="B42" s="6"/>
      <c r="C42" s="6"/>
      <c r="D42" s="6"/>
      <c r="E42" s="6"/>
      <c r="F42" s="8"/>
      <c r="G42" s="8"/>
      <c r="H42" s="6"/>
      <c r="I42" s="10"/>
      <c r="J42" s="6"/>
      <c r="K42" s="6"/>
      <c r="L42" s="6"/>
      <c r="M42" s="6"/>
      <c r="N42" s="6"/>
      <c r="O42" s="6"/>
    </row>
    <row r="43" spans="1:15" x14ac:dyDescent="0.25">
      <c r="A43" s="16"/>
      <c r="B43" s="16"/>
      <c r="C43" s="13"/>
      <c r="D43" s="16"/>
      <c r="E43" s="16"/>
      <c r="F43" s="17"/>
      <c r="G43" s="17"/>
      <c r="H43" s="16"/>
      <c r="I43" s="41"/>
      <c r="J43" s="1"/>
      <c r="K43" s="1"/>
      <c r="L43" s="1"/>
      <c r="M43" s="1"/>
      <c r="N43" s="1"/>
      <c r="O43" s="1"/>
    </row>
    <row r="44" spans="1:15" x14ac:dyDescent="0.25">
      <c r="A44" s="6"/>
      <c r="B44" s="6"/>
      <c r="C44" s="6"/>
      <c r="D44" s="6"/>
      <c r="E44" s="6"/>
      <c r="F44" s="8"/>
      <c r="G44" s="8"/>
      <c r="H44" s="6"/>
      <c r="I44" s="10"/>
      <c r="J44" s="6"/>
      <c r="K44" s="6"/>
      <c r="L44" s="6"/>
      <c r="M44" s="6"/>
      <c r="N44" s="6"/>
      <c r="O44" s="6"/>
    </row>
    <row r="45" spans="1:15" x14ac:dyDescent="0.25">
      <c r="A45" s="16"/>
      <c r="B45" s="16"/>
      <c r="C45" s="13"/>
      <c r="D45" s="16"/>
      <c r="E45" s="16"/>
      <c r="F45" s="17"/>
      <c r="G45" s="17"/>
      <c r="H45" s="16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6"/>
      <c r="C46" s="6"/>
      <c r="D46" s="6"/>
      <c r="E46" s="6"/>
      <c r="F46" s="8"/>
      <c r="G46" s="8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16"/>
      <c r="B47" s="16"/>
      <c r="C47" s="13"/>
      <c r="D47" s="16"/>
      <c r="E47" s="16"/>
      <c r="F47" s="17"/>
      <c r="G47" s="17"/>
      <c r="H47" s="16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6"/>
      <c r="C48" s="6"/>
      <c r="D48" s="6"/>
      <c r="E48" s="6"/>
      <c r="F48" s="8"/>
      <c r="G48" s="8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6"/>
      <c r="B49" s="16"/>
      <c r="C49" s="13"/>
      <c r="D49" s="16"/>
      <c r="E49" s="16"/>
      <c r="F49" s="17"/>
      <c r="G49" s="17"/>
      <c r="H49" s="16"/>
      <c r="I49" s="4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5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>COUNTIFS($E$7:$E$46,A116)</f>
        <v>4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>COUNTIFS($E$7:$E$46,A117)</f>
        <v>8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>COUNTIFS($E$7:$E$46,A118)</f>
        <v>7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ref="C119:C121" si="0">COUNTIFS($E$7:$E$46,A119)</f>
        <v>5</v>
      </c>
      <c r="H119" s="4"/>
      <c r="I119" s="3"/>
    </row>
    <row r="120" spans="1:9" x14ac:dyDescent="0.25">
      <c r="A120" s="38" t="s">
        <v>131</v>
      </c>
      <c r="B120" s="7" t="s">
        <v>976</v>
      </c>
      <c r="C120" s="38">
        <f t="shared" si="0"/>
        <v>1</v>
      </c>
      <c r="H120" s="4"/>
      <c r="I120" s="3"/>
    </row>
    <row r="121" spans="1:9" x14ac:dyDescent="0.25">
      <c r="A121" s="38" t="s">
        <v>76</v>
      </c>
      <c r="B121" s="7" t="s">
        <v>222</v>
      </c>
      <c r="C121" s="38">
        <f t="shared" si="0"/>
        <v>0</v>
      </c>
      <c r="H121" s="4"/>
      <c r="I121" s="3"/>
    </row>
    <row r="122" spans="1:9" x14ac:dyDescent="0.25">
      <c r="H122" s="4"/>
      <c r="I122" s="3"/>
    </row>
    <row r="123" spans="1:9" ht="18.75" x14ac:dyDescent="0.25">
      <c r="A123" s="159" t="s">
        <v>261</v>
      </c>
      <c r="B123" s="160"/>
      <c r="C123" s="161"/>
      <c r="H123" s="4"/>
      <c r="I123" s="3"/>
    </row>
    <row r="124" spans="1:9" x14ac:dyDescent="0.25">
      <c r="A124" s="36" t="s">
        <v>43</v>
      </c>
      <c r="B124" s="37" t="s">
        <v>259</v>
      </c>
      <c r="C124" s="36" t="s">
        <v>260</v>
      </c>
      <c r="H124" s="4"/>
      <c r="I124" s="3"/>
    </row>
    <row r="125" spans="1:9" x14ac:dyDescent="0.25">
      <c r="A125" s="39" t="s">
        <v>48</v>
      </c>
      <c r="B125" s="1" t="s">
        <v>216</v>
      </c>
      <c r="C125" s="39">
        <f>COUNTIFS($E$7:$E$46,A125,$H$7:$H$46,"Trocar")</f>
        <v>1</v>
      </c>
      <c r="H125" s="4"/>
      <c r="I125" s="3"/>
    </row>
    <row r="126" spans="1:9" x14ac:dyDescent="0.25">
      <c r="A126" s="39" t="s">
        <v>54</v>
      </c>
      <c r="B126" s="1" t="s">
        <v>219</v>
      </c>
      <c r="C126" s="39">
        <f t="shared" ref="C126:C130" si="1">COUNTIFS($E$7:$E$46,A126,$H$7:$H$46,"Trocar")</f>
        <v>1</v>
      </c>
      <c r="H126" s="4"/>
      <c r="I126" s="3"/>
    </row>
    <row r="127" spans="1:9" x14ac:dyDescent="0.25">
      <c r="A127" s="39" t="s">
        <v>86</v>
      </c>
      <c r="B127" s="1" t="s">
        <v>241</v>
      </c>
      <c r="C127" s="39">
        <f t="shared" si="1"/>
        <v>1</v>
      </c>
      <c r="H127" s="4"/>
      <c r="I127" s="3"/>
    </row>
    <row r="128" spans="1:9" x14ac:dyDescent="0.25">
      <c r="A128" s="39" t="s">
        <v>51</v>
      </c>
      <c r="B128" s="1" t="s">
        <v>209</v>
      </c>
      <c r="C128" s="39">
        <f t="shared" si="1"/>
        <v>7</v>
      </c>
      <c r="H128" s="4"/>
      <c r="I128" s="3"/>
    </row>
    <row r="129" spans="1:9" x14ac:dyDescent="0.25">
      <c r="A129" s="39" t="s">
        <v>80</v>
      </c>
      <c r="B129" s="1" t="s">
        <v>230</v>
      </c>
      <c r="C129" s="39">
        <f t="shared" si="1"/>
        <v>3</v>
      </c>
      <c r="H129" s="4"/>
      <c r="I129" s="3"/>
    </row>
    <row r="130" spans="1:9" x14ac:dyDescent="0.25">
      <c r="A130" s="39" t="s">
        <v>76</v>
      </c>
      <c r="B130" s="1" t="s">
        <v>222</v>
      </c>
      <c r="C130" s="39">
        <f t="shared" si="1"/>
        <v>0</v>
      </c>
      <c r="H130" s="4"/>
      <c r="I130" s="3"/>
    </row>
    <row r="131" spans="1:9" x14ac:dyDescent="0.25">
      <c r="H131" s="4"/>
      <c r="I131" s="3"/>
    </row>
  </sheetData>
  <autoFilter ref="A6:O36" xr:uid="{29409446-0286-4617-8ECE-ACCA81EF7D93}">
    <sortState xmlns:xlrd2="http://schemas.microsoft.com/office/spreadsheetml/2017/richdata2" ref="A7:O36">
      <sortCondition ref="A6:A36"/>
    </sortState>
  </autoFilter>
  <mergeCells count="18">
    <mergeCell ref="B59:I59"/>
    <mergeCell ref="A1:O1"/>
    <mergeCell ref="K5:N5"/>
    <mergeCell ref="A50:O50"/>
    <mergeCell ref="A51:O51"/>
    <mergeCell ref="A52:O52"/>
    <mergeCell ref="A53:O53"/>
    <mergeCell ref="A54:O54"/>
    <mergeCell ref="A55:O55"/>
    <mergeCell ref="A56:O56"/>
    <mergeCell ref="B57:I57"/>
    <mergeCell ref="B58:I58"/>
    <mergeCell ref="M3:N3"/>
    <mergeCell ref="B60:I60"/>
    <mergeCell ref="B61:I61"/>
    <mergeCell ref="B62:I62"/>
    <mergeCell ref="A113:C113"/>
    <mergeCell ref="A123:C123"/>
  </mergeCells>
  <phoneticPr fontId="1" type="noConversion"/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86AF-4731-4CC3-BECD-5917EB83CD81}">
  <sheetPr>
    <tabColor rgb="FF00B0F0"/>
    <pageSetUpPr fitToPage="1"/>
  </sheetPr>
  <dimension ref="A1:O131"/>
  <sheetViews>
    <sheetView showGridLines="0" zoomScale="70" zoomScaleNormal="70" zoomScaleSheetLayoutView="70" workbookViewId="0">
      <selection activeCell="B8" sqref="B8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1073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/>
      <c r="N3" s="193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6"/>
      <c r="B7" s="16"/>
      <c r="C7" s="13"/>
      <c r="D7" s="16"/>
      <c r="E7" s="16"/>
      <c r="F7" s="17"/>
      <c r="G7" s="17"/>
      <c r="H7" s="16"/>
      <c r="I7" s="41"/>
      <c r="J7" s="1"/>
      <c r="K7" s="1"/>
      <c r="L7" s="1"/>
      <c r="M7" s="1"/>
      <c r="N7" s="1"/>
      <c r="O7" s="1"/>
    </row>
    <row r="8" spans="1:15" x14ac:dyDescent="0.25">
      <c r="A8" s="6"/>
      <c r="B8" s="6"/>
      <c r="C8" s="6"/>
      <c r="D8" s="6"/>
      <c r="E8" s="6"/>
      <c r="F8" s="8"/>
      <c r="G8" s="8"/>
      <c r="H8" s="6"/>
      <c r="I8" s="10"/>
      <c r="J8" s="6"/>
      <c r="K8" s="6"/>
      <c r="L8" s="6"/>
      <c r="M8" s="6"/>
      <c r="N8" s="6"/>
      <c r="O8" s="6"/>
    </row>
    <row r="9" spans="1:15" x14ac:dyDescent="0.25">
      <c r="A9" s="16"/>
      <c r="B9" s="16"/>
      <c r="C9" s="13"/>
      <c r="D9" s="16"/>
      <c r="E9" s="16"/>
      <c r="F9" s="17"/>
      <c r="G9" s="17"/>
      <c r="H9" s="16"/>
      <c r="I9" s="41"/>
      <c r="J9" s="1"/>
      <c r="K9" s="1"/>
      <c r="L9" s="1"/>
      <c r="M9" s="1"/>
      <c r="N9" s="1"/>
      <c r="O9" s="1"/>
    </row>
    <row r="10" spans="1:15" x14ac:dyDescent="0.25">
      <c r="A10" s="6"/>
      <c r="B10" s="6"/>
      <c r="C10" s="6"/>
      <c r="D10" s="6"/>
      <c r="E10" s="6"/>
      <c r="F10" s="8"/>
      <c r="G10" s="8"/>
      <c r="H10" s="6"/>
      <c r="I10" s="10"/>
      <c r="J10" s="6"/>
      <c r="K10" s="6"/>
      <c r="L10" s="6"/>
      <c r="M10" s="6"/>
      <c r="N10" s="6"/>
      <c r="O10" s="6"/>
    </row>
    <row r="11" spans="1:15" x14ac:dyDescent="0.25">
      <c r="A11" s="16"/>
      <c r="B11" s="16"/>
      <c r="C11" s="13"/>
      <c r="D11" s="16"/>
      <c r="E11" s="16"/>
      <c r="F11" s="17"/>
      <c r="G11" s="17"/>
      <c r="H11" s="16"/>
      <c r="I11" s="41"/>
      <c r="J11" s="1"/>
      <c r="K11" s="1"/>
      <c r="L11" s="1"/>
      <c r="M11" s="1"/>
      <c r="N11" s="1"/>
      <c r="O11" s="1"/>
    </row>
    <row r="12" spans="1:15" x14ac:dyDescent="0.25">
      <c r="A12" s="6"/>
      <c r="B12" s="6"/>
      <c r="C12" s="6"/>
      <c r="D12" s="6"/>
      <c r="E12" s="6"/>
      <c r="F12" s="8"/>
      <c r="G12" s="8"/>
      <c r="H12" s="6"/>
      <c r="I12" s="10"/>
      <c r="J12" s="6"/>
      <c r="K12" s="6"/>
      <c r="L12" s="6"/>
      <c r="M12" s="6"/>
      <c r="N12" s="6"/>
      <c r="O12" s="6"/>
    </row>
    <row r="13" spans="1:15" x14ac:dyDescent="0.25">
      <c r="A13" s="16"/>
      <c r="B13" s="16"/>
      <c r="C13" s="13"/>
      <c r="D13" s="16"/>
      <c r="E13" s="16"/>
      <c r="F13" s="17"/>
      <c r="G13" s="17"/>
      <c r="H13" s="16"/>
      <c r="I13" s="41"/>
      <c r="J13" s="1"/>
      <c r="K13" s="1"/>
      <c r="L13" s="1"/>
      <c r="M13" s="1"/>
      <c r="N13" s="1"/>
      <c r="O13" s="1"/>
    </row>
    <row r="14" spans="1:15" x14ac:dyDescent="0.25">
      <c r="A14" s="6"/>
      <c r="B14" s="6"/>
      <c r="C14" s="6"/>
      <c r="D14" s="6"/>
      <c r="E14" s="6"/>
      <c r="F14" s="8"/>
      <c r="G14" s="8"/>
      <c r="H14" s="6"/>
      <c r="I14" s="10"/>
      <c r="J14" s="6"/>
      <c r="K14" s="6"/>
      <c r="L14" s="6"/>
      <c r="M14" s="6"/>
      <c r="N14" s="6"/>
      <c r="O14" s="6"/>
    </row>
    <row r="15" spans="1:15" x14ac:dyDescent="0.25">
      <c r="A15" s="16"/>
      <c r="B15" s="16"/>
      <c r="C15" s="13"/>
      <c r="D15" s="16"/>
      <c r="E15" s="16"/>
      <c r="F15" s="17"/>
      <c r="G15" s="17"/>
      <c r="H15" s="16"/>
      <c r="I15" s="41"/>
      <c r="J15" s="1"/>
      <c r="K15" s="1"/>
      <c r="L15" s="1"/>
      <c r="M15" s="1"/>
      <c r="N15" s="1"/>
      <c r="O15" s="1"/>
    </row>
    <row r="16" spans="1:15" s="4" customFormat="1" x14ac:dyDescent="0.25">
      <c r="A16" s="6"/>
      <c r="B16" s="6"/>
      <c r="C16" s="6"/>
      <c r="D16" s="6"/>
      <c r="E16" s="6"/>
      <c r="F16" s="8"/>
      <c r="G16" s="8"/>
      <c r="H16" s="6"/>
      <c r="I16" s="10"/>
      <c r="J16" s="6"/>
      <c r="K16" s="6"/>
      <c r="L16" s="6"/>
      <c r="M16" s="6"/>
      <c r="N16" s="6"/>
      <c r="O16" s="6"/>
    </row>
    <row r="17" spans="1:15" x14ac:dyDescent="0.25">
      <c r="A17" s="16"/>
      <c r="B17" s="16"/>
      <c r="C17" s="13"/>
      <c r="D17" s="16"/>
      <c r="E17" s="16"/>
      <c r="F17" s="17"/>
      <c r="G17" s="17"/>
      <c r="H17" s="16"/>
      <c r="I17" s="41"/>
      <c r="J17" s="1"/>
      <c r="K17" s="1"/>
      <c r="L17" s="1"/>
      <c r="M17" s="1"/>
      <c r="N17" s="1"/>
      <c r="O17" s="1"/>
    </row>
    <row r="18" spans="1:15" x14ac:dyDescent="0.25">
      <c r="A18" s="6"/>
      <c r="B18" s="6"/>
      <c r="C18" s="6"/>
      <c r="D18" s="6"/>
      <c r="E18" s="6"/>
      <c r="F18" s="8"/>
      <c r="G18" s="8"/>
      <c r="H18" s="6"/>
      <c r="I18" s="10"/>
      <c r="J18" s="6"/>
      <c r="K18" s="6"/>
      <c r="L18" s="6"/>
      <c r="M18" s="6"/>
      <c r="N18" s="6"/>
      <c r="O18" s="6"/>
    </row>
    <row r="19" spans="1:15" x14ac:dyDescent="0.25">
      <c r="A19" s="16"/>
      <c r="B19" s="16"/>
      <c r="C19" s="13"/>
      <c r="D19" s="16"/>
      <c r="E19" s="16"/>
      <c r="F19" s="17"/>
      <c r="G19" s="17"/>
      <c r="H19" s="16"/>
      <c r="I19" s="41"/>
      <c r="J19" s="1"/>
      <c r="K19" s="1"/>
      <c r="L19" s="1"/>
      <c r="M19" s="1"/>
      <c r="N19" s="1"/>
      <c r="O19" s="1"/>
    </row>
    <row r="20" spans="1:15" x14ac:dyDescent="0.25">
      <c r="A20" s="6"/>
      <c r="B20" s="6"/>
      <c r="C20" s="6"/>
      <c r="D20" s="6"/>
      <c r="E20" s="6"/>
      <c r="F20" s="8"/>
      <c r="G20" s="8"/>
      <c r="H20" s="6"/>
      <c r="I20" s="10"/>
      <c r="J20" s="6"/>
      <c r="K20" s="6"/>
      <c r="L20" s="6"/>
      <c r="M20" s="6"/>
      <c r="N20" s="6"/>
      <c r="O20" s="6"/>
    </row>
    <row r="21" spans="1:15" x14ac:dyDescent="0.25">
      <c r="A21" s="16"/>
      <c r="B21" s="16"/>
      <c r="C21" s="13"/>
      <c r="D21" s="16"/>
      <c r="E21" s="16"/>
      <c r="F21" s="17"/>
      <c r="G21" s="17"/>
      <c r="H21" s="16"/>
      <c r="I21" s="41"/>
      <c r="J21" s="1"/>
      <c r="K21" s="1"/>
      <c r="L21" s="1"/>
      <c r="M21" s="1"/>
      <c r="N21" s="1"/>
      <c r="O21" s="1"/>
    </row>
    <row r="22" spans="1:15" x14ac:dyDescent="0.25">
      <c r="A22" s="6"/>
      <c r="B22" s="6"/>
      <c r="C22" s="6"/>
      <c r="D22" s="6"/>
      <c r="E22" s="6"/>
      <c r="F22" s="8"/>
      <c r="G22" s="8"/>
      <c r="H22" s="6"/>
      <c r="I22" s="10"/>
      <c r="J22" s="6"/>
      <c r="K22" s="6"/>
      <c r="L22" s="6"/>
      <c r="M22" s="6"/>
      <c r="N22" s="6"/>
      <c r="O22" s="6"/>
    </row>
    <row r="23" spans="1:15" x14ac:dyDescent="0.25">
      <c r="A23" s="16"/>
      <c r="B23" s="16"/>
      <c r="C23" s="13"/>
      <c r="D23" s="16"/>
      <c r="E23" s="16"/>
      <c r="F23" s="17"/>
      <c r="G23" s="17"/>
      <c r="H23" s="16"/>
      <c r="I23" s="41"/>
      <c r="J23" s="1"/>
      <c r="K23" s="1"/>
      <c r="L23" s="1"/>
      <c r="M23" s="1"/>
      <c r="N23" s="1"/>
      <c r="O23" s="1"/>
    </row>
    <row r="24" spans="1:15" x14ac:dyDescent="0.25">
      <c r="A24" s="6"/>
      <c r="B24" s="6"/>
      <c r="C24" s="6"/>
      <c r="D24" s="6"/>
      <c r="E24" s="6"/>
      <c r="F24" s="8"/>
      <c r="G24" s="8"/>
      <c r="H24" s="6"/>
      <c r="I24" s="10"/>
      <c r="J24" s="6"/>
      <c r="K24" s="6"/>
      <c r="L24" s="6"/>
      <c r="M24" s="6"/>
      <c r="N24" s="6"/>
      <c r="O24" s="6"/>
    </row>
    <row r="25" spans="1:15" x14ac:dyDescent="0.25">
      <c r="A25" s="16"/>
      <c r="B25" s="16"/>
      <c r="C25" s="13"/>
      <c r="D25" s="16"/>
      <c r="E25" s="16"/>
      <c r="F25" s="17"/>
      <c r="G25" s="17"/>
      <c r="H25" s="16"/>
      <c r="I25" s="41"/>
      <c r="J25" s="1"/>
      <c r="K25" s="1"/>
      <c r="L25" s="1"/>
      <c r="M25" s="1"/>
      <c r="N25" s="1"/>
      <c r="O25" s="1"/>
    </row>
    <row r="26" spans="1:15" x14ac:dyDescent="0.25">
      <c r="A26" s="6"/>
      <c r="B26" s="6"/>
      <c r="C26" s="6"/>
      <c r="D26" s="6"/>
      <c r="E26" s="6"/>
      <c r="F26" s="8"/>
      <c r="G26" s="8"/>
      <c r="H26" s="6"/>
      <c r="I26" s="10"/>
      <c r="J26" s="6"/>
      <c r="K26" s="6"/>
      <c r="L26" s="6"/>
      <c r="M26" s="6"/>
      <c r="N26" s="6"/>
      <c r="O26" s="6"/>
    </row>
    <row r="27" spans="1:15" x14ac:dyDescent="0.25">
      <c r="A27" s="16"/>
      <c r="B27" s="16"/>
      <c r="C27" s="13"/>
      <c r="D27" s="16"/>
      <c r="E27" s="16"/>
      <c r="F27" s="17"/>
      <c r="G27" s="17"/>
      <c r="H27" s="16"/>
      <c r="I27" s="41"/>
      <c r="J27" s="1"/>
      <c r="K27" s="1"/>
      <c r="L27" s="1"/>
      <c r="M27" s="1"/>
      <c r="N27" s="1"/>
      <c r="O27" s="1"/>
    </row>
    <row r="28" spans="1:15" x14ac:dyDescent="0.25">
      <c r="A28" s="6"/>
      <c r="B28" s="6"/>
      <c r="C28" s="6"/>
      <c r="D28" s="6"/>
      <c r="E28" s="6"/>
      <c r="F28" s="8"/>
      <c r="G28" s="8"/>
      <c r="H28" s="6"/>
      <c r="I28" s="10"/>
      <c r="J28" s="6"/>
      <c r="K28" s="6"/>
      <c r="L28" s="6"/>
      <c r="M28" s="6"/>
      <c r="N28" s="6"/>
      <c r="O28" s="6"/>
    </row>
    <row r="29" spans="1:15" x14ac:dyDescent="0.25">
      <c r="A29" s="16"/>
      <c r="B29" s="16"/>
      <c r="C29" s="13"/>
      <c r="D29" s="16"/>
      <c r="E29" s="16"/>
      <c r="F29" s="17"/>
      <c r="G29" s="17"/>
      <c r="H29" s="16"/>
      <c r="I29" s="41"/>
      <c r="J29" s="1"/>
      <c r="K29" s="1"/>
      <c r="L29" s="1"/>
      <c r="M29" s="1"/>
      <c r="N29" s="1"/>
      <c r="O29" s="1"/>
    </row>
    <row r="30" spans="1:15" x14ac:dyDescent="0.25">
      <c r="A30" s="6"/>
      <c r="B30" s="6"/>
      <c r="C30" s="6"/>
      <c r="D30" s="6"/>
      <c r="E30" s="6"/>
      <c r="F30" s="8"/>
      <c r="G30" s="8"/>
      <c r="H30" s="6"/>
      <c r="I30" s="10"/>
      <c r="J30" s="6"/>
      <c r="K30" s="6"/>
      <c r="L30" s="6"/>
      <c r="M30" s="6"/>
      <c r="N30" s="6"/>
      <c r="O30" s="6"/>
    </row>
    <row r="31" spans="1:15" x14ac:dyDescent="0.25">
      <c r="A31" s="16"/>
      <c r="B31" s="16"/>
      <c r="C31" s="13"/>
      <c r="D31" s="16"/>
      <c r="E31" s="16"/>
      <c r="F31" s="17"/>
      <c r="G31" s="17"/>
      <c r="H31" s="16"/>
      <c r="I31" s="41"/>
      <c r="J31" s="1"/>
      <c r="K31" s="1"/>
      <c r="L31" s="1"/>
      <c r="M31" s="1"/>
      <c r="N31" s="1"/>
      <c r="O31" s="1"/>
    </row>
    <row r="32" spans="1:15" x14ac:dyDescent="0.25">
      <c r="A32" s="6"/>
      <c r="B32" s="6"/>
      <c r="C32" s="6"/>
      <c r="D32" s="6"/>
      <c r="E32" s="6"/>
      <c r="F32" s="8"/>
      <c r="G32" s="8"/>
      <c r="H32" s="6"/>
      <c r="I32" s="10"/>
      <c r="J32" s="6"/>
      <c r="K32" s="6"/>
      <c r="L32" s="6"/>
      <c r="M32" s="6"/>
      <c r="N32" s="6"/>
      <c r="O32" s="6"/>
    </row>
    <row r="33" spans="1:15" ht="18" customHeight="1" x14ac:dyDescent="0.25">
      <c r="A33" s="16"/>
      <c r="B33" s="16"/>
      <c r="C33" s="13"/>
      <c r="D33" s="16"/>
      <c r="E33" s="16"/>
      <c r="F33" s="17"/>
      <c r="G33" s="17"/>
      <c r="H33" s="16"/>
      <c r="I33" s="41"/>
      <c r="J33" s="1"/>
      <c r="K33" s="1"/>
      <c r="L33" s="1"/>
      <c r="M33" s="1"/>
      <c r="N33" s="1"/>
      <c r="O33" s="1"/>
    </row>
    <row r="34" spans="1:15" x14ac:dyDescent="0.25">
      <c r="A34" s="6"/>
      <c r="B34" s="6"/>
      <c r="C34" s="6"/>
      <c r="D34" s="6"/>
      <c r="E34" s="6"/>
      <c r="F34" s="8"/>
      <c r="G34" s="8"/>
      <c r="H34" s="6"/>
      <c r="I34" s="10"/>
      <c r="J34" s="6"/>
      <c r="K34" s="6"/>
      <c r="L34" s="6"/>
      <c r="M34" s="6"/>
      <c r="N34" s="6"/>
      <c r="O34" s="6"/>
    </row>
    <row r="35" spans="1:15" x14ac:dyDescent="0.25">
      <c r="A35" s="16"/>
      <c r="B35" s="16"/>
      <c r="C35" s="13"/>
      <c r="D35" s="16"/>
      <c r="E35" s="16"/>
      <c r="F35" s="17"/>
      <c r="G35" s="17"/>
      <c r="H35" s="16"/>
      <c r="I35" s="41"/>
      <c r="J35" s="1"/>
      <c r="K35" s="1"/>
      <c r="L35" s="1"/>
      <c r="M35" s="1"/>
      <c r="N35" s="1"/>
      <c r="O35" s="1"/>
    </row>
    <row r="36" spans="1:15" x14ac:dyDescent="0.25">
      <c r="A36" s="6"/>
      <c r="B36" s="6"/>
      <c r="C36" s="6"/>
      <c r="D36" s="6"/>
      <c r="E36" s="6"/>
      <c r="F36" s="8"/>
      <c r="G36" s="8"/>
      <c r="H36" s="6"/>
      <c r="I36" s="10"/>
      <c r="J36" s="6"/>
      <c r="K36" s="6"/>
      <c r="L36" s="6"/>
      <c r="M36" s="6"/>
      <c r="N36" s="6"/>
      <c r="O36" s="6"/>
    </row>
    <row r="37" spans="1:15" x14ac:dyDescent="0.25">
      <c r="A37" s="16"/>
      <c r="B37" s="16"/>
      <c r="C37" s="13"/>
      <c r="D37" s="16"/>
      <c r="E37" s="16"/>
      <c r="F37" s="17"/>
      <c r="G37" s="17"/>
      <c r="H37" s="16"/>
      <c r="I37" s="41"/>
      <c r="J37" s="1"/>
      <c r="K37" s="1"/>
      <c r="L37" s="1"/>
      <c r="M37" s="1"/>
      <c r="N37" s="1"/>
      <c r="O37" s="1"/>
    </row>
    <row r="38" spans="1:15" x14ac:dyDescent="0.25">
      <c r="A38" s="6"/>
      <c r="B38" s="6"/>
      <c r="C38" s="6"/>
      <c r="D38" s="6"/>
      <c r="E38" s="6"/>
      <c r="F38" s="8"/>
      <c r="G38" s="8"/>
      <c r="H38" s="6"/>
      <c r="I38" s="10"/>
      <c r="J38" s="6"/>
      <c r="K38" s="6"/>
      <c r="L38" s="6"/>
      <c r="M38" s="6"/>
      <c r="N38" s="6"/>
      <c r="O38" s="6"/>
    </row>
    <row r="39" spans="1:15" x14ac:dyDescent="0.25">
      <c r="A39" s="16"/>
      <c r="B39" s="16"/>
      <c r="C39" s="13"/>
      <c r="D39" s="16"/>
      <c r="E39" s="16"/>
      <c r="F39" s="17"/>
      <c r="G39" s="17"/>
      <c r="H39" s="16"/>
      <c r="I39" s="41"/>
      <c r="J39" s="1"/>
      <c r="K39" s="1"/>
      <c r="L39" s="1"/>
      <c r="M39" s="1"/>
      <c r="N39" s="1"/>
      <c r="O39" s="1"/>
    </row>
    <row r="40" spans="1:15" x14ac:dyDescent="0.25">
      <c r="A40" s="6"/>
      <c r="B40" s="6"/>
      <c r="C40" s="6"/>
      <c r="D40" s="6"/>
      <c r="E40" s="6"/>
      <c r="F40" s="8"/>
      <c r="G40" s="8"/>
      <c r="H40" s="6"/>
      <c r="I40" s="10"/>
      <c r="J40" s="6"/>
      <c r="K40" s="6"/>
      <c r="L40" s="6"/>
      <c r="M40" s="6"/>
      <c r="N40" s="6"/>
      <c r="O40" s="6"/>
    </row>
    <row r="41" spans="1:15" x14ac:dyDescent="0.25">
      <c r="A41" s="16"/>
      <c r="B41" s="16"/>
      <c r="C41" s="13"/>
      <c r="D41" s="16"/>
      <c r="E41" s="16"/>
      <c r="F41" s="17"/>
      <c r="G41" s="17"/>
      <c r="H41" s="16"/>
      <c r="I41" s="41"/>
      <c r="J41" s="1"/>
      <c r="K41" s="1"/>
      <c r="L41" s="1"/>
      <c r="M41" s="1"/>
      <c r="N41" s="1"/>
      <c r="O41" s="1"/>
    </row>
    <row r="42" spans="1:15" x14ac:dyDescent="0.25">
      <c r="A42" s="6"/>
      <c r="B42" s="6"/>
      <c r="C42" s="6"/>
      <c r="D42" s="6"/>
      <c r="E42" s="6"/>
      <c r="F42" s="8"/>
      <c r="G42" s="8"/>
      <c r="H42" s="6"/>
      <c r="I42" s="10"/>
      <c r="J42" s="6"/>
      <c r="K42" s="6"/>
      <c r="L42" s="6"/>
      <c r="M42" s="6"/>
      <c r="N42" s="6"/>
      <c r="O42" s="6"/>
    </row>
    <row r="43" spans="1:15" x14ac:dyDescent="0.25">
      <c r="A43" s="16"/>
      <c r="B43" s="16"/>
      <c r="C43" s="13"/>
      <c r="D43" s="16"/>
      <c r="E43" s="16"/>
      <c r="F43" s="17"/>
      <c r="G43" s="17"/>
      <c r="H43" s="16"/>
      <c r="I43" s="41"/>
      <c r="J43" s="1"/>
      <c r="K43" s="1"/>
      <c r="L43" s="1"/>
      <c r="M43" s="1"/>
      <c r="N43" s="1"/>
      <c r="O43" s="1"/>
    </row>
    <row r="44" spans="1:15" x14ac:dyDescent="0.25">
      <c r="A44" s="6"/>
      <c r="B44" s="6"/>
      <c r="C44" s="6"/>
      <c r="D44" s="6"/>
      <c r="E44" s="6"/>
      <c r="F44" s="8"/>
      <c r="G44" s="8"/>
      <c r="H44" s="6"/>
      <c r="I44" s="10"/>
      <c r="J44" s="6"/>
      <c r="K44" s="6"/>
      <c r="L44" s="6"/>
      <c r="M44" s="6"/>
      <c r="N44" s="6"/>
      <c r="O44" s="6"/>
    </row>
    <row r="45" spans="1:15" x14ac:dyDescent="0.25">
      <c r="A45" s="16"/>
      <c r="B45" s="16"/>
      <c r="C45" s="13"/>
      <c r="D45" s="16"/>
      <c r="E45" s="16"/>
      <c r="F45" s="17"/>
      <c r="G45" s="17"/>
      <c r="H45" s="16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6"/>
      <c r="C46" s="6"/>
      <c r="D46" s="6"/>
      <c r="E46" s="6"/>
      <c r="F46" s="8"/>
      <c r="G46" s="8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16"/>
      <c r="B47" s="16"/>
      <c r="C47" s="13"/>
      <c r="D47" s="16"/>
      <c r="E47" s="16"/>
      <c r="F47" s="17"/>
      <c r="G47" s="17"/>
      <c r="H47" s="16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6"/>
      <c r="C48" s="6"/>
      <c r="D48" s="6"/>
      <c r="E48" s="6"/>
      <c r="F48" s="8"/>
      <c r="G48" s="8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6"/>
      <c r="B49" s="16"/>
      <c r="C49" s="13"/>
      <c r="D49" s="16"/>
      <c r="E49" s="16"/>
      <c r="F49" s="17"/>
      <c r="G49" s="17"/>
      <c r="H49" s="16"/>
      <c r="I49" s="4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>COUNTIFS($E$7:$E$46,A117)</f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>COUNTIFS($E$7:$E$46,A118)</f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ref="C119:C121" si="0">COUNTIFS($E$7:$E$46,A119)</f>
        <v>0</v>
      </c>
      <c r="H119" s="4"/>
      <c r="I119" s="3"/>
    </row>
    <row r="120" spans="1:9" x14ac:dyDescent="0.25">
      <c r="A120" s="38" t="s">
        <v>131</v>
      </c>
      <c r="B120" s="7" t="s">
        <v>976</v>
      </c>
      <c r="C120" s="38">
        <f t="shared" si="0"/>
        <v>0</v>
      </c>
      <c r="H120" s="4"/>
      <c r="I120" s="3"/>
    </row>
    <row r="121" spans="1:9" x14ac:dyDescent="0.25">
      <c r="A121" s="38" t="s">
        <v>76</v>
      </c>
      <c r="B121" s="7" t="s">
        <v>222</v>
      </c>
      <c r="C121" s="38">
        <f t="shared" si="0"/>
        <v>0</v>
      </c>
      <c r="H121" s="4"/>
      <c r="I121" s="3"/>
    </row>
    <row r="122" spans="1:9" x14ac:dyDescent="0.25">
      <c r="H122" s="4"/>
      <c r="I122" s="3"/>
    </row>
    <row r="123" spans="1:9" ht="18.75" x14ac:dyDescent="0.25">
      <c r="A123" s="159" t="s">
        <v>261</v>
      </c>
      <c r="B123" s="160"/>
      <c r="C123" s="161"/>
      <c r="H123" s="4"/>
      <c r="I123" s="3"/>
    </row>
    <row r="124" spans="1:9" x14ac:dyDescent="0.25">
      <c r="A124" s="36" t="s">
        <v>43</v>
      </c>
      <c r="B124" s="37" t="s">
        <v>259</v>
      </c>
      <c r="C124" s="36" t="s">
        <v>260</v>
      </c>
      <c r="H124" s="4"/>
      <c r="I124" s="3"/>
    </row>
    <row r="125" spans="1:9" x14ac:dyDescent="0.25">
      <c r="A125" s="39" t="s">
        <v>48</v>
      </c>
      <c r="B125" s="1" t="s">
        <v>216</v>
      </c>
      <c r="C125" s="39">
        <f>COUNTIFS($E$7:$E$46,A125,$H$7:$H$46,"Trocar")</f>
        <v>0</v>
      </c>
      <c r="H125" s="4"/>
      <c r="I125" s="3"/>
    </row>
    <row r="126" spans="1:9" x14ac:dyDescent="0.25">
      <c r="A126" s="39" t="s">
        <v>54</v>
      </c>
      <c r="B126" s="1" t="s">
        <v>219</v>
      </c>
      <c r="C126" s="39">
        <f t="shared" ref="C126:C130" si="1">COUNTIFS($E$7:$E$46,A126,$H$7:$H$46,"Trocar")</f>
        <v>0</v>
      </c>
      <c r="H126" s="4"/>
      <c r="I126" s="3"/>
    </row>
    <row r="127" spans="1:9" x14ac:dyDescent="0.25">
      <c r="A127" s="39" t="s">
        <v>86</v>
      </c>
      <c r="B127" s="1" t="s">
        <v>241</v>
      </c>
      <c r="C127" s="39">
        <f t="shared" si="1"/>
        <v>0</v>
      </c>
      <c r="H127" s="4"/>
      <c r="I127" s="3"/>
    </row>
    <row r="128" spans="1:9" x14ac:dyDescent="0.25">
      <c r="A128" s="39" t="s">
        <v>51</v>
      </c>
      <c r="B128" s="1" t="s">
        <v>209</v>
      </c>
      <c r="C128" s="39">
        <f t="shared" si="1"/>
        <v>0</v>
      </c>
      <c r="H128" s="4"/>
      <c r="I128" s="3"/>
    </row>
    <row r="129" spans="1:9" x14ac:dyDescent="0.25">
      <c r="A129" s="39" t="s">
        <v>80</v>
      </c>
      <c r="B129" s="1" t="s">
        <v>230</v>
      </c>
      <c r="C129" s="39">
        <f t="shared" si="1"/>
        <v>0</v>
      </c>
      <c r="H129" s="4"/>
      <c r="I129" s="3"/>
    </row>
    <row r="130" spans="1:9" x14ac:dyDescent="0.25">
      <c r="A130" s="39" t="s">
        <v>76</v>
      </c>
      <c r="B130" s="1" t="s">
        <v>222</v>
      </c>
      <c r="C130" s="39">
        <f t="shared" si="1"/>
        <v>0</v>
      </c>
      <c r="H130" s="4"/>
      <c r="I130" s="3"/>
    </row>
    <row r="131" spans="1:9" x14ac:dyDescent="0.25">
      <c r="H131" s="4"/>
      <c r="I131" s="3"/>
    </row>
  </sheetData>
  <autoFilter ref="A6:O36" xr:uid="{29409446-0286-4617-8ECE-ACCA81EF7D93}">
    <sortState xmlns:xlrd2="http://schemas.microsoft.com/office/spreadsheetml/2017/richdata2" ref="A7:O36">
      <sortCondition ref="A6:A36"/>
    </sortState>
  </autoFilter>
  <mergeCells count="18">
    <mergeCell ref="A123:C123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  <mergeCell ref="A52:O52"/>
    <mergeCell ref="A1:O1"/>
    <mergeCell ref="M3:N3"/>
    <mergeCell ref="K5:N5"/>
    <mergeCell ref="A50:O50"/>
    <mergeCell ref="A51:O51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820D-562E-4146-ACCE-0AA3B225C81A}">
  <sheetPr>
    <tabColor rgb="FF00B0F0"/>
    <pageSetUpPr fitToPage="1"/>
  </sheetPr>
  <dimension ref="A1:O131"/>
  <sheetViews>
    <sheetView showGridLines="0" zoomScale="70" zoomScaleNormal="70" zoomScaleSheetLayoutView="70" workbookViewId="0">
      <selection activeCell="C7" sqref="C7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193</v>
      </c>
      <c r="B3" s="33" t="s">
        <v>1074</v>
      </c>
      <c r="C3" s="26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193"/>
      <c r="N3" s="193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199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16"/>
      <c r="B7" s="16"/>
      <c r="C7" s="13"/>
      <c r="D7" s="16"/>
      <c r="E7" s="16"/>
      <c r="F7" s="17"/>
      <c r="G7" s="17"/>
      <c r="H7" s="16"/>
      <c r="I7" s="41"/>
      <c r="J7" s="1"/>
      <c r="K7" s="1"/>
      <c r="L7" s="1"/>
      <c r="M7" s="1"/>
      <c r="N7" s="1"/>
      <c r="O7" s="1"/>
    </row>
    <row r="8" spans="1:15" x14ac:dyDescent="0.25">
      <c r="A8" s="6"/>
      <c r="B8" s="6"/>
      <c r="C8" s="6"/>
      <c r="D8" s="6"/>
      <c r="E8" s="6"/>
      <c r="F8" s="8"/>
      <c r="G8" s="8"/>
      <c r="H8" s="6"/>
      <c r="I8" s="10"/>
      <c r="J8" s="6"/>
      <c r="K8" s="6"/>
      <c r="L8" s="6"/>
      <c r="M8" s="6"/>
      <c r="N8" s="6"/>
      <c r="O8" s="6"/>
    </row>
    <row r="9" spans="1:15" x14ac:dyDescent="0.25">
      <c r="A9" s="16"/>
      <c r="B9" s="16"/>
      <c r="C9" s="13"/>
      <c r="D9" s="16"/>
      <c r="E9" s="16"/>
      <c r="F9" s="17"/>
      <c r="G9" s="17"/>
      <c r="H9" s="16"/>
      <c r="I9" s="41"/>
      <c r="J9" s="1"/>
      <c r="K9" s="1"/>
      <c r="L9" s="1"/>
      <c r="M9" s="1"/>
      <c r="N9" s="1"/>
      <c r="O9" s="1"/>
    </row>
    <row r="10" spans="1:15" x14ac:dyDescent="0.25">
      <c r="A10" s="6"/>
      <c r="B10" s="6"/>
      <c r="C10" s="6"/>
      <c r="D10" s="6"/>
      <c r="E10" s="6"/>
      <c r="F10" s="8"/>
      <c r="G10" s="8"/>
      <c r="H10" s="6"/>
      <c r="I10" s="10"/>
      <c r="J10" s="6"/>
      <c r="K10" s="6"/>
      <c r="L10" s="6"/>
      <c r="M10" s="6"/>
      <c r="N10" s="6"/>
      <c r="O10" s="6"/>
    </row>
    <row r="11" spans="1:15" x14ac:dyDescent="0.25">
      <c r="A11" s="16"/>
      <c r="B11" s="16"/>
      <c r="C11" s="13"/>
      <c r="D11" s="16"/>
      <c r="E11" s="16"/>
      <c r="F11" s="17"/>
      <c r="G11" s="17"/>
      <c r="H11" s="16"/>
      <c r="I11" s="41"/>
      <c r="J11" s="1"/>
      <c r="K11" s="1"/>
      <c r="L11" s="1"/>
      <c r="M11" s="1"/>
      <c r="N11" s="1"/>
      <c r="O11" s="1"/>
    </row>
    <row r="12" spans="1:15" x14ac:dyDescent="0.25">
      <c r="A12" s="6"/>
      <c r="B12" s="6"/>
      <c r="C12" s="6"/>
      <c r="D12" s="6"/>
      <c r="E12" s="6"/>
      <c r="F12" s="8"/>
      <c r="G12" s="8"/>
      <c r="H12" s="6"/>
      <c r="I12" s="10"/>
      <c r="J12" s="6"/>
      <c r="K12" s="6"/>
      <c r="L12" s="6"/>
      <c r="M12" s="6"/>
      <c r="N12" s="6"/>
      <c r="O12" s="6"/>
    </row>
    <row r="13" spans="1:15" x14ac:dyDescent="0.25">
      <c r="A13" s="16"/>
      <c r="B13" s="16"/>
      <c r="C13" s="13"/>
      <c r="D13" s="16"/>
      <c r="E13" s="16"/>
      <c r="F13" s="17"/>
      <c r="G13" s="17"/>
      <c r="H13" s="16"/>
      <c r="I13" s="41"/>
      <c r="J13" s="1"/>
      <c r="K13" s="1"/>
      <c r="L13" s="1"/>
      <c r="M13" s="1"/>
      <c r="N13" s="1"/>
      <c r="O13" s="1"/>
    </row>
    <row r="14" spans="1:15" x14ac:dyDescent="0.25">
      <c r="A14" s="6"/>
      <c r="B14" s="6"/>
      <c r="C14" s="6"/>
      <c r="D14" s="6"/>
      <c r="E14" s="6"/>
      <c r="F14" s="8"/>
      <c r="G14" s="8"/>
      <c r="H14" s="6"/>
      <c r="I14" s="10"/>
      <c r="J14" s="6"/>
      <c r="K14" s="6"/>
      <c r="L14" s="6"/>
      <c r="M14" s="6"/>
      <c r="N14" s="6"/>
      <c r="O14" s="6"/>
    </row>
    <row r="15" spans="1:15" x14ac:dyDescent="0.25">
      <c r="A15" s="16"/>
      <c r="B15" s="16"/>
      <c r="C15" s="13"/>
      <c r="D15" s="16"/>
      <c r="E15" s="16"/>
      <c r="F15" s="17"/>
      <c r="G15" s="17"/>
      <c r="H15" s="16"/>
      <c r="I15" s="41"/>
      <c r="J15" s="1"/>
      <c r="K15" s="1"/>
      <c r="L15" s="1"/>
      <c r="M15" s="1"/>
      <c r="N15" s="1"/>
      <c r="O15" s="1"/>
    </row>
    <row r="16" spans="1:15" s="4" customFormat="1" x14ac:dyDescent="0.25">
      <c r="A16" s="6"/>
      <c r="B16" s="6"/>
      <c r="C16" s="6"/>
      <c r="D16" s="6"/>
      <c r="E16" s="6"/>
      <c r="F16" s="8"/>
      <c r="G16" s="8"/>
      <c r="H16" s="6"/>
      <c r="I16" s="10"/>
      <c r="J16" s="6"/>
      <c r="K16" s="6"/>
      <c r="L16" s="6"/>
      <c r="M16" s="6"/>
      <c r="N16" s="6"/>
      <c r="O16" s="6"/>
    </row>
    <row r="17" spans="1:15" x14ac:dyDescent="0.25">
      <c r="A17" s="16"/>
      <c r="B17" s="16"/>
      <c r="C17" s="13"/>
      <c r="D17" s="16"/>
      <c r="E17" s="16"/>
      <c r="F17" s="17"/>
      <c r="G17" s="17"/>
      <c r="H17" s="16"/>
      <c r="I17" s="41"/>
      <c r="J17" s="1"/>
      <c r="K17" s="1"/>
      <c r="L17" s="1"/>
      <c r="M17" s="1"/>
      <c r="N17" s="1"/>
      <c r="O17" s="1"/>
    </row>
    <row r="18" spans="1:15" x14ac:dyDescent="0.25">
      <c r="A18" s="6"/>
      <c r="B18" s="6"/>
      <c r="C18" s="6"/>
      <c r="D18" s="6"/>
      <c r="E18" s="6"/>
      <c r="F18" s="8"/>
      <c r="G18" s="8"/>
      <c r="H18" s="6"/>
      <c r="I18" s="10"/>
      <c r="J18" s="6"/>
      <c r="K18" s="6"/>
      <c r="L18" s="6"/>
      <c r="M18" s="6"/>
      <c r="N18" s="6"/>
      <c r="O18" s="6"/>
    </row>
    <row r="19" spans="1:15" x14ac:dyDescent="0.25">
      <c r="A19" s="16"/>
      <c r="B19" s="16"/>
      <c r="C19" s="13"/>
      <c r="D19" s="16"/>
      <c r="E19" s="16"/>
      <c r="F19" s="17"/>
      <c r="G19" s="17"/>
      <c r="H19" s="16"/>
      <c r="I19" s="41"/>
      <c r="J19" s="1"/>
      <c r="K19" s="1"/>
      <c r="L19" s="1"/>
      <c r="M19" s="1"/>
      <c r="N19" s="1"/>
      <c r="O19" s="1"/>
    </row>
    <row r="20" spans="1:15" x14ac:dyDescent="0.25">
      <c r="A20" s="6"/>
      <c r="B20" s="6"/>
      <c r="C20" s="6"/>
      <c r="D20" s="6"/>
      <c r="E20" s="6"/>
      <c r="F20" s="8"/>
      <c r="G20" s="8"/>
      <c r="H20" s="6"/>
      <c r="I20" s="10"/>
      <c r="J20" s="6"/>
      <c r="K20" s="6"/>
      <c r="L20" s="6"/>
      <c r="M20" s="6"/>
      <c r="N20" s="6"/>
      <c r="O20" s="6"/>
    </row>
    <row r="21" spans="1:15" x14ac:dyDescent="0.25">
      <c r="A21" s="16"/>
      <c r="B21" s="16"/>
      <c r="C21" s="13"/>
      <c r="D21" s="16"/>
      <c r="E21" s="16"/>
      <c r="F21" s="17"/>
      <c r="G21" s="17"/>
      <c r="H21" s="16"/>
      <c r="I21" s="41"/>
      <c r="J21" s="1"/>
      <c r="K21" s="1"/>
      <c r="L21" s="1"/>
      <c r="M21" s="1"/>
      <c r="N21" s="1"/>
      <c r="O21" s="1"/>
    </row>
    <row r="22" spans="1:15" x14ac:dyDescent="0.25">
      <c r="A22" s="6"/>
      <c r="B22" s="6"/>
      <c r="C22" s="6"/>
      <c r="D22" s="6"/>
      <c r="E22" s="6"/>
      <c r="F22" s="8"/>
      <c r="G22" s="8"/>
      <c r="H22" s="6"/>
      <c r="I22" s="10"/>
      <c r="J22" s="6"/>
      <c r="K22" s="6"/>
      <c r="L22" s="6"/>
      <c r="M22" s="6"/>
      <c r="N22" s="6"/>
      <c r="O22" s="6"/>
    </row>
    <row r="23" spans="1:15" x14ac:dyDescent="0.25">
      <c r="A23" s="16"/>
      <c r="B23" s="16"/>
      <c r="C23" s="13"/>
      <c r="D23" s="16"/>
      <c r="E23" s="16"/>
      <c r="F23" s="17"/>
      <c r="G23" s="17"/>
      <c r="H23" s="16"/>
      <c r="I23" s="41"/>
      <c r="J23" s="1"/>
      <c r="K23" s="1"/>
      <c r="L23" s="1"/>
      <c r="M23" s="1"/>
      <c r="N23" s="1"/>
      <c r="O23" s="1"/>
    </row>
    <row r="24" spans="1:15" x14ac:dyDescent="0.25">
      <c r="A24" s="6"/>
      <c r="B24" s="6"/>
      <c r="C24" s="6"/>
      <c r="D24" s="6"/>
      <c r="E24" s="6"/>
      <c r="F24" s="8"/>
      <c r="G24" s="8"/>
      <c r="H24" s="6"/>
      <c r="I24" s="10"/>
      <c r="J24" s="6"/>
      <c r="K24" s="6"/>
      <c r="L24" s="6"/>
      <c r="M24" s="6"/>
      <c r="N24" s="6"/>
      <c r="O24" s="6"/>
    </row>
    <row r="25" spans="1:15" x14ac:dyDescent="0.25">
      <c r="A25" s="16"/>
      <c r="B25" s="16"/>
      <c r="C25" s="13"/>
      <c r="D25" s="16"/>
      <c r="E25" s="16"/>
      <c r="F25" s="17"/>
      <c r="G25" s="17"/>
      <c r="H25" s="16"/>
      <c r="I25" s="41"/>
      <c r="J25" s="1"/>
      <c r="K25" s="1"/>
      <c r="L25" s="1"/>
      <c r="M25" s="1"/>
      <c r="N25" s="1"/>
      <c r="O25" s="1"/>
    </row>
    <row r="26" spans="1:15" x14ac:dyDescent="0.25">
      <c r="A26" s="6"/>
      <c r="B26" s="6"/>
      <c r="C26" s="6"/>
      <c r="D26" s="6"/>
      <c r="E26" s="6"/>
      <c r="F26" s="8"/>
      <c r="G26" s="8"/>
      <c r="H26" s="6"/>
      <c r="I26" s="10"/>
      <c r="J26" s="6"/>
      <c r="K26" s="6"/>
      <c r="L26" s="6"/>
      <c r="M26" s="6"/>
      <c r="N26" s="6"/>
      <c r="O26" s="6"/>
    </row>
    <row r="27" spans="1:15" x14ac:dyDescent="0.25">
      <c r="A27" s="16"/>
      <c r="B27" s="16"/>
      <c r="C27" s="13"/>
      <c r="D27" s="16"/>
      <c r="E27" s="16"/>
      <c r="F27" s="17"/>
      <c r="G27" s="17"/>
      <c r="H27" s="16"/>
      <c r="I27" s="41"/>
      <c r="J27" s="1"/>
      <c r="K27" s="1"/>
      <c r="L27" s="1"/>
      <c r="M27" s="1"/>
      <c r="N27" s="1"/>
      <c r="O27" s="1"/>
    </row>
    <row r="28" spans="1:15" x14ac:dyDescent="0.25">
      <c r="A28" s="6"/>
      <c r="B28" s="6"/>
      <c r="C28" s="6"/>
      <c r="D28" s="6"/>
      <c r="E28" s="6"/>
      <c r="F28" s="8"/>
      <c r="G28" s="8"/>
      <c r="H28" s="6"/>
      <c r="I28" s="10"/>
      <c r="J28" s="6"/>
      <c r="K28" s="6"/>
      <c r="L28" s="6"/>
      <c r="M28" s="6"/>
      <c r="N28" s="6"/>
      <c r="O28" s="6"/>
    </row>
    <row r="29" spans="1:15" x14ac:dyDescent="0.25">
      <c r="A29" s="16"/>
      <c r="B29" s="16"/>
      <c r="C29" s="13"/>
      <c r="D29" s="16"/>
      <c r="E29" s="16"/>
      <c r="F29" s="17"/>
      <c r="G29" s="17"/>
      <c r="H29" s="16"/>
      <c r="I29" s="41"/>
      <c r="J29" s="1"/>
      <c r="K29" s="1"/>
      <c r="L29" s="1"/>
      <c r="M29" s="1"/>
      <c r="N29" s="1"/>
      <c r="O29" s="1"/>
    </row>
    <row r="30" spans="1:15" x14ac:dyDescent="0.25">
      <c r="A30" s="6"/>
      <c r="B30" s="6"/>
      <c r="C30" s="6"/>
      <c r="D30" s="6"/>
      <c r="E30" s="6"/>
      <c r="F30" s="8"/>
      <c r="G30" s="8"/>
      <c r="H30" s="6"/>
      <c r="I30" s="10"/>
      <c r="J30" s="6"/>
      <c r="K30" s="6"/>
      <c r="L30" s="6"/>
      <c r="M30" s="6"/>
      <c r="N30" s="6"/>
      <c r="O30" s="6"/>
    </row>
    <row r="31" spans="1:15" x14ac:dyDescent="0.25">
      <c r="A31" s="16"/>
      <c r="B31" s="16"/>
      <c r="C31" s="13"/>
      <c r="D31" s="16"/>
      <c r="E31" s="16"/>
      <c r="F31" s="17"/>
      <c r="G31" s="17"/>
      <c r="H31" s="16"/>
      <c r="I31" s="41"/>
      <c r="J31" s="1"/>
      <c r="K31" s="1"/>
      <c r="L31" s="1"/>
      <c r="M31" s="1"/>
      <c r="N31" s="1"/>
      <c r="O31" s="1"/>
    </row>
    <row r="32" spans="1:15" x14ac:dyDescent="0.25">
      <c r="A32" s="6"/>
      <c r="B32" s="6"/>
      <c r="C32" s="6"/>
      <c r="D32" s="6"/>
      <c r="E32" s="6"/>
      <c r="F32" s="8"/>
      <c r="G32" s="8"/>
      <c r="H32" s="6"/>
      <c r="I32" s="10"/>
      <c r="J32" s="6"/>
      <c r="K32" s="6"/>
      <c r="L32" s="6"/>
      <c r="M32" s="6"/>
      <c r="N32" s="6"/>
      <c r="O32" s="6"/>
    </row>
    <row r="33" spans="1:15" ht="18" customHeight="1" x14ac:dyDescent="0.25">
      <c r="A33" s="16"/>
      <c r="B33" s="16"/>
      <c r="C33" s="13"/>
      <c r="D33" s="16"/>
      <c r="E33" s="16"/>
      <c r="F33" s="17"/>
      <c r="G33" s="17"/>
      <c r="H33" s="16"/>
      <c r="I33" s="41"/>
      <c r="J33" s="1"/>
      <c r="K33" s="1"/>
      <c r="L33" s="1"/>
      <c r="M33" s="1"/>
      <c r="N33" s="1"/>
      <c r="O33" s="1"/>
    </row>
    <row r="34" spans="1:15" x14ac:dyDescent="0.25">
      <c r="A34" s="6"/>
      <c r="B34" s="6"/>
      <c r="C34" s="6"/>
      <c r="D34" s="6"/>
      <c r="E34" s="6"/>
      <c r="F34" s="8"/>
      <c r="G34" s="8"/>
      <c r="H34" s="6"/>
      <c r="I34" s="10"/>
      <c r="J34" s="6"/>
      <c r="K34" s="6"/>
      <c r="L34" s="6"/>
      <c r="M34" s="6"/>
      <c r="N34" s="6"/>
      <c r="O34" s="6"/>
    </row>
    <row r="35" spans="1:15" x14ac:dyDescent="0.25">
      <c r="A35" s="16"/>
      <c r="B35" s="16"/>
      <c r="C35" s="13"/>
      <c r="D35" s="16"/>
      <c r="E35" s="16"/>
      <c r="F35" s="17"/>
      <c r="G35" s="17"/>
      <c r="H35" s="16"/>
      <c r="I35" s="41"/>
      <c r="J35" s="1"/>
      <c r="K35" s="1"/>
      <c r="L35" s="1"/>
      <c r="M35" s="1"/>
      <c r="N35" s="1"/>
      <c r="O35" s="1"/>
    </row>
    <row r="36" spans="1:15" x14ac:dyDescent="0.25">
      <c r="A36" s="6"/>
      <c r="B36" s="6"/>
      <c r="C36" s="6"/>
      <c r="D36" s="6"/>
      <c r="E36" s="6"/>
      <c r="F36" s="8"/>
      <c r="G36" s="8"/>
      <c r="H36" s="6"/>
      <c r="I36" s="10"/>
      <c r="J36" s="6"/>
      <c r="K36" s="6"/>
      <c r="L36" s="6"/>
      <c r="M36" s="6"/>
      <c r="N36" s="6"/>
      <c r="O36" s="6"/>
    </row>
    <row r="37" spans="1:15" x14ac:dyDescent="0.25">
      <c r="A37" s="16"/>
      <c r="B37" s="16"/>
      <c r="C37" s="13"/>
      <c r="D37" s="16"/>
      <c r="E37" s="16"/>
      <c r="F37" s="17"/>
      <c r="G37" s="17"/>
      <c r="H37" s="16"/>
      <c r="I37" s="41"/>
      <c r="J37" s="1"/>
      <c r="K37" s="1"/>
      <c r="L37" s="1"/>
      <c r="M37" s="1"/>
      <c r="N37" s="1"/>
      <c r="O37" s="1"/>
    </row>
    <row r="38" spans="1:15" x14ac:dyDescent="0.25">
      <c r="A38" s="6"/>
      <c r="B38" s="6"/>
      <c r="C38" s="6"/>
      <c r="D38" s="6"/>
      <c r="E38" s="6"/>
      <c r="F38" s="8"/>
      <c r="G38" s="8"/>
      <c r="H38" s="6"/>
      <c r="I38" s="10"/>
      <c r="J38" s="6"/>
      <c r="K38" s="6"/>
      <c r="L38" s="6"/>
      <c r="M38" s="6"/>
      <c r="N38" s="6"/>
      <c r="O38" s="6"/>
    </row>
    <row r="39" spans="1:15" x14ac:dyDescent="0.25">
      <c r="A39" s="16"/>
      <c r="B39" s="16"/>
      <c r="C39" s="13"/>
      <c r="D39" s="16"/>
      <c r="E39" s="16"/>
      <c r="F39" s="17"/>
      <c r="G39" s="17"/>
      <c r="H39" s="16"/>
      <c r="I39" s="41"/>
      <c r="J39" s="1"/>
      <c r="K39" s="1"/>
      <c r="L39" s="1"/>
      <c r="M39" s="1"/>
      <c r="N39" s="1"/>
      <c r="O39" s="1"/>
    </row>
    <row r="40" spans="1:15" x14ac:dyDescent="0.25">
      <c r="A40" s="6"/>
      <c r="B40" s="6"/>
      <c r="C40" s="6"/>
      <c r="D40" s="6"/>
      <c r="E40" s="6"/>
      <c r="F40" s="8"/>
      <c r="G40" s="8"/>
      <c r="H40" s="6"/>
      <c r="I40" s="10"/>
      <c r="J40" s="6"/>
      <c r="K40" s="6"/>
      <c r="L40" s="6"/>
      <c r="M40" s="6"/>
      <c r="N40" s="6"/>
      <c r="O40" s="6"/>
    </row>
    <row r="41" spans="1:15" x14ac:dyDescent="0.25">
      <c r="A41" s="16"/>
      <c r="B41" s="16"/>
      <c r="C41" s="13"/>
      <c r="D41" s="16"/>
      <c r="E41" s="16"/>
      <c r="F41" s="17"/>
      <c r="G41" s="17"/>
      <c r="H41" s="16"/>
      <c r="I41" s="41"/>
      <c r="J41" s="1"/>
      <c r="K41" s="1"/>
      <c r="L41" s="1"/>
      <c r="M41" s="1"/>
      <c r="N41" s="1"/>
      <c r="O41" s="1"/>
    </row>
    <row r="42" spans="1:15" x14ac:dyDescent="0.25">
      <c r="A42" s="6"/>
      <c r="B42" s="6"/>
      <c r="C42" s="6"/>
      <c r="D42" s="6"/>
      <c r="E42" s="6"/>
      <c r="F42" s="8"/>
      <c r="G42" s="8"/>
      <c r="H42" s="6"/>
      <c r="I42" s="10"/>
      <c r="J42" s="6"/>
      <c r="K42" s="6"/>
      <c r="L42" s="6"/>
      <c r="M42" s="6"/>
      <c r="N42" s="6"/>
      <c r="O42" s="6"/>
    </row>
    <row r="43" spans="1:15" x14ac:dyDescent="0.25">
      <c r="A43" s="16"/>
      <c r="B43" s="16"/>
      <c r="C43" s="13"/>
      <c r="D43" s="16"/>
      <c r="E43" s="16"/>
      <c r="F43" s="17"/>
      <c r="G43" s="17"/>
      <c r="H43" s="16"/>
      <c r="I43" s="41"/>
      <c r="J43" s="1"/>
      <c r="K43" s="1"/>
      <c r="L43" s="1"/>
      <c r="M43" s="1"/>
      <c r="N43" s="1"/>
      <c r="O43" s="1"/>
    </row>
    <row r="44" spans="1:15" x14ac:dyDescent="0.25">
      <c r="A44" s="6"/>
      <c r="B44" s="6"/>
      <c r="C44" s="6"/>
      <c r="D44" s="6"/>
      <c r="E44" s="6"/>
      <c r="F44" s="8"/>
      <c r="G44" s="8"/>
      <c r="H44" s="6"/>
      <c r="I44" s="10"/>
      <c r="J44" s="6"/>
      <c r="K44" s="6"/>
      <c r="L44" s="6"/>
      <c r="M44" s="6"/>
      <c r="N44" s="6"/>
      <c r="O44" s="6"/>
    </row>
    <row r="45" spans="1:15" x14ac:dyDescent="0.25">
      <c r="A45" s="16"/>
      <c r="B45" s="16"/>
      <c r="C45" s="13"/>
      <c r="D45" s="16"/>
      <c r="E45" s="16"/>
      <c r="F45" s="17"/>
      <c r="G45" s="17"/>
      <c r="H45" s="16"/>
      <c r="I45" s="41"/>
      <c r="J45" s="1"/>
      <c r="K45" s="1"/>
      <c r="L45" s="1"/>
      <c r="M45" s="1"/>
      <c r="N45" s="1"/>
      <c r="O45" s="1"/>
    </row>
    <row r="46" spans="1:15" x14ac:dyDescent="0.25">
      <c r="A46" s="6"/>
      <c r="B46" s="6"/>
      <c r="C46" s="6"/>
      <c r="D46" s="6"/>
      <c r="E46" s="6"/>
      <c r="F46" s="8"/>
      <c r="G46" s="8"/>
      <c r="H46" s="6"/>
      <c r="I46" s="10"/>
      <c r="J46" s="6"/>
      <c r="K46" s="6"/>
      <c r="L46" s="6"/>
      <c r="M46" s="6"/>
      <c r="N46" s="6"/>
      <c r="O46" s="6"/>
    </row>
    <row r="47" spans="1:15" x14ac:dyDescent="0.25">
      <c r="A47" s="16"/>
      <c r="B47" s="16"/>
      <c r="C47" s="13"/>
      <c r="D47" s="16"/>
      <c r="E47" s="16"/>
      <c r="F47" s="17"/>
      <c r="G47" s="17"/>
      <c r="H47" s="16"/>
      <c r="I47" s="41"/>
      <c r="J47" s="1"/>
      <c r="K47" s="1"/>
      <c r="L47" s="1"/>
      <c r="M47" s="1"/>
      <c r="N47" s="1"/>
      <c r="O47" s="1"/>
    </row>
    <row r="48" spans="1:15" x14ac:dyDescent="0.25">
      <c r="A48" s="6"/>
      <c r="B48" s="6"/>
      <c r="C48" s="6"/>
      <c r="D48" s="6"/>
      <c r="E48" s="6"/>
      <c r="F48" s="8"/>
      <c r="G48" s="8"/>
      <c r="H48" s="6"/>
      <c r="I48" s="10"/>
      <c r="J48" s="6"/>
      <c r="K48" s="6"/>
      <c r="L48" s="6"/>
      <c r="M48" s="6"/>
      <c r="N48" s="6"/>
      <c r="O48" s="6"/>
    </row>
    <row r="49" spans="1:15" x14ac:dyDescent="0.25">
      <c r="A49" s="16"/>
      <c r="B49" s="16"/>
      <c r="C49" s="13"/>
      <c r="D49" s="16"/>
      <c r="E49" s="16"/>
      <c r="F49" s="17"/>
      <c r="G49" s="17"/>
      <c r="H49" s="16"/>
      <c r="I49" s="41"/>
      <c r="J49" s="1"/>
      <c r="K49" s="1"/>
      <c r="L49" s="1"/>
      <c r="M49" s="1"/>
      <c r="N49" s="1"/>
      <c r="O49" s="1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>COUNTIFS($E$7:$E$46,A117)</f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>COUNTIFS($E$7:$E$46,A118)</f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ref="C119:C121" si="0">COUNTIFS($E$7:$E$46,A119)</f>
        <v>0</v>
      </c>
      <c r="H119" s="4"/>
      <c r="I119" s="3"/>
    </row>
    <row r="120" spans="1:9" x14ac:dyDescent="0.25">
      <c r="A120" s="38" t="s">
        <v>131</v>
      </c>
      <c r="B120" s="7" t="s">
        <v>976</v>
      </c>
      <c r="C120" s="38">
        <f t="shared" si="0"/>
        <v>0</v>
      </c>
      <c r="H120" s="4"/>
      <c r="I120" s="3"/>
    </row>
    <row r="121" spans="1:9" x14ac:dyDescent="0.25">
      <c r="A121" s="38" t="s">
        <v>76</v>
      </c>
      <c r="B121" s="7" t="s">
        <v>222</v>
      </c>
      <c r="C121" s="38">
        <f t="shared" si="0"/>
        <v>0</v>
      </c>
      <c r="H121" s="4"/>
      <c r="I121" s="3"/>
    </row>
    <row r="122" spans="1:9" x14ac:dyDescent="0.25">
      <c r="H122" s="4"/>
      <c r="I122" s="3"/>
    </row>
    <row r="123" spans="1:9" ht="18.75" x14ac:dyDescent="0.25">
      <c r="A123" s="159" t="s">
        <v>261</v>
      </c>
      <c r="B123" s="160"/>
      <c r="C123" s="161"/>
      <c r="H123" s="4"/>
      <c r="I123" s="3"/>
    </row>
    <row r="124" spans="1:9" x14ac:dyDescent="0.25">
      <c r="A124" s="36" t="s">
        <v>43</v>
      </c>
      <c r="B124" s="37" t="s">
        <v>259</v>
      </c>
      <c r="C124" s="36" t="s">
        <v>260</v>
      </c>
      <c r="H124" s="4"/>
      <c r="I124" s="3"/>
    </row>
    <row r="125" spans="1:9" x14ac:dyDescent="0.25">
      <c r="A125" s="39" t="s">
        <v>48</v>
      </c>
      <c r="B125" s="1" t="s">
        <v>216</v>
      </c>
      <c r="C125" s="39">
        <f>COUNTIFS($E$7:$E$46,A125,$H$7:$H$46,"Trocar")</f>
        <v>0</v>
      </c>
      <c r="H125" s="4"/>
      <c r="I125" s="3"/>
    </row>
    <row r="126" spans="1:9" x14ac:dyDescent="0.25">
      <c r="A126" s="39" t="s">
        <v>54</v>
      </c>
      <c r="B126" s="1" t="s">
        <v>219</v>
      </c>
      <c r="C126" s="39">
        <f t="shared" ref="C126:C130" si="1">COUNTIFS($E$7:$E$46,A126,$H$7:$H$46,"Trocar")</f>
        <v>0</v>
      </c>
      <c r="H126" s="4"/>
      <c r="I126" s="3"/>
    </row>
    <row r="127" spans="1:9" x14ac:dyDescent="0.25">
      <c r="A127" s="39" t="s">
        <v>86</v>
      </c>
      <c r="B127" s="1" t="s">
        <v>241</v>
      </c>
      <c r="C127" s="39">
        <f t="shared" si="1"/>
        <v>0</v>
      </c>
      <c r="H127" s="4"/>
      <c r="I127" s="3"/>
    </row>
    <row r="128" spans="1:9" x14ac:dyDescent="0.25">
      <c r="A128" s="39" t="s">
        <v>51</v>
      </c>
      <c r="B128" s="1" t="s">
        <v>209</v>
      </c>
      <c r="C128" s="39">
        <f t="shared" si="1"/>
        <v>0</v>
      </c>
      <c r="H128" s="4"/>
      <c r="I128" s="3"/>
    </row>
    <row r="129" spans="1:9" x14ac:dyDescent="0.25">
      <c r="A129" s="39" t="s">
        <v>80</v>
      </c>
      <c r="B129" s="1" t="s">
        <v>230</v>
      </c>
      <c r="C129" s="39">
        <f t="shared" si="1"/>
        <v>0</v>
      </c>
      <c r="H129" s="4"/>
      <c r="I129" s="3"/>
    </row>
    <row r="130" spans="1:9" x14ac:dyDescent="0.25">
      <c r="A130" s="39" t="s">
        <v>76</v>
      </c>
      <c r="B130" s="1" t="s">
        <v>222</v>
      </c>
      <c r="C130" s="39">
        <f t="shared" si="1"/>
        <v>0</v>
      </c>
      <c r="H130" s="4"/>
      <c r="I130" s="3"/>
    </row>
    <row r="131" spans="1:9" x14ac:dyDescent="0.25">
      <c r="H131" s="4"/>
      <c r="I131" s="3"/>
    </row>
  </sheetData>
  <autoFilter ref="A6:O36" xr:uid="{29409446-0286-4617-8ECE-ACCA81EF7D93}">
    <sortState xmlns:xlrd2="http://schemas.microsoft.com/office/spreadsheetml/2017/richdata2" ref="A7:O36">
      <sortCondition ref="A6:A36"/>
    </sortState>
  </autoFilter>
  <mergeCells count="18">
    <mergeCell ref="A123:C123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  <mergeCell ref="A52:O52"/>
    <mergeCell ref="A1:O1"/>
    <mergeCell ref="M3:N3"/>
    <mergeCell ref="K5:N5"/>
    <mergeCell ref="A50:O50"/>
    <mergeCell ref="A51:O51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B5E8-1289-4122-A7B3-D9B344EF32CF}">
  <sheetPr codeName="Planilha30">
    <tabColor theme="8"/>
    <pageSetUpPr fitToPage="1"/>
  </sheetPr>
  <dimension ref="A1:O130"/>
  <sheetViews>
    <sheetView showGridLines="0" view="pageBreakPreview" topLeftCell="A15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1012</v>
      </c>
      <c r="B3" s="158" t="s">
        <v>1013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 t="s">
        <v>1014</v>
      </c>
      <c r="C7" s="6" t="s">
        <v>1015</v>
      </c>
      <c r="D7" s="6" t="s">
        <v>240</v>
      </c>
      <c r="E7" s="6" t="s">
        <v>86</v>
      </c>
      <c r="F7" s="6" t="s">
        <v>241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 t="s">
        <v>1016</v>
      </c>
      <c r="C8" s="13" t="s">
        <v>1017</v>
      </c>
      <c r="D8" s="16" t="s">
        <v>240</v>
      </c>
      <c r="E8" s="16" t="s">
        <v>86</v>
      </c>
      <c r="F8" s="16" t="s">
        <v>241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 t="s">
        <v>1018</v>
      </c>
      <c r="C9" s="6" t="s">
        <v>1019</v>
      </c>
      <c r="D9" s="6" t="s">
        <v>240</v>
      </c>
      <c r="E9" s="6" t="s">
        <v>86</v>
      </c>
      <c r="F9" s="6" t="s">
        <v>241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1020</v>
      </c>
      <c r="D10" s="16" t="s">
        <v>240</v>
      </c>
      <c r="E10" s="16" t="s">
        <v>86</v>
      </c>
      <c r="F10" s="16" t="s">
        <v>241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1021</v>
      </c>
      <c r="D11" s="6" t="s">
        <v>240</v>
      </c>
      <c r="E11" s="6" t="s">
        <v>86</v>
      </c>
      <c r="F11" s="6" t="s">
        <v>241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1022</v>
      </c>
      <c r="D12" s="16" t="s">
        <v>240</v>
      </c>
      <c r="E12" s="16" t="s">
        <v>86</v>
      </c>
      <c r="F12" s="16" t="s">
        <v>241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6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B58:I58"/>
    <mergeCell ref="B59:I59"/>
    <mergeCell ref="A1:O1"/>
    <mergeCell ref="K5:N5"/>
    <mergeCell ref="A50:O50"/>
    <mergeCell ref="A51:O51"/>
    <mergeCell ref="A52:O52"/>
    <mergeCell ref="A53:O53"/>
    <mergeCell ref="B3:C3"/>
    <mergeCell ref="A54:O54"/>
    <mergeCell ref="A55:O55"/>
    <mergeCell ref="A56:O56"/>
    <mergeCell ref="B57:I57"/>
    <mergeCell ref="B60:I60"/>
    <mergeCell ref="B61:I61"/>
    <mergeCell ref="B62:I62"/>
    <mergeCell ref="A113:C113"/>
    <mergeCell ref="A122:C122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7333-C060-43C2-A83A-F8984B67AA55}">
  <sheetPr codeName="Planilha31">
    <tabColor theme="8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1023</v>
      </c>
      <c r="B3" s="158" t="s">
        <v>1024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 t="s">
        <v>1025</v>
      </c>
      <c r="C7" s="6" t="s">
        <v>1015</v>
      </c>
      <c r="D7" s="6" t="s">
        <v>240</v>
      </c>
      <c r="E7" s="6" t="s">
        <v>86</v>
      </c>
      <c r="F7" s="6" t="s">
        <v>241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 t="s">
        <v>1026</v>
      </c>
      <c r="C8" s="13" t="s">
        <v>1017</v>
      </c>
      <c r="D8" s="16" t="s">
        <v>240</v>
      </c>
      <c r="E8" s="16" t="s">
        <v>86</v>
      </c>
      <c r="F8" s="16" t="s">
        <v>241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 t="s">
        <v>1027</v>
      </c>
      <c r="C9" s="6" t="s">
        <v>1019</v>
      </c>
      <c r="D9" s="6" t="s">
        <v>240</v>
      </c>
      <c r="E9" s="6" t="s">
        <v>86</v>
      </c>
      <c r="F9" s="6" t="s">
        <v>241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1028</v>
      </c>
      <c r="D10" s="16" t="s">
        <v>240</v>
      </c>
      <c r="E10" s="16" t="s">
        <v>86</v>
      </c>
      <c r="F10" s="16" t="s">
        <v>241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1029</v>
      </c>
      <c r="D11" s="6" t="s">
        <v>240</v>
      </c>
      <c r="E11" s="6" t="s">
        <v>86</v>
      </c>
      <c r="F11" s="6" t="s">
        <v>241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1030</v>
      </c>
      <c r="D12" s="16" t="s">
        <v>240</v>
      </c>
      <c r="E12" s="16" t="s">
        <v>86</v>
      </c>
      <c r="F12" s="16" t="s">
        <v>241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6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1DF5-03D0-495B-8456-64FD79E9EA41}">
  <sheetPr codeName="Planilha32">
    <tabColor theme="8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1031</v>
      </c>
      <c r="B3" s="158" t="s">
        <v>1032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 t="s">
        <v>1033</v>
      </c>
      <c r="C7" s="6" t="s">
        <v>1015</v>
      </c>
      <c r="D7" s="6" t="s">
        <v>240</v>
      </c>
      <c r="E7" s="6" t="s">
        <v>86</v>
      </c>
      <c r="F7" s="6" t="s">
        <v>241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 t="s">
        <v>1034</v>
      </c>
      <c r="C8" s="13" t="s">
        <v>1017</v>
      </c>
      <c r="D8" s="16" t="s">
        <v>240</v>
      </c>
      <c r="E8" s="16" t="s">
        <v>86</v>
      </c>
      <c r="F8" s="16" t="s">
        <v>241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 t="s">
        <v>1035</v>
      </c>
      <c r="C9" s="6" t="s">
        <v>1019</v>
      </c>
      <c r="D9" s="6" t="s">
        <v>240</v>
      </c>
      <c r="E9" s="6" t="s">
        <v>86</v>
      </c>
      <c r="F9" s="6" t="s">
        <v>241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1036</v>
      </c>
      <c r="D10" s="16" t="s">
        <v>240</v>
      </c>
      <c r="E10" s="16" t="s">
        <v>86</v>
      </c>
      <c r="F10" s="16" t="s">
        <v>241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1037</v>
      </c>
      <c r="D11" s="6" t="s">
        <v>240</v>
      </c>
      <c r="E11" s="6" t="s">
        <v>86</v>
      </c>
      <c r="F11" s="6" t="s">
        <v>241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1038</v>
      </c>
      <c r="D12" s="16" t="s">
        <v>240</v>
      </c>
      <c r="E12" s="16" t="s">
        <v>86</v>
      </c>
      <c r="F12" s="16" t="s">
        <v>241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6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F681-8D63-48B1-81F5-0DD2E655F835}">
  <sheetPr codeName="Planilha33">
    <tabColor theme="8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1039</v>
      </c>
      <c r="B3" s="158" t="s">
        <v>1040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 t="s">
        <v>1041</v>
      </c>
      <c r="C7" s="6" t="s">
        <v>1015</v>
      </c>
      <c r="D7" s="6" t="s">
        <v>240</v>
      </c>
      <c r="E7" s="6" t="s">
        <v>86</v>
      </c>
      <c r="F7" s="6" t="s">
        <v>241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 t="s">
        <v>1042</v>
      </c>
      <c r="C8" s="13" t="s">
        <v>1017</v>
      </c>
      <c r="D8" s="16" t="s">
        <v>240</v>
      </c>
      <c r="E8" s="16" t="s">
        <v>86</v>
      </c>
      <c r="F8" s="16" t="s">
        <v>241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 t="s">
        <v>1043</v>
      </c>
      <c r="C9" s="6" t="s">
        <v>1019</v>
      </c>
      <c r="D9" s="6" t="s">
        <v>240</v>
      </c>
      <c r="E9" s="6" t="s">
        <v>86</v>
      </c>
      <c r="F9" s="6" t="s">
        <v>241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1044</v>
      </c>
      <c r="D10" s="16" t="s">
        <v>240</v>
      </c>
      <c r="E10" s="16" t="s">
        <v>86</v>
      </c>
      <c r="F10" s="16" t="s">
        <v>241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1045</v>
      </c>
      <c r="D11" s="6" t="s">
        <v>240</v>
      </c>
      <c r="E11" s="6" t="s">
        <v>86</v>
      </c>
      <c r="F11" s="6" t="s">
        <v>241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1046</v>
      </c>
      <c r="D12" s="16" t="s">
        <v>240</v>
      </c>
      <c r="E12" s="16" t="s">
        <v>86</v>
      </c>
      <c r="F12" s="16" t="s">
        <v>241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6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0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0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814A-105B-419F-9545-301E2A9CB536}">
  <sheetPr codeName="Planilha34">
    <tabColor rgb="FFFF0000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1047</v>
      </c>
      <c r="B3" s="158" t="s">
        <v>1048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/>
      <c r="C7" s="6" t="s">
        <v>1015</v>
      </c>
      <c r="D7" s="6" t="s">
        <v>229</v>
      </c>
      <c r="E7" s="6" t="s">
        <v>80</v>
      </c>
      <c r="F7" s="6" t="s">
        <v>230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/>
      <c r="C8" s="13" t="s">
        <v>1017</v>
      </c>
      <c r="D8" s="16" t="s">
        <v>225</v>
      </c>
      <c r="E8" s="16" t="s">
        <v>51</v>
      </c>
      <c r="F8" s="16" t="s">
        <v>209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/>
      <c r="C9" s="6" t="s">
        <v>1019</v>
      </c>
      <c r="D9" s="6" t="s">
        <v>229</v>
      </c>
      <c r="E9" s="6" t="s">
        <v>80</v>
      </c>
      <c r="F9" s="6" t="s">
        <v>230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1049</v>
      </c>
      <c r="D10" s="16" t="s">
        <v>229</v>
      </c>
      <c r="E10" s="16" t="s">
        <v>80</v>
      </c>
      <c r="F10" s="16" t="s">
        <v>230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1050</v>
      </c>
      <c r="D11" s="6" t="s">
        <v>225</v>
      </c>
      <c r="E11" s="6" t="s">
        <v>51</v>
      </c>
      <c r="F11" s="6" t="s">
        <v>209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1051</v>
      </c>
      <c r="D12" s="16" t="s">
        <v>229</v>
      </c>
      <c r="E12" s="16" t="s">
        <v>80</v>
      </c>
      <c r="F12" s="16" t="s">
        <v>230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4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A3E6-6AE4-474E-A343-B9B1CA44F889}">
  <sheetPr codeName="Planilha35">
    <tabColor rgb="FFFF0000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1052</v>
      </c>
      <c r="B3" s="158" t="s">
        <v>1053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/>
      <c r="C7" s="6" t="s">
        <v>1015</v>
      </c>
      <c r="D7" s="6" t="s">
        <v>229</v>
      </c>
      <c r="E7" s="6" t="s">
        <v>80</v>
      </c>
      <c r="F7" s="6" t="s">
        <v>230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/>
      <c r="C8" s="13" t="s">
        <v>1017</v>
      </c>
      <c r="D8" s="16" t="s">
        <v>225</v>
      </c>
      <c r="E8" s="16" t="s">
        <v>51</v>
      </c>
      <c r="F8" s="16" t="s">
        <v>209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/>
      <c r="C9" s="6" t="s">
        <v>1019</v>
      </c>
      <c r="D9" s="6" t="s">
        <v>229</v>
      </c>
      <c r="E9" s="6" t="s">
        <v>80</v>
      </c>
      <c r="F9" s="6" t="s">
        <v>230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1049</v>
      </c>
      <c r="D10" s="16" t="s">
        <v>229</v>
      </c>
      <c r="E10" s="16" t="s">
        <v>80</v>
      </c>
      <c r="F10" s="16" t="s">
        <v>230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1050</v>
      </c>
      <c r="D11" s="6" t="s">
        <v>225</v>
      </c>
      <c r="E11" s="6" t="s">
        <v>51</v>
      </c>
      <c r="F11" s="6" t="s">
        <v>209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1051</v>
      </c>
      <c r="D12" s="16" t="s">
        <v>229</v>
      </c>
      <c r="E12" s="16" t="s">
        <v>80</v>
      </c>
      <c r="F12" s="16" t="s">
        <v>230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4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DDFB-2B55-4617-B121-73D1886AA859}">
  <sheetPr codeName="Planilha36">
    <tabColor rgb="FFFF0000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1054</v>
      </c>
      <c r="B3" s="158" t="s">
        <v>1055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/>
      <c r="C7" s="6" t="s">
        <v>1015</v>
      </c>
      <c r="D7" s="6" t="s">
        <v>229</v>
      </c>
      <c r="E7" s="6" t="s">
        <v>80</v>
      </c>
      <c r="F7" s="6" t="s">
        <v>230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/>
      <c r="C8" s="13" t="s">
        <v>1017</v>
      </c>
      <c r="D8" s="16" t="s">
        <v>225</v>
      </c>
      <c r="E8" s="16" t="s">
        <v>51</v>
      </c>
      <c r="F8" s="16" t="s">
        <v>209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/>
      <c r="C9" s="6" t="s">
        <v>1019</v>
      </c>
      <c r="D9" s="6" t="s">
        <v>229</v>
      </c>
      <c r="E9" s="6" t="s">
        <v>80</v>
      </c>
      <c r="F9" s="6" t="s">
        <v>230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 t="s">
        <v>732</v>
      </c>
      <c r="B10" s="16"/>
      <c r="C10" s="13" t="s">
        <v>1049</v>
      </c>
      <c r="D10" s="16" t="s">
        <v>229</v>
      </c>
      <c r="E10" s="16" t="s">
        <v>80</v>
      </c>
      <c r="F10" s="16" t="s">
        <v>230</v>
      </c>
      <c r="G10" s="16" t="s">
        <v>5</v>
      </c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 t="s">
        <v>732</v>
      </c>
      <c r="B11" s="6"/>
      <c r="C11" s="6" t="s">
        <v>1050</v>
      </c>
      <c r="D11" s="6" t="s">
        <v>225</v>
      </c>
      <c r="E11" s="6" t="s">
        <v>51</v>
      </c>
      <c r="F11" s="6" t="s">
        <v>209</v>
      </c>
      <c r="G11" s="6" t="s">
        <v>5</v>
      </c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 t="s">
        <v>732</v>
      </c>
      <c r="B12" s="16"/>
      <c r="C12" s="13" t="s">
        <v>1051</v>
      </c>
      <c r="D12" s="16" t="s">
        <v>229</v>
      </c>
      <c r="E12" s="16" t="s">
        <v>80</v>
      </c>
      <c r="F12" s="16" t="s">
        <v>230</v>
      </c>
      <c r="G12" s="16" t="s">
        <v>5</v>
      </c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2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4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3B04-D09E-4F38-8223-B84F9A47BF69}">
  <sheetPr codeName="Planilha37">
    <tabColor rgb="FFFF0000"/>
    <pageSetUpPr fitToPage="1"/>
  </sheetPr>
  <dimension ref="A1:O130"/>
  <sheetViews>
    <sheetView showGridLines="0" view="pageBreakPreview" zoomScale="85" zoomScaleNormal="70" zoomScaleSheetLayoutView="85" workbookViewId="0">
      <selection activeCell="C10" sqref="C10"/>
    </sheetView>
  </sheetViews>
  <sheetFormatPr defaultColWidth="9.140625" defaultRowHeight="15" x14ac:dyDescent="0.25"/>
  <cols>
    <col min="1" max="1" width="20.85546875" style="3" customWidth="1"/>
    <col min="2" max="2" width="15.85546875" style="3" bestFit="1" customWidth="1"/>
    <col min="3" max="3" width="58.140625" style="3" bestFit="1" customWidth="1"/>
    <col min="4" max="4" width="15.5703125" style="3" customWidth="1"/>
    <col min="5" max="5" width="13" style="3" customWidth="1"/>
    <col min="6" max="6" width="14.7109375" style="3" customWidth="1"/>
    <col min="7" max="7" width="16.42578125" style="3" customWidth="1"/>
    <col min="8" max="8" width="15.42578125" style="3" bestFit="1" customWidth="1"/>
    <col min="9" max="9" width="9.5703125" style="4" bestFit="1" customWidth="1"/>
    <col min="10" max="10" width="14.42578125" style="3" customWidth="1"/>
    <col min="11" max="14" width="5.5703125" style="3" customWidth="1"/>
    <col min="15" max="15" width="13.140625" style="3" bestFit="1" customWidth="1"/>
    <col min="16" max="16384" width="9.140625" style="3"/>
  </cols>
  <sheetData>
    <row r="1" spans="1:15" s="2" customFormat="1" ht="42.6" customHeight="1" x14ac:dyDescent="0.25">
      <c r="A1" s="162" t="s">
        <v>192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s="2" customFormat="1" ht="8.25" customHeight="1" x14ac:dyDescent="0.25">
      <c r="I2" s="20"/>
    </row>
    <row r="3" spans="1:15" s="2" customFormat="1" ht="27.6" customHeight="1" x14ac:dyDescent="0.25">
      <c r="A3" s="34" t="s">
        <v>1056</v>
      </c>
      <c r="B3" s="158" t="s">
        <v>1057</v>
      </c>
      <c r="C3" s="158"/>
      <c r="D3" s="35" t="s">
        <v>195</v>
      </c>
      <c r="E3" s="27"/>
      <c r="F3" s="28"/>
      <c r="G3" s="28"/>
      <c r="H3" s="35" t="s">
        <v>196</v>
      </c>
      <c r="I3" s="27"/>
      <c r="J3" s="27"/>
      <c r="K3" s="35" t="s">
        <v>197</v>
      </c>
      <c r="L3" s="27"/>
      <c r="M3" s="27"/>
      <c r="N3" s="27"/>
      <c r="O3" s="29"/>
    </row>
    <row r="4" spans="1:15" s="2" customFormat="1" x14ac:dyDescent="0.25">
      <c r="C4" s="24"/>
      <c r="I4" s="20"/>
    </row>
    <row r="5" spans="1:15" ht="15.75" customHeight="1" x14ac:dyDescent="0.25">
      <c r="A5" s="2"/>
      <c r="B5" s="2" t="s">
        <v>493</v>
      </c>
      <c r="C5" s="2"/>
      <c r="D5" s="2"/>
      <c r="E5" s="2"/>
      <c r="F5" s="2"/>
      <c r="G5" s="2"/>
      <c r="H5" s="2"/>
      <c r="I5" s="22"/>
      <c r="J5" s="22"/>
      <c r="K5" s="165" t="s">
        <v>198</v>
      </c>
      <c r="L5" s="165"/>
      <c r="M5" s="165"/>
      <c r="N5" s="165"/>
      <c r="O5" s="23"/>
    </row>
    <row r="6" spans="1:15" ht="32.25" customHeight="1" x14ac:dyDescent="0.25">
      <c r="A6" s="117" t="s">
        <v>45</v>
      </c>
      <c r="B6" s="117" t="s">
        <v>46</v>
      </c>
      <c r="C6" s="117" t="s">
        <v>42</v>
      </c>
      <c r="D6" s="117" t="s">
        <v>200</v>
      </c>
      <c r="E6" s="117" t="s">
        <v>43</v>
      </c>
      <c r="F6" s="117" t="s">
        <v>201</v>
      </c>
      <c r="G6" s="117" t="s">
        <v>202</v>
      </c>
      <c r="H6" s="117" t="s">
        <v>203</v>
      </c>
      <c r="I6" s="118" t="s">
        <v>204</v>
      </c>
      <c r="J6" s="118" t="s">
        <v>205</v>
      </c>
      <c r="K6" s="118">
        <v>1</v>
      </c>
      <c r="L6" s="118">
        <v>2</v>
      </c>
      <c r="M6" s="118">
        <v>3</v>
      </c>
      <c r="N6" s="118">
        <v>4</v>
      </c>
      <c r="O6" s="119" t="s">
        <v>206</v>
      </c>
    </row>
    <row r="7" spans="1:15" x14ac:dyDescent="0.25">
      <c r="A7" s="6" t="s">
        <v>732</v>
      </c>
      <c r="B7" s="6"/>
      <c r="C7" s="6" t="s">
        <v>1015</v>
      </c>
      <c r="D7" s="6" t="s">
        <v>229</v>
      </c>
      <c r="E7" s="6" t="s">
        <v>80</v>
      </c>
      <c r="F7" s="6" t="s">
        <v>230</v>
      </c>
      <c r="G7" s="6" t="s">
        <v>5</v>
      </c>
      <c r="H7" s="6"/>
      <c r="I7" s="10"/>
      <c r="J7" s="6"/>
      <c r="K7" s="6"/>
      <c r="L7" s="6"/>
      <c r="M7" s="6"/>
      <c r="N7" s="6"/>
      <c r="O7" s="6"/>
    </row>
    <row r="8" spans="1:15" x14ac:dyDescent="0.25">
      <c r="A8" s="16" t="s">
        <v>732</v>
      </c>
      <c r="B8" s="16"/>
      <c r="C8" s="13" t="s">
        <v>1017</v>
      </c>
      <c r="D8" s="16" t="s">
        <v>225</v>
      </c>
      <c r="E8" s="16" t="s">
        <v>51</v>
      </c>
      <c r="F8" s="16" t="s">
        <v>209</v>
      </c>
      <c r="G8" s="16" t="s">
        <v>5</v>
      </c>
      <c r="H8" s="16"/>
      <c r="I8" s="41"/>
      <c r="J8" s="1"/>
      <c r="K8" s="1"/>
      <c r="L8" s="1"/>
      <c r="M8" s="1"/>
      <c r="N8" s="1"/>
      <c r="O8" s="1"/>
    </row>
    <row r="9" spans="1:15" x14ac:dyDescent="0.25">
      <c r="A9" s="6" t="s">
        <v>732</v>
      </c>
      <c r="B9" s="6"/>
      <c r="C9" s="6" t="s">
        <v>1019</v>
      </c>
      <c r="D9" s="6" t="s">
        <v>229</v>
      </c>
      <c r="E9" s="6" t="s">
        <v>80</v>
      </c>
      <c r="F9" s="6" t="s">
        <v>230</v>
      </c>
      <c r="G9" s="6" t="s">
        <v>5</v>
      </c>
      <c r="H9" s="6"/>
      <c r="I9" s="10"/>
      <c r="J9" s="6"/>
      <c r="K9" s="6"/>
      <c r="L9" s="6"/>
      <c r="M9" s="6"/>
      <c r="N9" s="6"/>
      <c r="O9" s="6"/>
    </row>
    <row r="10" spans="1:15" x14ac:dyDescent="0.25">
      <c r="A10" s="16"/>
      <c r="B10" s="16"/>
      <c r="C10" s="13"/>
      <c r="D10" s="16"/>
      <c r="E10" s="16"/>
      <c r="F10" s="16"/>
      <c r="G10" s="16"/>
      <c r="H10" s="16"/>
      <c r="I10" s="41"/>
      <c r="J10" s="1"/>
      <c r="K10" s="1"/>
      <c r="L10" s="1"/>
      <c r="M10" s="1"/>
      <c r="N10" s="1"/>
      <c r="O10" s="1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10"/>
      <c r="J11" s="6"/>
      <c r="K11" s="6"/>
      <c r="L11" s="6"/>
      <c r="M11" s="6"/>
      <c r="N11" s="6"/>
      <c r="O11" s="6"/>
    </row>
    <row r="12" spans="1:15" x14ac:dyDescent="0.25">
      <c r="A12" s="16"/>
      <c r="B12" s="16"/>
      <c r="C12" s="13"/>
      <c r="D12" s="16"/>
      <c r="E12" s="16"/>
      <c r="F12" s="16"/>
      <c r="G12" s="16"/>
      <c r="H12" s="16"/>
      <c r="I12" s="41"/>
      <c r="J12" s="1"/>
      <c r="K12" s="1"/>
      <c r="L12" s="1"/>
      <c r="M12" s="1"/>
      <c r="N12" s="1"/>
      <c r="O12" s="1"/>
    </row>
    <row r="13" spans="1:15" x14ac:dyDescent="0.25">
      <c r="A13" s="6"/>
      <c r="B13" s="6"/>
      <c r="C13" s="6"/>
      <c r="D13" s="6"/>
      <c r="E13" s="6"/>
      <c r="F13" s="8"/>
      <c r="G13" s="8"/>
      <c r="H13" s="6"/>
      <c r="I13" s="10"/>
      <c r="J13" s="6"/>
      <c r="K13" s="6"/>
      <c r="L13" s="6"/>
      <c r="M13" s="6"/>
      <c r="N13" s="6"/>
      <c r="O13" s="6"/>
    </row>
    <row r="14" spans="1:15" x14ac:dyDescent="0.25">
      <c r="A14" s="16"/>
      <c r="B14" s="16"/>
      <c r="C14" s="13"/>
      <c r="D14" s="16"/>
      <c r="E14" s="16"/>
      <c r="F14" s="17"/>
      <c r="G14" s="17"/>
      <c r="H14" s="16"/>
      <c r="I14" s="41"/>
      <c r="J14" s="1"/>
      <c r="K14" s="1"/>
      <c r="L14" s="1"/>
      <c r="M14" s="1"/>
      <c r="N14" s="1"/>
      <c r="O14" s="1"/>
    </row>
    <row r="15" spans="1:15" x14ac:dyDescent="0.25">
      <c r="A15" s="6"/>
      <c r="B15" s="6"/>
      <c r="C15" s="6"/>
      <c r="D15" s="6"/>
      <c r="E15" s="6"/>
      <c r="F15" s="8"/>
      <c r="G15" s="8"/>
      <c r="H15" s="6"/>
      <c r="I15" s="10"/>
      <c r="J15" s="6"/>
      <c r="K15" s="6"/>
      <c r="L15" s="6"/>
      <c r="M15" s="6"/>
      <c r="N15" s="6"/>
      <c r="O15" s="6"/>
    </row>
    <row r="16" spans="1:15" s="4" customFormat="1" x14ac:dyDescent="0.25">
      <c r="A16" s="16"/>
      <c r="B16" s="16"/>
      <c r="C16" s="13"/>
      <c r="D16" s="16"/>
      <c r="E16" s="16"/>
      <c r="F16" s="17"/>
      <c r="G16" s="17"/>
      <c r="H16" s="16"/>
      <c r="I16" s="41"/>
      <c r="J16" s="1"/>
      <c r="K16" s="1"/>
      <c r="L16" s="1"/>
      <c r="M16" s="1"/>
      <c r="N16" s="1"/>
      <c r="O16" s="1"/>
    </row>
    <row r="17" spans="1:15" x14ac:dyDescent="0.25">
      <c r="A17" s="6"/>
      <c r="B17" s="6"/>
      <c r="C17" s="6"/>
      <c r="D17" s="6"/>
      <c r="E17" s="6"/>
      <c r="F17" s="8"/>
      <c r="G17" s="8"/>
      <c r="H17" s="6"/>
      <c r="I17" s="10"/>
      <c r="J17" s="6"/>
      <c r="K17" s="6"/>
      <c r="L17" s="6"/>
      <c r="M17" s="6"/>
      <c r="N17" s="6"/>
      <c r="O17" s="6"/>
    </row>
    <row r="18" spans="1:15" x14ac:dyDescent="0.25">
      <c r="A18" s="16"/>
      <c r="B18" s="16"/>
      <c r="C18" s="13"/>
      <c r="D18" s="16"/>
      <c r="E18" s="16"/>
      <c r="F18" s="17"/>
      <c r="G18" s="17"/>
      <c r="H18" s="16"/>
      <c r="I18" s="41"/>
      <c r="J18" s="1"/>
      <c r="K18" s="1"/>
      <c r="L18" s="1"/>
      <c r="M18" s="1"/>
      <c r="N18" s="1"/>
      <c r="O18" s="1"/>
    </row>
    <row r="19" spans="1:15" x14ac:dyDescent="0.25">
      <c r="A19" s="6"/>
      <c r="B19" s="6"/>
      <c r="C19" s="6"/>
      <c r="D19" s="6"/>
      <c r="E19" s="6"/>
      <c r="F19" s="8"/>
      <c r="G19" s="8"/>
      <c r="H19" s="6"/>
      <c r="I19" s="10"/>
      <c r="J19" s="6"/>
      <c r="K19" s="6"/>
      <c r="L19" s="6"/>
      <c r="M19" s="6"/>
      <c r="N19" s="6"/>
      <c r="O19" s="6"/>
    </row>
    <row r="20" spans="1:15" x14ac:dyDescent="0.25">
      <c r="A20" s="16"/>
      <c r="B20" s="16"/>
      <c r="C20" s="13"/>
      <c r="D20" s="16"/>
      <c r="E20" s="16"/>
      <c r="F20" s="17"/>
      <c r="G20" s="17"/>
      <c r="H20" s="16"/>
      <c r="I20" s="41"/>
      <c r="J20" s="1"/>
      <c r="K20" s="1"/>
      <c r="L20" s="1"/>
      <c r="M20" s="1"/>
      <c r="N20" s="1"/>
      <c r="O20" s="1"/>
    </row>
    <row r="21" spans="1:15" x14ac:dyDescent="0.25">
      <c r="A21" s="6"/>
      <c r="B21" s="6"/>
      <c r="C21" s="6"/>
      <c r="D21" s="6"/>
      <c r="E21" s="6"/>
      <c r="F21" s="8"/>
      <c r="G21" s="8"/>
      <c r="H21" s="6"/>
      <c r="I21" s="10"/>
      <c r="J21" s="6"/>
      <c r="K21" s="6"/>
      <c r="L21" s="6"/>
      <c r="M21" s="6"/>
      <c r="N21" s="6"/>
      <c r="O21" s="6"/>
    </row>
    <row r="22" spans="1:15" x14ac:dyDescent="0.25">
      <c r="A22" s="16"/>
      <c r="B22" s="16"/>
      <c r="C22" s="13"/>
      <c r="D22" s="16"/>
      <c r="E22" s="16"/>
      <c r="F22" s="17"/>
      <c r="G22" s="16"/>
      <c r="H22" s="16"/>
      <c r="I22" s="41"/>
      <c r="J22" s="1"/>
      <c r="K22" s="1"/>
      <c r="L22" s="1"/>
      <c r="M22" s="1"/>
      <c r="N22" s="1"/>
      <c r="O22" s="1"/>
    </row>
    <row r="23" spans="1:15" x14ac:dyDescent="0.25">
      <c r="A23" s="6"/>
      <c r="B23" s="6"/>
      <c r="C23" s="6"/>
      <c r="D23" s="6"/>
      <c r="E23" s="6"/>
      <c r="F23" s="8"/>
      <c r="G23" s="8"/>
      <c r="H23" s="6"/>
      <c r="I23" s="10"/>
      <c r="J23" s="6"/>
      <c r="K23" s="6"/>
      <c r="L23" s="6"/>
      <c r="M23" s="6"/>
      <c r="N23" s="6"/>
      <c r="O23" s="6"/>
    </row>
    <row r="24" spans="1:15" x14ac:dyDescent="0.25">
      <c r="A24" s="16"/>
      <c r="B24" s="16"/>
      <c r="C24" s="13"/>
      <c r="D24" s="16"/>
      <c r="E24" s="16"/>
      <c r="F24" s="17"/>
      <c r="G24" s="17"/>
      <c r="H24" s="16"/>
      <c r="I24" s="41"/>
      <c r="J24" s="1"/>
      <c r="K24" s="1"/>
      <c r="L24" s="1"/>
      <c r="M24" s="1"/>
      <c r="N24" s="1"/>
      <c r="O24" s="1"/>
    </row>
    <row r="25" spans="1:15" x14ac:dyDescent="0.25">
      <c r="A25" s="6"/>
      <c r="B25" s="6"/>
      <c r="C25" s="6"/>
      <c r="D25" s="6"/>
      <c r="E25" s="6"/>
      <c r="F25" s="8"/>
      <c r="G25" s="8"/>
      <c r="H25" s="6"/>
      <c r="I25" s="10"/>
      <c r="J25" s="6"/>
      <c r="K25" s="6"/>
      <c r="L25" s="6"/>
      <c r="M25" s="6"/>
      <c r="N25" s="6"/>
      <c r="O25" s="6"/>
    </row>
    <row r="26" spans="1:15" x14ac:dyDescent="0.25">
      <c r="A26" s="16"/>
      <c r="B26" s="16"/>
      <c r="C26" s="13"/>
      <c r="D26" s="16"/>
      <c r="E26" s="16"/>
      <c r="F26" s="17"/>
      <c r="G26" s="17"/>
      <c r="H26" s="16"/>
      <c r="I26" s="41"/>
      <c r="J26" s="1"/>
      <c r="K26" s="1"/>
      <c r="L26" s="1"/>
      <c r="M26" s="1"/>
      <c r="N26" s="1"/>
      <c r="O26" s="1"/>
    </row>
    <row r="27" spans="1:15" x14ac:dyDescent="0.25">
      <c r="A27" s="6"/>
      <c r="B27" s="6"/>
      <c r="C27" s="6"/>
      <c r="D27" s="6"/>
      <c r="E27" s="6"/>
      <c r="F27" s="8"/>
      <c r="G27" s="8"/>
      <c r="H27" s="6"/>
      <c r="I27" s="10"/>
      <c r="J27" s="6"/>
      <c r="K27" s="6"/>
      <c r="L27" s="6"/>
      <c r="M27" s="6"/>
      <c r="N27" s="6"/>
      <c r="O27" s="6"/>
    </row>
    <row r="28" spans="1:15" x14ac:dyDescent="0.25">
      <c r="A28" s="16"/>
      <c r="B28" s="16"/>
      <c r="C28" s="13"/>
      <c r="D28" s="16"/>
      <c r="E28" s="16"/>
      <c r="F28" s="17"/>
      <c r="G28" s="17"/>
      <c r="H28" s="16"/>
      <c r="I28" s="41"/>
      <c r="J28" s="1"/>
      <c r="K28" s="1"/>
      <c r="L28" s="1"/>
      <c r="M28" s="1"/>
      <c r="N28" s="1"/>
      <c r="O28" s="1"/>
    </row>
    <row r="29" spans="1:15" x14ac:dyDescent="0.25">
      <c r="A29" s="6"/>
      <c r="B29" s="6"/>
      <c r="C29" s="6"/>
      <c r="D29" s="6"/>
      <c r="E29" s="6"/>
      <c r="F29" s="8"/>
      <c r="G29" s="8"/>
      <c r="H29" s="6"/>
      <c r="I29" s="10"/>
      <c r="J29" s="6"/>
      <c r="K29" s="6"/>
      <c r="L29" s="6"/>
      <c r="M29" s="6"/>
      <c r="N29" s="6"/>
      <c r="O29" s="6"/>
    </row>
    <row r="30" spans="1:15" x14ac:dyDescent="0.25">
      <c r="A30" s="16"/>
      <c r="B30" s="16"/>
      <c r="C30" s="13"/>
      <c r="D30" s="16"/>
      <c r="E30" s="16"/>
      <c r="F30" s="16"/>
      <c r="G30" s="17"/>
      <c r="H30" s="16"/>
      <c r="I30" s="41"/>
      <c r="J30" s="1"/>
      <c r="K30" s="1"/>
      <c r="L30" s="1"/>
      <c r="M30" s="1"/>
      <c r="N30" s="1"/>
      <c r="O30" s="1"/>
    </row>
    <row r="31" spans="1:15" x14ac:dyDescent="0.25">
      <c r="A31" s="6"/>
      <c r="B31" s="6"/>
      <c r="C31" s="6"/>
      <c r="D31" s="6"/>
      <c r="E31" s="6"/>
      <c r="F31" s="6"/>
      <c r="G31" s="8"/>
      <c r="H31" s="6"/>
      <c r="I31" s="10"/>
      <c r="J31" s="6"/>
      <c r="K31" s="6"/>
      <c r="L31" s="6"/>
      <c r="M31" s="6"/>
      <c r="N31" s="6"/>
      <c r="O31" s="6"/>
    </row>
    <row r="32" spans="1:15" x14ac:dyDescent="0.25">
      <c r="A32" s="16"/>
      <c r="B32" s="16"/>
      <c r="C32" s="13"/>
      <c r="D32" s="16"/>
      <c r="E32" s="16"/>
      <c r="F32" s="17"/>
      <c r="G32" s="17"/>
      <c r="H32" s="16"/>
      <c r="I32" s="41"/>
      <c r="J32" s="1"/>
      <c r="K32" s="1"/>
      <c r="L32" s="1"/>
      <c r="M32" s="1"/>
      <c r="N32" s="1"/>
      <c r="O32" s="1"/>
    </row>
    <row r="33" spans="1:15" ht="18" customHeight="1" x14ac:dyDescent="0.25">
      <c r="A33" s="6"/>
      <c r="B33" s="6"/>
      <c r="C33" s="6"/>
      <c r="D33" s="6"/>
      <c r="E33" s="6"/>
      <c r="F33" s="8"/>
      <c r="G33" s="8"/>
      <c r="H33" s="6"/>
      <c r="I33" s="10"/>
      <c r="J33" s="6"/>
      <c r="K33" s="6"/>
      <c r="L33" s="6"/>
      <c r="M33" s="6"/>
      <c r="N33" s="6"/>
      <c r="O33" s="6"/>
    </row>
    <row r="34" spans="1:15" x14ac:dyDescent="0.25">
      <c r="A34" s="16"/>
      <c r="B34" s="16"/>
      <c r="C34" s="13"/>
      <c r="D34" s="16"/>
      <c r="E34" s="16"/>
      <c r="F34" s="17"/>
      <c r="G34" s="17"/>
      <c r="H34" s="16"/>
      <c r="I34" s="41"/>
      <c r="J34" s="1"/>
      <c r="K34" s="1"/>
      <c r="L34" s="1"/>
      <c r="M34" s="1"/>
      <c r="N34" s="1"/>
      <c r="O34" s="1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10"/>
      <c r="J35" s="6"/>
      <c r="K35" s="6"/>
      <c r="L35" s="6"/>
      <c r="M35" s="6"/>
      <c r="N35" s="6"/>
      <c r="O35" s="6"/>
    </row>
    <row r="36" spans="1:15" x14ac:dyDescent="0.25">
      <c r="A36" s="16"/>
      <c r="B36" s="16"/>
      <c r="C36" s="13"/>
      <c r="D36" s="16"/>
      <c r="E36" s="16"/>
      <c r="F36" s="17"/>
      <c r="G36" s="17"/>
      <c r="H36" s="16"/>
      <c r="I36" s="41"/>
      <c r="J36" s="1"/>
      <c r="K36" s="1"/>
      <c r="L36" s="1"/>
      <c r="M36" s="1"/>
      <c r="N36" s="1"/>
      <c r="O36" s="1"/>
    </row>
    <row r="37" spans="1:15" x14ac:dyDescent="0.25">
      <c r="A37" s="6"/>
      <c r="B37" s="6"/>
      <c r="C37" s="6"/>
      <c r="D37" s="6"/>
      <c r="E37" s="6"/>
      <c r="F37" s="8"/>
      <c r="G37" s="8"/>
      <c r="H37" s="6"/>
      <c r="I37" s="10"/>
      <c r="J37" s="6"/>
      <c r="K37" s="6"/>
      <c r="L37" s="6"/>
      <c r="M37" s="6"/>
      <c r="N37" s="6"/>
      <c r="O37" s="6"/>
    </row>
    <row r="38" spans="1:15" x14ac:dyDescent="0.25">
      <c r="A38" s="16"/>
      <c r="B38" s="16"/>
      <c r="C38" s="13"/>
      <c r="D38" s="16"/>
      <c r="E38" s="16"/>
      <c r="F38" s="17"/>
      <c r="G38" s="17"/>
      <c r="H38" s="16"/>
      <c r="I38" s="4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8"/>
      <c r="G39" s="8"/>
      <c r="H39" s="6"/>
      <c r="I39" s="10"/>
      <c r="J39" s="6"/>
      <c r="K39" s="6"/>
      <c r="L39" s="6"/>
      <c r="M39" s="6"/>
      <c r="N39" s="6"/>
      <c r="O39" s="6"/>
    </row>
    <row r="40" spans="1:15" x14ac:dyDescent="0.25">
      <c r="A40" s="16"/>
      <c r="B40" s="16"/>
      <c r="C40" s="13"/>
      <c r="D40" s="16"/>
      <c r="E40" s="16"/>
      <c r="F40" s="17"/>
      <c r="G40" s="17"/>
      <c r="H40" s="16"/>
      <c r="I40" s="41"/>
      <c r="J40" s="1"/>
      <c r="K40" s="1"/>
      <c r="L40" s="1"/>
      <c r="M40" s="1"/>
      <c r="N40" s="1"/>
      <c r="O40" s="1"/>
    </row>
    <row r="41" spans="1:15" x14ac:dyDescent="0.25">
      <c r="A41" s="6"/>
      <c r="B41" s="6"/>
      <c r="C41" s="6"/>
      <c r="D41" s="6"/>
      <c r="E41" s="6"/>
      <c r="F41" s="8"/>
      <c r="G41" s="8"/>
      <c r="H41" s="6"/>
      <c r="I41" s="10"/>
      <c r="J41" s="6"/>
      <c r="K41" s="6"/>
      <c r="L41" s="6"/>
      <c r="M41" s="6"/>
      <c r="N41" s="6"/>
      <c r="O41" s="6"/>
    </row>
    <row r="42" spans="1:15" x14ac:dyDescent="0.25">
      <c r="A42" s="16"/>
      <c r="B42" s="16"/>
      <c r="C42" s="13"/>
      <c r="D42" s="16"/>
      <c r="E42" s="16"/>
      <c r="F42" s="17"/>
      <c r="G42" s="17"/>
      <c r="H42" s="16"/>
      <c r="I42" s="41"/>
      <c r="J42" s="1"/>
      <c r="K42" s="1"/>
      <c r="L42" s="1"/>
      <c r="M42" s="1"/>
      <c r="N42" s="1"/>
      <c r="O42" s="1"/>
    </row>
    <row r="43" spans="1:15" x14ac:dyDescent="0.25">
      <c r="A43" s="6"/>
      <c r="B43" s="6"/>
      <c r="C43" s="6"/>
      <c r="D43" s="6"/>
      <c r="E43" s="6"/>
      <c r="F43" s="8"/>
      <c r="G43" s="8"/>
      <c r="H43" s="6"/>
      <c r="I43" s="10"/>
      <c r="J43" s="6"/>
      <c r="K43" s="6"/>
      <c r="L43" s="6"/>
      <c r="M43" s="6"/>
      <c r="N43" s="6"/>
      <c r="O43" s="6"/>
    </row>
    <row r="44" spans="1:15" x14ac:dyDescent="0.25">
      <c r="A44" s="16"/>
      <c r="B44" s="16"/>
      <c r="C44" s="13"/>
      <c r="D44" s="16"/>
      <c r="E44" s="16"/>
      <c r="F44" s="17"/>
      <c r="G44" s="17"/>
      <c r="H44" s="16"/>
      <c r="I44" s="41"/>
      <c r="J44" s="1"/>
      <c r="K44" s="1"/>
      <c r="L44" s="1"/>
      <c r="M44" s="1"/>
      <c r="N44" s="1"/>
      <c r="O44" s="1"/>
    </row>
    <row r="45" spans="1:15" x14ac:dyDescent="0.25">
      <c r="A45" s="6"/>
      <c r="B45" s="6"/>
      <c r="C45" s="6"/>
      <c r="D45" s="6"/>
      <c r="E45" s="6"/>
      <c r="F45" s="8"/>
      <c r="G45" s="8"/>
      <c r="H45" s="6"/>
      <c r="I45" s="10"/>
      <c r="J45" s="6"/>
      <c r="K45" s="6"/>
      <c r="L45" s="6"/>
      <c r="M45" s="6"/>
      <c r="N45" s="6"/>
      <c r="O45" s="6"/>
    </row>
    <row r="46" spans="1:15" x14ac:dyDescent="0.25">
      <c r="A46" s="16"/>
      <c r="B46" s="16"/>
      <c r="C46" s="13"/>
      <c r="D46" s="16"/>
      <c r="E46" s="16"/>
      <c r="F46" s="17"/>
      <c r="G46" s="17"/>
      <c r="H46" s="16"/>
      <c r="I46" s="41"/>
      <c r="J46" s="1"/>
      <c r="K46" s="1"/>
      <c r="L46" s="1"/>
      <c r="M46" s="1"/>
      <c r="N46" s="1"/>
      <c r="O46" s="1"/>
    </row>
    <row r="47" spans="1:15" x14ac:dyDescent="0.25">
      <c r="A47" s="6"/>
      <c r="B47" s="6"/>
      <c r="C47" s="6"/>
      <c r="D47" s="6"/>
      <c r="E47" s="6"/>
      <c r="F47" s="8"/>
      <c r="G47" s="8"/>
      <c r="H47" s="6"/>
      <c r="I47" s="10"/>
      <c r="J47" s="6"/>
      <c r="K47" s="6"/>
      <c r="L47" s="6"/>
      <c r="M47" s="6"/>
      <c r="N47" s="6"/>
      <c r="O47" s="6"/>
    </row>
    <row r="48" spans="1:15" x14ac:dyDescent="0.25">
      <c r="A48" s="16"/>
      <c r="B48" s="16"/>
      <c r="C48" s="13"/>
      <c r="D48" s="16"/>
      <c r="E48" s="16"/>
      <c r="F48" s="17"/>
      <c r="G48" s="17"/>
      <c r="H48" s="16"/>
      <c r="I48" s="41"/>
      <c r="J48" s="1"/>
      <c r="K48" s="1"/>
      <c r="L48" s="1"/>
      <c r="M48" s="1"/>
      <c r="N48" s="1"/>
      <c r="O48" s="1"/>
    </row>
    <row r="49" spans="1:15" x14ac:dyDescent="0.25">
      <c r="A49" s="6"/>
      <c r="B49" s="6"/>
      <c r="C49" s="6"/>
      <c r="D49" s="6"/>
      <c r="E49" s="6"/>
      <c r="F49" s="8"/>
      <c r="G49" s="8"/>
      <c r="H49" s="6"/>
      <c r="I49" s="10"/>
      <c r="J49" s="6"/>
      <c r="K49" s="6"/>
      <c r="L49" s="6"/>
      <c r="M49" s="6"/>
      <c r="N49" s="6"/>
      <c r="O49" s="6"/>
    </row>
    <row r="50" spans="1:15" ht="30.6" customHeight="1" x14ac:dyDescent="0.25">
      <c r="A50" s="166" t="s">
        <v>251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</row>
    <row r="51" spans="1:15" ht="15" customHeight="1" x14ac:dyDescent="0.25">
      <c r="A51" s="167" t="s">
        <v>252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9"/>
    </row>
    <row r="52" spans="1:15" ht="15" customHeight="1" x14ac:dyDescent="0.25">
      <c r="A52" s="170" t="s">
        <v>253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2"/>
    </row>
    <row r="53" spans="1:15" ht="15" customHeight="1" x14ac:dyDescent="0.25">
      <c r="A53" s="170" t="s">
        <v>254</v>
      </c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2"/>
    </row>
    <row r="54" spans="1:15" ht="15" customHeight="1" x14ac:dyDescent="0.25">
      <c r="A54" s="170" t="s">
        <v>255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2"/>
    </row>
    <row r="55" spans="1:15" ht="15" customHeight="1" x14ac:dyDescent="0.25">
      <c r="A55" s="173" t="s">
        <v>256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5"/>
    </row>
    <row r="56" spans="1:15" ht="30.6" customHeight="1" x14ac:dyDescent="0.25">
      <c r="A56" s="166" t="s">
        <v>257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ht="15.75" customHeight="1" x14ac:dyDescent="0.25">
      <c r="A57" s="25"/>
      <c r="B57" s="158"/>
      <c r="C57" s="158"/>
      <c r="D57" s="158"/>
      <c r="E57" s="158"/>
      <c r="F57" s="158"/>
      <c r="G57" s="158"/>
      <c r="H57" s="158"/>
      <c r="I57" s="158"/>
      <c r="J57" s="30"/>
      <c r="K57" s="30"/>
      <c r="L57" s="30"/>
      <c r="M57" s="30"/>
      <c r="N57" s="30"/>
      <c r="O57" s="31"/>
    </row>
    <row r="58" spans="1:15" ht="15.75" customHeight="1" x14ac:dyDescent="0.25">
      <c r="A58" s="25"/>
      <c r="B58" s="158"/>
      <c r="C58" s="158"/>
      <c r="D58" s="158"/>
      <c r="E58" s="158"/>
      <c r="F58" s="158"/>
      <c r="G58" s="158"/>
      <c r="H58" s="158"/>
      <c r="I58" s="158"/>
      <c r="J58" s="30"/>
      <c r="K58" s="30"/>
      <c r="L58" s="30"/>
      <c r="M58" s="30"/>
      <c r="N58" s="30"/>
      <c r="O58" s="31"/>
    </row>
    <row r="59" spans="1:15" ht="15.75" customHeight="1" x14ac:dyDescent="0.25">
      <c r="A59" s="25"/>
      <c r="B59" s="158"/>
      <c r="C59" s="158"/>
      <c r="D59" s="158"/>
      <c r="E59" s="158"/>
      <c r="F59" s="158"/>
      <c r="G59" s="158"/>
      <c r="H59" s="158"/>
      <c r="I59" s="158"/>
      <c r="J59" s="30"/>
      <c r="K59" s="30"/>
      <c r="L59" s="30"/>
      <c r="M59" s="30"/>
      <c r="N59" s="30"/>
      <c r="O59" s="31"/>
    </row>
    <row r="60" spans="1:15" ht="15.75" customHeight="1" x14ac:dyDescent="0.25">
      <c r="A60" s="25"/>
      <c r="B60" s="158"/>
      <c r="C60" s="158"/>
      <c r="D60" s="158"/>
      <c r="E60" s="158"/>
      <c r="F60" s="158"/>
      <c r="G60" s="158"/>
      <c r="H60" s="158"/>
      <c r="I60" s="158"/>
      <c r="J60" s="30"/>
      <c r="K60" s="30"/>
      <c r="L60" s="30"/>
      <c r="M60" s="30"/>
      <c r="N60" s="30"/>
      <c r="O60" s="31"/>
    </row>
    <row r="61" spans="1:15" ht="15.75" customHeight="1" x14ac:dyDescent="0.25">
      <c r="A61" s="25"/>
      <c r="B61" s="158"/>
      <c r="C61" s="158"/>
      <c r="D61" s="158"/>
      <c r="E61" s="158"/>
      <c r="F61" s="158"/>
      <c r="G61" s="158"/>
      <c r="H61" s="158"/>
      <c r="I61" s="158"/>
      <c r="J61" s="30"/>
      <c r="K61" s="30"/>
      <c r="L61" s="30"/>
      <c r="M61" s="30"/>
      <c r="N61" s="30"/>
      <c r="O61" s="31"/>
    </row>
    <row r="62" spans="1:15" ht="15.75" customHeight="1" x14ac:dyDescent="0.25">
      <c r="A62" s="25"/>
      <c r="B62" s="158"/>
      <c r="C62" s="158"/>
      <c r="D62" s="158"/>
      <c r="E62" s="158"/>
      <c r="F62" s="158"/>
      <c r="G62" s="158"/>
      <c r="H62" s="158"/>
      <c r="I62" s="158"/>
      <c r="J62" s="30"/>
      <c r="K62" s="30"/>
      <c r="L62" s="30"/>
      <c r="M62" s="30"/>
      <c r="N62" s="30"/>
      <c r="O62" s="31"/>
    </row>
    <row r="63" spans="1:15" ht="15.75" customHeight="1" x14ac:dyDescent="0.25">
      <c r="A63" s="25"/>
      <c r="B63" s="47"/>
      <c r="C63" s="47"/>
      <c r="D63" s="47"/>
      <c r="E63" s="47"/>
      <c r="F63" s="47"/>
      <c r="G63" s="47"/>
      <c r="H63" s="47"/>
      <c r="I63" s="47"/>
      <c r="J63" s="30"/>
      <c r="K63" s="30"/>
      <c r="L63" s="30"/>
      <c r="M63" s="30"/>
      <c r="N63" s="30"/>
      <c r="O63" s="31"/>
    </row>
    <row r="64" spans="1:15" ht="15.75" customHeight="1" x14ac:dyDescent="0.25">
      <c r="A64" s="25"/>
      <c r="B64" s="47"/>
      <c r="C64" s="47"/>
      <c r="D64" s="47"/>
      <c r="E64" s="47"/>
      <c r="F64" s="47"/>
      <c r="G64" s="47"/>
      <c r="H64" s="47"/>
      <c r="I64" s="47"/>
      <c r="J64" s="30"/>
      <c r="K64" s="30"/>
      <c r="L64" s="30"/>
      <c r="M64" s="30"/>
      <c r="N64" s="30"/>
      <c r="O64" s="31"/>
    </row>
    <row r="65" spans="1:15" ht="15.75" customHeight="1" x14ac:dyDescent="0.25">
      <c r="A65" s="25"/>
      <c r="B65" s="47"/>
      <c r="C65" s="47"/>
      <c r="D65" s="47"/>
      <c r="E65" s="47"/>
      <c r="F65" s="47"/>
      <c r="G65" s="47"/>
      <c r="H65" s="47"/>
      <c r="I65" s="47"/>
      <c r="J65" s="30"/>
      <c r="K65" s="30"/>
      <c r="L65" s="30"/>
      <c r="M65" s="30"/>
      <c r="N65" s="30"/>
      <c r="O65" s="31"/>
    </row>
    <row r="66" spans="1:15" ht="15.75" customHeight="1" x14ac:dyDescent="0.25">
      <c r="A66" s="25"/>
      <c r="B66" s="47"/>
      <c r="C66" s="47"/>
      <c r="D66" s="47"/>
      <c r="E66" s="47"/>
      <c r="F66" s="47"/>
      <c r="G66" s="47"/>
      <c r="H66" s="47"/>
      <c r="I66" s="47"/>
      <c r="J66" s="30"/>
      <c r="K66" s="30"/>
      <c r="L66" s="30"/>
      <c r="M66" s="30"/>
      <c r="N66" s="30"/>
      <c r="O66" s="31"/>
    </row>
    <row r="67" spans="1:15" ht="15.75" customHeight="1" x14ac:dyDescent="0.25">
      <c r="A67" s="25"/>
      <c r="B67" s="47"/>
      <c r="C67" s="47"/>
      <c r="D67" s="47"/>
      <c r="E67" s="47"/>
      <c r="F67" s="47"/>
      <c r="G67" s="47"/>
      <c r="H67" s="47"/>
      <c r="I67" s="47"/>
      <c r="J67" s="30"/>
      <c r="K67" s="30"/>
      <c r="L67" s="30"/>
      <c r="M67" s="30"/>
      <c r="N67" s="30"/>
      <c r="O67" s="31"/>
    </row>
    <row r="68" spans="1:15" ht="15.75" customHeight="1" x14ac:dyDescent="0.25">
      <c r="A68" s="25"/>
      <c r="B68" s="47"/>
      <c r="C68" s="47"/>
      <c r="D68" s="47"/>
      <c r="E68" s="47"/>
      <c r="F68" s="47"/>
      <c r="G68" s="47"/>
      <c r="H68" s="47"/>
      <c r="I68" s="47"/>
      <c r="J68" s="30"/>
      <c r="K68" s="30"/>
      <c r="L68" s="30"/>
      <c r="M68" s="30"/>
      <c r="N68" s="30"/>
      <c r="O68" s="31"/>
    </row>
    <row r="69" spans="1:15" ht="15.75" customHeight="1" x14ac:dyDescent="0.25">
      <c r="A69" s="25"/>
      <c r="B69" s="47"/>
      <c r="C69" s="47"/>
      <c r="D69" s="47"/>
      <c r="E69" s="47"/>
      <c r="F69" s="47"/>
      <c r="G69" s="47"/>
      <c r="H69" s="47"/>
      <c r="I69" s="47"/>
      <c r="J69" s="30"/>
      <c r="K69" s="30"/>
      <c r="L69" s="30"/>
      <c r="M69" s="30"/>
      <c r="N69" s="30"/>
      <c r="O69" s="31"/>
    </row>
    <row r="70" spans="1:15" ht="15.75" customHeight="1" x14ac:dyDescent="0.25">
      <c r="A70" s="25"/>
      <c r="B70" s="47"/>
      <c r="C70" s="47"/>
      <c r="D70" s="47"/>
      <c r="E70" s="47"/>
      <c r="F70" s="47"/>
      <c r="G70" s="47"/>
      <c r="H70" s="47"/>
      <c r="I70" s="47"/>
      <c r="J70" s="30"/>
      <c r="K70" s="30"/>
      <c r="L70" s="30"/>
      <c r="M70" s="30"/>
      <c r="N70" s="30"/>
      <c r="O70" s="31"/>
    </row>
    <row r="71" spans="1:15" ht="15.75" customHeight="1" x14ac:dyDescent="0.25">
      <c r="A71" s="25"/>
      <c r="B71" s="47"/>
      <c r="C71" s="47"/>
      <c r="D71" s="47"/>
      <c r="E71" s="47"/>
      <c r="F71" s="47"/>
      <c r="G71" s="47"/>
      <c r="H71" s="47"/>
      <c r="I71" s="47"/>
      <c r="J71" s="30"/>
      <c r="K71" s="30"/>
      <c r="L71" s="30"/>
      <c r="M71" s="30"/>
      <c r="N71" s="30"/>
      <c r="O71" s="31"/>
    </row>
    <row r="72" spans="1:15" ht="15.75" customHeight="1" x14ac:dyDescent="0.25">
      <c r="A72" s="25"/>
      <c r="B72" s="47"/>
      <c r="C72" s="47"/>
      <c r="D72" s="47"/>
      <c r="E72" s="47"/>
      <c r="F72" s="47"/>
      <c r="G72" s="47"/>
      <c r="H72" s="47"/>
      <c r="I72" s="47"/>
      <c r="J72" s="30"/>
      <c r="K72" s="30"/>
      <c r="L72" s="30"/>
      <c r="M72" s="30"/>
      <c r="N72" s="30"/>
      <c r="O72" s="31"/>
    </row>
    <row r="73" spans="1:15" ht="15.75" customHeight="1" x14ac:dyDescent="0.25">
      <c r="A73" s="25"/>
      <c r="B73" s="47"/>
      <c r="C73" s="47"/>
      <c r="D73" s="47"/>
      <c r="E73" s="47"/>
      <c r="F73" s="47"/>
      <c r="G73" s="47"/>
      <c r="H73" s="47"/>
      <c r="I73" s="47"/>
      <c r="J73" s="30"/>
      <c r="K73" s="30"/>
      <c r="L73" s="30"/>
      <c r="M73" s="30"/>
      <c r="N73" s="30"/>
      <c r="O73" s="31"/>
    </row>
    <row r="74" spans="1:15" ht="15.75" customHeight="1" x14ac:dyDescent="0.25">
      <c r="A74" s="25"/>
      <c r="B74" s="47"/>
      <c r="C74" s="47"/>
      <c r="D74" s="47"/>
      <c r="E74" s="47"/>
      <c r="F74" s="47"/>
      <c r="G74" s="47"/>
      <c r="H74" s="47"/>
      <c r="I74" s="47"/>
      <c r="J74" s="30"/>
      <c r="K74" s="30"/>
      <c r="L74" s="30"/>
      <c r="M74" s="30"/>
      <c r="N74" s="30"/>
      <c r="O74" s="31"/>
    </row>
    <row r="75" spans="1:15" ht="15.75" customHeight="1" x14ac:dyDescent="0.25">
      <c r="A75" s="25"/>
      <c r="B75" s="47"/>
      <c r="C75" s="47"/>
      <c r="D75" s="47"/>
      <c r="E75" s="47"/>
      <c r="F75" s="47"/>
      <c r="G75" s="47"/>
      <c r="H75" s="47"/>
      <c r="I75" s="47"/>
      <c r="J75" s="30"/>
      <c r="K75" s="30"/>
      <c r="L75" s="30"/>
      <c r="M75" s="30"/>
      <c r="N75" s="30"/>
      <c r="O75" s="31"/>
    </row>
    <row r="76" spans="1:15" ht="15.75" customHeight="1" x14ac:dyDescent="0.25">
      <c r="A76" s="25"/>
      <c r="B76" s="47"/>
      <c r="C76" s="47"/>
      <c r="D76" s="47"/>
      <c r="E76" s="47"/>
      <c r="F76" s="47"/>
      <c r="G76" s="47"/>
      <c r="H76" s="47"/>
      <c r="I76" s="47"/>
      <c r="J76" s="30"/>
      <c r="K76" s="30"/>
      <c r="L76" s="30"/>
      <c r="M76" s="30"/>
      <c r="N76" s="30"/>
      <c r="O76" s="31"/>
    </row>
    <row r="77" spans="1:15" ht="15.75" customHeight="1" x14ac:dyDescent="0.25">
      <c r="A77" s="25"/>
      <c r="B77" s="47"/>
      <c r="C77" s="47"/>
      <c r="D77" s="47"/>
      <c r="E77" s="47"/>
      <c r="F77" s="47"/>
      <c r="G77" s="47"/>
      <c r="H77" s="47"/>
      <c r="I77" s="47"/>
      <c r="J77" s="30"/>
      <c r="K77" s="30"/>
      <c r="L77" s="30"/>
      <c r="M77" s="30"/>
      <c r="N77" s="30"/>
      <c r="O77" s="31"/>
    </row>
    <row r="78" spans="1:15" ht="15.75" customHeight="1" x14ac:dyDescent="0.25">
      <c r="A78" s="25"/>
      <c r="B78" s="47"/>
      <c r="C78" s="47"/>
      <c r="D78" s="47"/>
      <c r="E78" s="47"/>
      <c r="F78" s="47"/>
      <c r="G78" s="47"/>
      <c r="H78" s="47"/>
      <c r="I78" s="47"/>
      <c r="J78" s="30"/>
      <c r="K78" s="30"/>
      <c r="L78" s="30"/>
      <c r="M78" s="30"/>
      <c r="N78" s="30"/>
      <c r="O78" s="31"/>
    </row>
    <row r="79" spans="1:15" ht="15.75" customHeight="1" x14ac:dyDescent="0.25">
      <c r="A79" s="25"/>
      <c r="B79" s="47"/>
      <c r="C79" s="47"/>
      <c r="D79" s="47"/>
      <c r="E79" s="47"/>
      <c r="F79" s="47"/>
      <c r="G79" s="47"/>
      <c r="H79" s="47"/>
      <c r="I79" s="47"/>
      <c r="J79" s="30"/>
      <c r="K79" s="30"/>
      <c r="L79" s="30"/>
      <c r="M79" s="30"/>
      <c r="N79" s="30"/>
      <c r="O79" s="31"/>
    </row>
    <row r="80" spans="1:15" ht="15.75" customHeight="1" x14ac:dyDescent="0.25">
      <c r="A80" s="25"/>
      <c r="B80" s="47"/>
      <c r="C80" s="47"/>
      <c r="D80" s="47"/>
      <c r="E80" s="47"/>
      <c r="F80" s="47"/>
      <c r="G80" s="47"/>
      <c r="H80" s="47"/>
      <c r="I80" s="47"/>
      <c r="J80" s="30"/>
      <c r="K80" s="30"/>
      <c r="L80" s="30"/>
      <c r="M80" s="30"/>
      <c r="N80" s="30"/>
      <c r="O80" s="31"/>
    </row>
    <row r="81" spans="1:15" ht="15.75" customHeight="1" x14ac:dyDescent="0.25">
      <c r="A81" s="25"/>
      <c r="B81" s="47"/>
      <c r="C81" s="47"/>
      <c r="D81" s="47"/>
      <c r="E81" s="47"/>
      <c r="F81" s="47"/>
      <c r="G81" s="47"/>
      <c r="H81" s="47"/>
      <c r="I81" s="47"/>
      <c r="J81" s="30"/>
      <c r="K81" s="30"/>
      <c r="L81" s="30"/>
      <c r="M81" s="30"/>
      <c r="N81" s="30"/>
      <c r="O81" s="31"/>
    </row>
    <row r="82" spans="1:15" ht="15.75" customHeight="1" x14ac:dyDescent="0.25">
      <c r="A82" s="25"/>
      <c r="B82" s="47"/>
      <c r="C82" s="47"/>
      <c r="D82" s="47"/>
      <c r="E82" s="47"/>
      <c r="F82" s="47"/>
      <c r="G82" s="47"/>
      <c r="H82" s="47"/>
      <c r="I82" s="47"/>
      <c r="J82" s="30"/>
      <c r="K82" s="30"/>
      <c r="L82" s="30"/>
      <c r="M82" s="30"/>
      <c r="N82" s="30"/>
      <c r="O82" s="31"/>
    </row>
    <row r="83" spans="1:15" ht="15.75" customHeight="1" x14ac:dyDescent="0.25">
      <c r="A83" s="25"/>
      <c r="B83" s="47"/>
      <c r="C83" s="47"/>
      <c r="D83" s="47"/>
      <c r="E83" s="47"/>
      <c r="F83" s="47"/>
      <c r="G83" s="47"/>
      <c r="H83" s="47"/>
      <c r="I83" s="47"/>
      <c r="J83" s="30"/>
      <c r="K83" s="30"/>
      <c r="L83" s="30"/>
      <c r="M83" s="30"/>
      <c r="N83" s="30"/>
      <c r="O83" s="31"/>
    </row>
    <row r="84" spans="1:15" ht="15.75" customHeight="1" x14ac:dyDescent="0.25">
      <c r="A84" s="25"/>
      <c r="B84" s="47"/>
      <c r="C84" s="47"/>
      <c r="D84" s="47"/>
      <c r="E84" s="47"/>
      <c r="F84" s="47"/>
      <c r="G84" s="47"/>
      <c r="H84" s="47"/>
      <c r="I84" s="47"/>
      <c r="J84" s="30"/>
      <c r="K84" s="30"/>
      <c r="L84" s="30"/>
      <c r="M84" s="30"/>
      <c r="N84" s="30"/>
      <c r="O84" s="31"/>
    </row>
    <row r="85" spans="1:15" ht="15.75" customHeight="1" x14ac:dyDescent="0.25">
      <c r="A85" s="25"/>
      <c r="B85" s="47"/>
      <c r="C85" s="47"/>
      <c r="D85" s="47"/>
      <c r="E85" s="47"/>
      <c r="F85" s="47"/>
      <c r="G85" s="47"/>
      <c r="H85" s="47"/>
      <c r="I85" s="47"/>
      <c r="J85" s="30"/>
      <c r="K85" s="30"/>
      <c r="L85" s="30"/>
      <c r="M85" s="30"/>
      <c r="N85" s="30"/>
      <c r="O85" s="31"/>
    </row>
    <row r="86" spans="1:15" ht="15.75" customHeight="1" x14ac:dyDescent="0.25">
      <c r="A86" s="25"/>
      <c r="B86" s="47"/>
      <c r="C86" s="47"/>
      <c r="D86" s="47"/>
      <c r="E86" s="47"/>
      <c r="F86" s="47"/>
      <c r="G86" s="47"/>
      <c r="H86" s="47"/>
      <c r="I86" s="47"/>
      <c r="J86" s="30"/>
      <c r="K86" s="30"/>
      <c r="L86" s="30"/>
      <c r="M86" s="30"/>
      <c r="N86" s="30"/>
      <c r="O86" s="31"/>
    </row>
    <row r="87" spans="1:15" ht="15.75" customHeight="1" x14ac:dyDescent="0.25">
      <c r="A87" s="25"/>
      <c r="B87" s="47"/>
      <c r="C87" s="47"/>
      <c r="D87" s="47"/>
      <c r="E87" s="47"/>
      <c r="F87" s="47"/>
      <c r="G87" s="47"/>
      <c r="H87" s="47"/>
      <c r="I87" s="47"/>
      <c r="J87" s="30"/>
      <c r="K87" s="30"/>
      <c r="L87" s="30"/>
      <c r="M87" s="30"/>
      <c r="N87" s="30"/>
      <c r="O87" s="31"/>
    </row>
    <row r="88" spans="1:15" ht="15.75" customHeight="1" x14ac:dyDescent="0.25">
      <c r="A88" s="25"/>
      <c r="B88" s="47"/>
      <c r="C88" s="47"/>
      <c r="D88" s="47"/>
      <c r="E88" s="47"/>
      <c r="F88" s="47"/>
      <c r="G88" s="47"/>
      <c r="H88" s="47"/>
      <c r="I88" s="47"/>
      <c r="J88" s="30"/>
      <c r="K88" s="30"/>
      <c r="L88" s="30"/>
      <c r="M88" s="30"/>
      <c r="N88" s="30"/>
      <c r="O88" s="31"/>
    </row>
    <row r="89" spans="1:15" ht="15.75" customHeight="1" x14ac:dyDescent="0.25">
      <c r="A89" s="25"/>
      <c r="B89" s="47"/>
      <c r="C89" s="47"/>
      <c r="D89" s="47"/>
      <c r="E89" s="47"/>
      <c r="F89" s="47"/>
      <c r="G89" s="47"/>
      <c r="H89" s="47"/>
      <c r="I89" s="47"/>
      <c r="J89" s="30"/>
      <c r="K89" s="30"/>
      <c r="L89" s="30"/>
      <c r="M89" s="30"/>
      <c r="N89" s="30"/>
      <c r="O89" s="31"/>
    </row>
    <row r="90" spans="1:15" ht="15.75" customHeight="1" x14ac:dyDescent="0.25">
      <c r="A90" s="25"/>
      <c r="B90" s="47"/>
      <c r="C90" s="47"/>
      <c r="D90" s="47"/>
      <c r="E90" s="47"/>
      <c r="F90" s="47"/>
      <c r="G90" s="47"/>
      <c r="H90" s="47"/>
      <c r="I90" s="47"/>
      <c r="J90" s="30"/>
      <c r="K90" s="30"/>
      <c r="L90" s="30"/>
      <c r="M90" s="30"/>
      <c r="N90" s="30"/>
      <c r="O90" s="31"/>
    </row>
    <row r="91" spans="1:15" ht="15.75" customHeight="1" x14ac:dyDescent="0.25">
      <c r="A91" s="25"/>
      <c r="B91" s="47"/>
      <c r="C91" s="47"/>
      <c r="D91" s="47"/>
      <c r="E91" s="47"/>
      <c r="F91" s="47"/>
      <c r="G91" s="47"/>
      <c r="H91" s="47"/>
      <c r="I91" s="47"/>
      <c r="J91" s="30"/>
      <c r="K91" s="30"/>
      <c r="L91" s="30"/>
      <c r="M91" s="30"/>
      <c r="N91" s="30"/>
      <c r="O91" s="31"/>
    </row>
    <row r="92" spans="1:15" ht="15.75" customHeight="1" x14ac:dyDescent="0.25">
      <c r="A92" s="25"/>
      <c r="B92" s="47"/>
      <c r="C92" s="47"/>
      <c r="D92" s="47"/>
      <c r="E92" s="47"/>
      <c r="F92" s="47"/>
      <c r="G92" s="47"/>
      <c r="H92" s="47"/>
      <c r="I92" s="47"/>
      <c r="J92" s="30"/>
      <c r="K92" s="30"/>
      <c r="L92" s="30"/>
      <c r="M92" s="30"/>
      <c r="N92" s="30"/>
      <c r="O92" s="31"/>
    </row>
    <row r="93" spans="1:15" ht="15.75" customHeight="1" x14ac:dyDescent="0.25">
      <c r="A93" s="25"/>
      <c r="B93" s="47"/>
      <c r="C93" s="47"/>
      <c r="D93" s="47"/>
      <c r="E93" s="47"/>
      <c r="F93" s="47"/>
      <c r="G93" s="47"/>
      <c r="H93" s="47"/>
      <c r="I93" s="47"/>
      <c r="J93" s="30"/>
      <c r="K93" s="30"/>
      <c r="L93" s="30"/>
      <c r="M93" s="30"/>
      <c r="N93" s="30"/>
      <c r="O93" s="31"/>
    </row>
    <row r="94" spans="1:15" ht="15.75" customHeight="1" x14ac:dyDescent="0.25">
      <c r="A94" s="25"/>
      <c r="B94" s="47"/>
      <c r="C94" s="47"/>
      <c r="D94" s="47"/>
      <c r="E94" s="47"/>
      <c r="F94" s="47"/>
      <c r="G94" s="47"/>
      <c r="H94" s="47"/>
      <c r="I94" s="47"/>
      <c r="J94" s="30"/>
      <c r="K94" s="30"/>
      <c r="L94" s="30"/>
      <c r="M94" s="30"/>
      <c r="N94" s="30"/>
      <c r="O94" s="31"/>
    </row>
    <row r="95" spans="1:15" ht="15.75" customHeight="1" x14ac:dyDescent="0.25">
      <c r="A95" s="25"/>
      <c r="B95" s="47"/>
      <c r="C95" s="47"/>
      <c r="D95" s="47"/>
      <c r="E95" s="47"/>
      <c r="F95" s="47"/>
      <c r="G95" s="47"/>
      <c r="H95" s="47"/>
      <c r="I95" s="47"/>
      <c r="J95" s="30"/>
      <c r="K95" s="30"/>
      <c r="L95" s="30"/>
      <c r="M95" s="30"/>
      <c r="N95" s="30"/>
      <c r="O95" s="31"/>
    </row>
    <row r="96" spans="1:15" ht="15.75" customHeight="1" x14ac:dyDescent="0.25">
      <c r="A96" s="25"/>
      <c r="B96" s="47"/>
      <c r="C96" s="47"/>
      <c r="D96" s="47"/>
      <c r="E96" s="47"/>
      <c r="F96" s="47"/>
      <c r="G96" s="47"/>
      <c r="H96" s="47"/>
      <c r="I96" s="47"/>
      <c r="J96" s="30"/>
      <c r="K96" s="30"/>
      <c r="L96" s="30"/>
      <c r="M96" s="30"/>
      <c r="N96" s="30"/>
      <c r="O96" s="31"/>
    </row>
    <row r="97" spans="1:15" ht="15.75" customHeight="1" x14ac:dyDescent="0.25">
      <c r="A97" s="25"/>
      <c r="B97" s="47"/>
      <c r="C97" s="47"/>
      <c r="D97" s="47"/>
      <c r="E97" s="47"/>
      <c r="F97" s="47"/>
      <c r="G97" s="47"/>
      <c r="H97" s="47"/>
      <c r="I97" s="47"/>
      <c r="J97" s="30"/>
      <c r="K97" s="30"/>
      <c r="L97" s="30"/>
      <c r="M97" s="30"/>
      <c r="N97" s="30"/>
      <c r="O97" s="31"/>
    </row>
    <row r="98" spans="1:15" ht="15.75" customHeight="1" x14ac:dyDescent="0.25">
      <c r="A98" s="25"/>
      <c r="B98" s="47"/>
      <c r="C98" s="47"/>
      <c r="D98" s="47"/>
      <c r="E98" s="47"/>
      <c r="F98" s="47"/>
      <c r="G98" s="47"/>
      <c r="H98" s="47"/>
      <c r="I98" s="47"/>
      <c r="J98" s="30"/>
      <c r="K98" s="30"/>
      <c r="L98" s="30"/>
      <c r="M98" s="30"/>
      <c r="N98" s="30"/>
      <c r="O98" s="31"/>
    </row>
    <row r="99" spans="1:15" ht="15.75" customHeight="1" x14ac:dyDescent="0.25">
      <c r="A99" s="25"/>
      <c r="B99" s="47"/>
      <c r="C99" s="47"/>
      <c r="D99" s="47"/>
      <c r="E99" s="47"/>
      <c r="F99" s="47"/>
      <c r="G99" s="47"/>
      <c r="H99" s="47"/>
      <c r="I99" s="47"/>
      <c r="J99" s="30"/>
      <c r="K99" s="30"/>
      <c r="L99" s="30"/>
      <c r="M99" s="30"/>
      <c r="N99" s="30"/>
      <c r="O99" s="31"/>
    </row>
    <row r="100" spans="1:15" ht="15.75" customHeight="1" x14ac:dyDescent="0.25">
      <c r="A100" s="25"/>
      <c r="B100" s="47"/>
      <c r="C100" s="47"/>
      <c r="D100" s="47"/>
      <c r="E100" s="47"/>
      <c r="F100" s="47"/>
      <c r="G100" s="47"/>
      <c r="H100" s="47"/>
      <c r="I100" s="47"/>
      <c r="J100" s="30"/>
      <c r="K100" s="30"/>
      <c r="L100" s="30"/>
      <c r="M100" s="30"/>
      <c r="N100" s="30"/>
      <c r="O100" s="31"/>
    </row>
    <row r="101" spans="1:15" ht="15.75" customHeight="1" x14ac:dyDescent="0.25">
      <c r="A101" s="25"/>
      <c r="B101" s="47"/>
      <c r="C101" s="47"/>
      <c r="D101" s="47"/>
      <c r="E101" s="47"/>
      <c r="F101" s="47"/>
      <c r="G101" s="47"/>
      <c r="H101" s="47"/>
      <c r="I101" s="47"/>
      <c r="J101" s="30"/>
      <c r="K101" s="30"/>
      <c r="L101" s="30"/>
      <c r="M101" s="30"/>
      <c r="N101" s="30"/>
      <c r="O101" s="31"/>
    </row>
    <row r="102" spans="1:15" ht="15.75" customHeight="1" x14ac:dyDescent="0.25">
      <c r="A102" s="25"/>
      <c r="B102" s="47"/>
      <c r="C102" s="47"/>
      <c r="D102" s="47"/>
      <c r="E102" s="47"/>
      <c r="F102" s="47"/>
      <c r="G102" s="47"/>
      <c r="H102" s="47"/>
      <c r="I102" s="47"/>
      <c r="J102" s="30"/>
      <c r="K102" s="30"/>
      <c r="L102" s="30"/>
      <c r="M102" s="30"/>
      <c r="N102" s="30"/>
      <c r="O102" s="31"/>
    </row>
    <row r="103" spans="1:15" ht="15.75" customHeight="1" x14ac:dyDescent="0.25">
      <c r="A103" s="25"/>
      <c r="B103" s="47"/>
      <c r="C103" s="47"/>
      <c r="D103" s="47"/>
      <c r="E103" s="47"/>
      <c r="F103" s="47"/>
      <c r="G103" s="47"/>
      <c r="H103" s="47"/>
      <c r="I103" s="47"/>
      <c r="J103" s="30"/>
      <c r="K103" s="30"/>
      <c r="L103" s="30"/>
      <c r="M103" s="30"/>
      <c r="N103" s="30"/>
      <c r="O103" s="31"/>
    </row>
    <row r="104" spans="1:15" ht="15.75" customHeight="1" x14ac:dyDescent="0.25">
      <c r="A104" s="25"/>
      <c r="B104" s="47"/>
      <c r="C104" s="47"/>
      <c r="D104" s="47"/>
      <c r="E104" s="47"/>
      <c r="F104" s="47"/>
      <c r="G104" s="47"/>
      <c r="H104" s="47"/>
      <c r="I104" s="47"/>
      <c r="J104" s="30"/>
      <c r="K104" s="30"/>
      <c r="L104" s="30"/>
      <c r="M104" s="30"/>
      <c r="N104" s="30"/>
      <c r="O104" s="31"/>
    </row>
    <row r="105" spans="1:15" ht="15.75" customHeight="1" x14ac:dyDescent="0.25">
      <c r="A105" s="25"/>
      <c r="B105" s="47"/>
      <c r="C105" s="47"/>
      <c r="D105" s="47"/>
      <c r="E105" s="47"/>
      <c r="F105" s="47"/>
      <c r="G105" s="47"/>
      <c r="H105" s="47"/>
      <c r="I105" s="47"/>
      <c r="J105" s="30"/>
      <c r="K105" s="30"/>
      <c r="L105" s="30"/>
      <c r="M105" s="30"/>
      <c r="N105" s="30"/>
      <c r="O105" s="31"/>
    </row>
    <row r="106" spans="1:15" ht="15.75" customHeight="1" x14ac:dyDescent="0.25">
      <c r="A106" s="25"/>
      <c r="B106" s="47"/>
      <c r="C106" s="47"/>
      <c r="D106" s="47"/>
      <c r="E106" s="47"/>
      <c r="F106" s="47"/>
      <c r="G106" s="47"/>
      <c r="H106" s="47"/>
      <c r="I106" s="47"/>
      <c r="J106" s="30"/>
      <c r="K106" s="30"/>
      <c r="L106" s="30"/>
      <c r="M106" s="30"/>
      <c r="N106" s="30"/>
      <c r="O106" s="31"/>
    </row>
    <row r="107" spans="1:15" ht="15.75" customHeight="1" x14ac:dyDescent="0.25">
      <c r="A107" s="25"/>
      <c r="B107" s="47"/>
      <c r="C107" s="47"/>
      <c r="D107" s="47"/>
      <c r="E107" s="47"/>
      <c r="F107" s="47"/>
      <c r="G107" s="47"/>
      <c r="H107" s="47"/>
      <c r="I107" s="47"/>
      <c r="J107" s="30"/>
      <c r="K107" s="30"/>
      <c r="L107" s="30"/>
      <c r="M107" s="30"/>
      <c r="N107" s="30"/>
      <c r="O107" s="31"/>
    </row>
    <row r="108" spans="1:15" ht="15.75" customHeight="1" x14ac:dyDescent="0.25">
      <c r="A108" s="25"/>
      <c r="B108" s="47"/>
      <c r="C108" s="47"/>
      <c r="D108" s="47"/>
      <c r="E108" s="47"/>
      <c r="F108" s="47"/>
      <c r="G108" s="47"/>
      <c r="H108" s="47"/>
      <c r="I108" s="47"/>
      <c r="J108" s="30"/>
      <c r="K108" s="30"/>
      <c r="L108" s="30"/>
      <c r="M108" s="30"/>
      <c r="N108" s="30"/>
      <c r="O108" s="31"/>
    </row>
    <row r="109" spans="1:15" ht="15.75" customHeight="1" x14ac:dyDescent="0.25">
      <c r="A109" s="25"/>
      <c r="B109" s="47"/>
      <c r="C109" s="47"/>
      <c r="D109" s="47"/>
      <c r="E109" s="47"/>
      <c r="F109" s="47"/>
      <c r="G109" s="47"/>
      <c r="H109" s="47"/>
      <c r="I109" s="47"/>
      <c r="J109" s="30"/>
      <c r="K109" s="30"/>
      <c r="L109" s="30"/>
      <c r="M109" s="30"/>
      <c r="N109" s="30"/>
      <c r="O109" s="31"/>
    </row>
    <row r="110" spans="1:15" ht="15.75" customHeight="1" x14ac:dyDescent="0.25">
      <c r="A110" s="49"/>
      <c r="B110" s="2"/>
      <c r="C110" s="2"/>
      <c r="D110" s="2"/>
      <c r="E110" s="2"/>
      <c r="F110" s="2"/>
      <c r="G110" s="2"/>
      <c r="H110" s="2"/>
      <c r="I110" s="2"/>
      <c r="J110" s="21"/>
      <c r="K110" s="21"/>
      <c r="L110" s="21"/>
      <c r="M110" s="21"/>
      <c r="N110" s="21"/>
      <c r="O110" s="21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1"/>
      <c r="L111" s="21"/>
      <c r="M111" s="21"/>
      <c r="N111" s="21"/>
      <c r="O111" s="21"/>
    </row>
    <row r="112" spans="1:15" x14ac:dyDescent="0.25">
      <c r="H112" s="4"/>
      <c r="I112" s="3"/>
    </row>
    <row r="113" spans="1:9" ht="18.75" x14ac:dyDescent="0.25">
      <c r="A113" s="159" t="s">
        <v>258</v>
      </c>
      <c r="B113" s="160"/>
      <c r="C113" s="161"/>
      <c r="H113" s="4"/>
      <c r="I113" s="3"/>
    </row>
    <row r="114" spans="1:9" x14ac:dyDescent="0.25">
      <c r="A114" s="36" t="s">
        <v>43</v>
      </c>
      <c r="B114" s="37" t="s">
        <v>259</v>
      </c>
      <c r="C114" s="36" t="s">
        <v>260</v>
      </c>
      <c r="H114" s="4"/>
      <c r="I114" s="3"/>
    </row>
    <row r="115" spans="1:9" x14ac:dyDescent="0.25">
      <c r="A115" s="38" t="s">
        <v>48</v>
      </c>
      <c r="B115" s="7" t="s">
        <v>216</v>
      </c>
      <c r="C115" s="38">
        <f>COUNTIFS($E$7:$E$46,A115)</f>
        <v>0</v>
      </c>
      <c r="H115" s="4"/>
      <c r="I115" s="3"/>
    </row>
    <row r="116" spans="1:9" x14ac:dyDescent="0.25">
      <c r="A116" s="38" t="s">
        <v>54</v>
      </c>
      <c r="B116" s="7" t="s">
        <v>219</v>
      </c>
      <c r="C116" s="38">
        <f t="shared" ref="C116:C120" si="0">COUNTIFS($E$7:$E$46,A116)</f>
        <v>0</v>
      </c>
      <c r="H116" s="4"/>
      <c r="I116" s="3"/>
    </row>
    <row r="117" spans="1:9" x14ac:dyDescent="0.25">
      <c r="A117" s="38" t="s">
        <v>86</v>
      </c>
      <c r="B117" s="7" t="s">
        <v>241</v>
      </c>
      <c r="C117" s="38">
        <f t="shared" si="0"/>
        <v>0</v>
      </c>
      <c r="H117" s="4"/>
      <c r="I117" s="3"/>
    </row>
    <row r="118" spans="1:9" x14ac:dyDescent="0.25">
      <c r="A118" s="38" t="s">
        <v>51</v>
      </c>
      <c r="B118" s="7" t="s">
        <v>209</v>
      </c>
      <c r="C118" s="38">
        <f t="shared" si="0"/>
        <v>1</v>
      </c>
      <c r="H118" s="4"/>
      <c r="I118" s="3"/>
    </row>
    <row r="119" spans="1:9" x14ac:dyDescent="0.25">
      <c r="A119" s="38" t="s">
        <v>80</v>
      </c>
      <c r="B119" s="7" t="s">
        <v>230</v>
      </c>
      <c r="C119" s="38">
        <f t="shared" si="0"/>
        <v>2</v>
      </c>
      <c r="H119" s="4"/>
      <c r="I119" s="3"/>
    </row>
    <row r="120" spans="1:9" x14ac:dyDescent="0.25">
      <c r="A120" s="38" t="s">
        <v>76</v>
      </c>
      <c r="B120" s="7" t="s">
        <v>222</v>
      </c>
      <c r="C120" s="38">
        <f t="shared" si="0"/>
        <v>0</v>
      </c>
      <c r="H120" s="4"/>
      <c r="I120" s="3"/>
    </row>
    <row r="121" spans="1:9" x14ac:dyDescent="0.25">
      <c r="H121" s="4"/>
      <c r="I121" s="3"/>
    </row>
    <row r="122" spans="1:9" ht="18.75" x14ac:dyDescent="0.25">
      <c r="A122" s="159" t="s">
        <v>261</v>
      </c>
      <c r="B122" s="160"/>
      <c r="C122" s="161"/>
      <c r="H122" s="4"/>
      <c r="I122" s="3"/>
    </row>
    <row r="123" spans="1:9" x14ac:dyDescent="0.25">
      <c r="A123" s="36" t="s">
        <v>43</v>
      </c>
      <c r="B123" s="37" t="s">
        <v>259</v>
      </c>
      <c r="C123" s="36" t="s">
        <v>260</v>
      </c>
      <c r="H123" s="4"/>
      <c r="I123" s="3"/>
    </row>
    <row r="124" spans="1:9" x14ac:dyDescent="0.25">
      <c r="A124" s="39" t="s">
        <v>48</v>
      </c>
      <c r="B124" s="1" t="s">
        <v>216</v>
      </c>
      <c r="C124" s="39">
        <f>COUNTIFS($E$7:$E$46,A124,$H$7:$H$46,"Trocar")</f>
        <v>0</v>
      </c>
      <c r="H124" s="4"/>
      <c r="I124" s="3"/>
    </row>
    <row r="125" spans="1:9" x14ac:dyDescent="0.25">
      <c r="A125" s="39" t="s">
        <v>54</v>
      </c>
      <c r="B125" s="1" t="s">
        <v>219</v>
      </c>
      <c r="C125" s="39">
        <f t="shared" ref="C125:C129" si="1">COUNTIFS($E$7:$E$46,A125,$H$7:$H$46,"Trocar")</f>
        <v>0</v>
      </c>
      <c r="H125" s="4"/>
      <c r="I125" s="3"/>
    </row>
    <row r="126" spans="1:9" x14ac:dyDescent="0.25">
      <c r="A126" s="39" t="s">
        <v>86</v>
      </c>
      <c r="B126" s="1" t="s">
        <v>241</v>
      </c>
      <c r="C126" s="39">
        <f t="shared" si="1"/>
        <v>0</v>
      </c>
      <c r="H126" s="4"/>
      <c r="I126" s="3"/>
    </row>
    <row r="127" spans="1:9" x14ac:dyDescent="0.25">
      <c r="A127" s="39" t="s">
        <v>51</v>
      </c>
      <c r="B127" s="1" t="s">
        <v>209</v>
      </c>
      <c r="C127" s="39">
        <f t="shared" si="1"/>
        <v>0</v>
      </c>
      <c r="H127" s="4"/>
      <c r="I127" s="3"/>
    </row>
    <row r="128" spans="1:9" x14ac:dyDescent="0.25">
      <c r="A128" s="39" t="s">
        <v>80</v>
      </c>
      <c r="B128" s="1" t="s">
        <v>230</v>
      </c>
      <c r="C128" s="39">
        <f t="shared" si="1"/>
        <v>0</v>
      </c>
      <c r="H128" s="4"/>
      <c r="I128" s="3"/>
    </row>
    <row r="129" spans="1:9" x14ac:dyDescent="0.25">
      <c r="A129" s="39" t="s">
        <v>76</v>
      </c>
      <c r="B129" s="1" t="s">
        <v>222</v>
      </c>
      <c r="C129" s="39">
        <f t="shared" si="1"/>
        <v>0</v>
      </c>
      <c r="H129" s="4"/>
      <c r="I129" s="3"/>
    </row>
    <row r="130" spans="1:9" x14ac:dyDescent="0.25">
      <c r="H130" s="4"/>
      <c r="I130" s="3"/>
    </row>
  </sheetData>
  <autoFilter ref="A6:O36" xr:uid="{29409446-0286-4617-8ECE-ACCA81EF7D93}"/>
  <mergeCells count="18">
    <mergeCell ref="A52:O52"/>
    <mergeCell ref="A1:O1"/>
    <mergeCell ref="B3:C3"/>
    <mergeCell ref="K5:N5"/>
    <mergeCell ref="A50:O50"/>
    <mergeCell ref="A51:O51"/>
    <mergeCell ref="A122:C122"/>
    <mergeCell ref="A53:O53"/>
    <mergeCell ref="A54:O54"/>
    <mergeCell ref="A55:O55"/>
    <mergeCell ref="A56:O56"/>
    <mergeCell ref="B57:I57"/>
    <mergeCell ref="B58:I58"/>
    <mergeCell ref="B59:I59"/>
    <mergeCell ref="B60:I60"/>
    <mergeCell ref="B61:I61"/>
    <mergeCell ref="B62:I62"/>
    <mergeCell ref="A113:C113"/>
  </mergeCells>
  <pageMargins left="0.23622047244094491" right="0.23622047244094491" top="0.15748031496062992" bottom="0.15748031496062992" header="0" footer="0"/>
  <pageSetup paperSize="9" scale="62" fitToHeight="0" orientation="landscape" horizontalDpi="4294967293" verticalDpi="4294967293" r:id="rId1"/>
  <rowBreaks count="1" manualBreakCount="1">
    <brk id="55" max="1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3eb6c-0ebf-4fdb-8b6d-96c40970b0b6">
      <Terms xmlns="http://schemas.microsoft.com/office/infopath/2007/PartnerControls"/>
    </lcf76f155ced4ddcb4097134ff3c332f>
    <TaxCatchAll xmlns="7f4a43e4-6019-46cb-be76-296f5f58a6eb" xsi:nil="true"/>
    <_dlc_DocId xmlns="7f4a43e4-6019-46cb-be76-296f5f58a6eb"/>
    <_dlc_DocIdUrl xmlns="7f4a43e4-6019-46cb-be76-296f5f58a6eb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5D9EA0946D104D945E2863790E2DF6" ma:contentTypeVersion="17" ma:contentTypeDescription="Crie um novo documento." ma:contentTypeScope="" ma:versionID="790b38e7758b33b1083ade3c6bef0b67">
  <xsd:schema xmlns:xsd="http://www.w3.org/2001/XMLSchema" xmlns:xs="http://www.w3.org/2001/XMLSchema" xmlns:p="http://schemas.microsoft.com/office/2006/metadata/properties" xmlns:ns2="7f4a43e4-6019-46cb-be76-296f5f58a6eb" xmlns:ns3="cb73eb6c-0ebf-4fdb-8b6d-96c40970b0b6" xmlns:ns4="http://schemas.microsoft.com/sharepoint/v4" targetNamespace="http://schemas.microsoft.com/office/2006/metadata/properties" ma:root="true" ma:fieldsID="c249531e05f9283fd05e98c51c184d96" ns2:_="" ns3:_="" ns4:_="">
    <xsd:import namespace="7f4a43e4-6019-46cb-be76-296f5f58a6eb"/>
    <xsd:import namespace="cb73eb6c-0ebf-4fdb-8b6d-96c40970b0b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a43e4-6019-46cb-be76-296f5f58a6e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af3ea6-12e1-4039-b039-d64a0d027de5}" ma:internalName="TaxCatchAll" ma:showField="CatchAllData" ma:web="7f4a43e4-6019-46cb-be76-296f5f58a6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3eb6c-0ebf-4fdb-8b6d-96c40970b0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9853e8-a88d-4c08-b3ac-76d7759360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DBC392-DB09-46E3-85D2-36228A917F2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E3AA219-06E5-48E9-BFD7-93E399B432A9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f4a43e4-6019-46cb-be76-296f5f58a6eb"/>
    <ds:schemaRef ds:uri="http://purl.org/dc/dcmitype/"/>
    <ds:schemaRef ds:uri="http://schemas.openxmlformats.org/package/2006/metadata/core-properties"/>
    <ds:schemaRef ds:uri="http://schemas.microsoft.com/sharepoint/v4"/>
    <ds:schemaRef ds:uri="cb73eb6c-0ebf-4fdb-8b6d-96c40970b0b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45CA706-91E4-42EE-98FD-F5EF37A7A28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E16437A-263D-459B-8C2A-E85A50090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4a43e4-6019-46cb-be76-296f5f58a6eb"/>
    <ds:schemaRef ds:uri="cb73eb6c-0ebf-4fdb-8b6d-96c40970b0b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45</vt:i4>
      </vt:variant>
      <vt:variant>
        <vt:lpstr>Intervalos Nomeados</vt:lpstr>
      </vt:variant>
      <vt:variant>
        <vt:i4>42</vt:i4>
      </vt:variant>
    </vt:vector>
  </HeadingPairs>
  <TitlesOfParts>
    <vt:vector size="87" baseType="lpstr">
      <vt:lpstr>Resumo_Analise</vt:lpstr>
      <vt:lpstr>Lista REV PGD</vt:lpstr>
      <vt:lpstr>Lista rev FER</vt:lpstr>
      <vt:lpstr>FTD01</vt:lpstr>
      <vt:lpstr>FTD02</vt:lpstr>
      <vt:lpstr>FTD03</vt:lpstr>
      <vt:lpstr>FTD04</vt:lpstr>
      <vt:lpstr>FTD05</vt:lpstr>
      <vt:lpstr>FTD06</vt:lpstr>
      <vt:lpstr>FTD07</vt:lpstr>
      <vt:lpstr>FTD08</vt:lpstr>
      <vt:lpstr>FTD09</vt:lpstr>
      <vt:lpstr>FTD10</vt:lpstr>
      <vt:lpstr>FTD11</vt:lpstr>
      <vt:lpstr>FTD12</vt:lpstr>
      <vt:lpstr>FTD13</vt:lpstr>
      <vt:lpstr>FTD14</vt:lpstr>
      <vt:lpstr>FTD15</vt:lpstr>
      <vt:lpstr>PGD01</vt:lpstr>
      <vt:lpstr>PGD02</vt:lpstr>
      <vt:lpstr>PGD03</vt:lpstr>
      <vt:lpstr>PGD04</vt:lpstr>
      <vt:lpstr>PGD05</vt:lpstr>
      <vt:lpstr>PGD06</vt:lpstr>
      <vt:lpstr>PGD07</vt:lpstr>
      <vt:lpstr>PGD08</vt:lpstr>
      <vt:lpstr>PGD09</vt:lpstr>
      <vt:lpstr>PGD10</vt:lpstr>
      <vt:lpstr>PGD11</vt:lpstr>
      <vt:lpstr>PGD12</vt:lpstr>
      <vt:lpstr>PGD13</vt:lpstr>
      <vt:lpstr>PGD14</vt:lpstr>
      <vt:lpstr>PGD15</vt:lpstr>
      <vt:lpstr>BLD02</vt:lpstr>
      <vt:lpstr>BLD03</vt:lpstr>
      <vt:lpstr>BLD04</vt:lpstr>
      <vt:lpstr>BLD05</vt:lpstr>
      <vt:lpstr>TLP01</vt:lpstr>
      <vt:lpstr>TLP02</vt:lpstr>
      <vt:lpstr>TLP03</vt:lpstr>
      <vt:lpstr>TLP04</vt:lpstr>
      <vt:lpstr>TLF01</vt:lpstr>
      <vt:lpstr>TLF02</vt:lpstr>
      <vt:lpstr>TLF03</vt:lpstr>
      <vt:lpstr>TLF04</vt:lpstr>
      <vt:lpstr>'BLD02'!Area_de_impressao</vt:lpstr>
      <vt:lpstr>'BLD03'!Area_de_impressao</vt:lpstr>
      <vt:lpstr>'BLD04'!Area_de_impressao</vt:lpstr>
      <vt:lpstr>'BLD05'!Area_de_impressao</vt:lpstr>
      <vt:lpstr>'FTD01'!Area_de_impressao</vt:lpstr>
      <vt:lpstr>'FTD02'!Area_de_impressao</vt:lpstr>
      <vt:lpstr>'FTD03'!Area_de_impressao</vt:lpstr>
      <vt:lpstr>'FTD04'!Area_de_impressao</vt:lpstr>
      <vt:lpstr>'FTD05'!Area_de_impressao</vt:lpstr>
      <vt:lpstr>'FTD06'!Area_de_impressao</vt:lpstr>
      <vt:lpstr>'FTD07'!Area_de_impressao</vt:lpstr>
      <vt:lpstr>'FTD08'!Area_de_impressao</vt:lpstr>
      <vt:lpstr>'FTD09'!Area_de_impressao</vt:lpstr>
      <vt:lpstr>'FTD10'!Area_de_impressao</vt:lpstr>
      <vt:lpstr>'FTD11'!Area_de_impressao</vt:lpstr>
      <vt:lpstr>'FTD12'!Area_de_impressao</vt:lpstr>
      <vt:lpstr>'FTD13'!Area_de_impressao</vt:lpstr>
      <vt:lpstr>'FTD14'!Area_de_impressao</vt:lpstr>
      <vt:lpstr>'FTD15'!Area_de_impressao</vt:lpstr>
      <vt:lpstr>'PGD01'!Area_de_impressao</vt:lpstr>
      <vt:lpstr>'PGD02'!Area_de_impressao</vt:lpstr>
      <vt:lpstr>'PGD03'!Area_de_impressao</vt:lpstr>
      <vt:lpstr>'PGD04'!Area_de_impressao</vt:lpstr>
      <vt:lpstr>'PGD05'!Area_de_impressao</vt:lpstr>
      <vt:lpstr>'PGD06'!Area_de_impressao</vt:lpstr>
      <vt:lpstr>'PGD07'!Area_de_impressao</vt:lpstr>
      <vt:lpstr>'PGD08'!Area_de_impressao</vt:lpstr>
      <vt:lpstr>'PGD09'!Area_de_impressao</vt:lpstr>
      <vt:lpstr>'PGD10'!Area_de_impressao</vt:lpstr>
      <vt:lpstr>'PGD11'!Area_de_impressao</vt:lpstr>
      <vt:lpstr>'PGD12'!Area_de_impressao</vt:lpstr>
      <vt:lpstr>'PGD13'!Area_de_impressao</vt:lpstr>
      <vt:lpstr>'PGD14'!Area_de_impressao</vt:lpstr>
      <vt:lpstr>'PGD15'!Area_de_impressao</vt:lpstr>
      <vt:lpstr>'TLF01'!Area_de_impressao</vt:lpstr>
      <vt:lpstr>'TLF02'!Area_de_impressao</vt:lpstr>
      <vt:lpstr>'TLF03'!Area_de_impressao</vt:lpstr>
      <vt:lpstr>'TLF04'!Area_de_impressao</vt:lpstr>
      <vt:lpstr>'TLP01'!Area_de_impressao</vt:lpstr>
      <vt:lpstr>'TLP02'!Area_de_impressao</vt:lpstr>
      <vt:lpstr>'TLP03'!Area_de_impressao</vt:lpstr>
      <vt:lpstr>'TLP04'!Area_de_impressao</vt:lpstr>
    </vt:vector>
  </TitlesOfParts>
  <Company>BIOTROP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BIOTROP</dc:creator>
  <cp:keywords/>
  <dc:description/>
  <cp:lastModifiedBy>BIOTROP</cp:lastModifiedBy>
  <cp:revision/>
  <cp:lastPrinted>2026-09-28T17:23:17Z</cp:lastPrinted>
  <dcterms:created xsi:type="dcterms:W3CDTF">2024-12-06T14:15:34Z</dcterms:created>
  <dcterms:modified xsi:type="dcterms:W3CDTF">2026-09-28T17:38:46Z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